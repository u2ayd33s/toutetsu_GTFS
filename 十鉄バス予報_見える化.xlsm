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6.xml" ContentType="application/vnd.ms-excel.controlproperties+xml"/>
  <Override PartName="/xl/drawings/drawing5.xml" ContentType="application/vnd.openxmlformats-officedocument.drawing+xml"/>
  <Override PartName="/xl/ctrlProps/ctrlProp17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omments2.xml" ContentType="application/vnd.openxmlformats-officedocument.spreadsheetml.comments+xml"/>
  <Override PartName="/xl/drawings/drawing10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omments3.xml" ContentType="application/vnd.openxmlformats-officedocument.spreadsheetml.comments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kasaki Mayumi\Desktop\"/>
    </mc:Choice>
  </mc:AlternateContent>
  <xr:revisionPtr revIDLastSave="0" documentId="13_ncr:1_{A20D54CC-6579-4520-B145-5AC613765413}" xr6:coauthVersionLast="47" xr6:coauthVersionMax="47" xr10:uidLastSave="{00000000-0000-0000-0000-000000000000}"/>
  <bookViews>
    <workbookView xWindow="-110" yWindow="-110" windowWidth="22780" windowHeight="14660" tabRatio="895" firstSheet="3" activeTab="14" xr2:uid="{00000000-000D-0000-FFFF-FFFF00000000}"/>
  </bookViews>
  <sheets>
    <sheet name="wk" sheetId="43" state="hidden" r:id="rId1"/>
    <sheet name="メニュー" sheetId="306" r:id="rId2"/>
    <sheet name="00チェック" sheetId="498" r:id="rId3"/>
    <sheet name="01更新履歴" sheetId="9" r:id="rId4"/>
    <sheet name="02基本情報" sheetId="308" r:id="rId5"/>
    <sheet name="03営業所" sheetId="7" r:id="rId6"/>
    <sheet name="04系統" sheetId="5" r:id="rId7"/>
    <sheet name="05運行日" sheetId="24" r:id="rId8"/>
    <sheet name="05祝日" sheetId="307" r:id="rId9"/>
    <sheet name="06停留所" sheetId="3" r:id="rId10"/>
    <sheet name="07路線別停留所" sheetId="45" r:id="rId11"/>
    <sheet name="08乗換" sheetId="309" r:id="rId12"/>
    <sheet name="路線(原本)" sheetId="25" r:id="rId13"/>
    <sheet name="路線(1.青森線(往路))" sheetId="499" r:id="rId14"/>
    <sheet name="路線(1.青森線(復路))" sheetId="502" r:id="rId15"/>
    <sheet name="時刻(原本)" sheetId="8" r:id="rId16"/>
  </sheets>
  <functionGroups builtInGroupCount="19"/>
  <definedNames>
    <definedName name="_xlnm._FilterDatabase" localSheetId="6" hidden="1">'04系統'!$A$1:$M$1</definedName>
    <definedName name="_xlnm._FilterDatabase" localSheetId="9" hidden="1">'06停留所'!$A$1:$R$1</definedName>
    <definedName name="_xlnm._FilterDatabase" localSheetId="10" hidden="1">'07路線別停留所'!$A$1:$F$1</definedName>
    <definedName name="_xlnm._FilterDatabase" localSheetId="15" hidden="1">'時刻(原本)'!$A$1:$BO$1</definedName>
    <definedName name="GTFSJP作成日時">メニュー!$L$65</definedName>
    <definedName name="Shapes" localSheetId="1">メニュー!$F$70</definedName>
    <definedName name="往路" localSheetId="13">'路線(1.青森線(往路))'!$A$9</definedName>
    <definedName name="往路" localSheetId="14">'路線(1.青森線(復路))'!$A$9</definedName>
    <definedName name="往路" localSheetId="12">'路線(原本)'!$A$9</definedName>
    <definedName name="往路運行日" localSheetId="13">'路線(1.青森線(往路))'!$N$9</definedName>
    <definedName name="往路運行日" localSheetId="14">'路線(1.青森線(復路))'!$N$9</definedName>
    <definedName name="往路運行日" localSheetId="12">'路線(原本)'!$N$9</definedName>
    <definedName name="往路記号" localSheetId="13">'路線(1.青森線(往路))'!$N$7</definedName>
    <definedName name="往路記号" localSheetId="14">'路線(1.青森線(復路))'!$N$7</definedName>
    <definedName name="往路記号" localSheetId="12">'路線(原本)'!$N$7</definedName>
    <definedName name="往路系統" localSheetId="13">'路線(1.青森線(往路))'!$N$8</definedName>
    <definedName name="往路系統" localSheetId="14">'路線(1.青森線(復路))'!$N$8</definedName>
    <definedName name="往路系統" localSheetId="12">'路線(原本)'!$N$8</definedName>
    <definedName name="往路行き先部系統" localSheetId="13">'路線(1.青森線(往路))'!$CR$8</definedName>
    <definedName name="往路行き先部系統" localSheetId="14">'路線(1.青森線(復路))'!$CR$8</definedName>
    <definedName name="往路行き先部系統" localSheetId="12">'路線(原本)'!$CR$8</definedName>
    <definedName name="往路行き先部種別" localSheetId="13">'路線(1.青森線(往路))'!$CR$4</definedName>
    <definedName name="往路行き先部種別" localSheetId="14">'路線(1.青森線(復路))'!$CR$4</definedName>
    <definedName name="往路行き先部種別" localSheetId="12">'路線(原本)'!$CR$4</definedName>
    <definedName name="往路連続" localSheetId="13">'路線(1.青森線(往路))'!$N$6</definedName>
    <definedName name="往路連続" localSheetId="14">'路線(1.青森線(復路))'!$N$6</definedName>
    <definedName name="往路連続" localSheetId="12">'路線(原本)'!$N$6</definedName>
    <definedName name="系統別時刻作成日時">メニュー!$L$45</definedName>
    <definedName name="提供終了日" localSheetId="1">メニュー!$E$68</definedName>
    <definedName name="復路" localSheetId="13">'路線(1.青森線(往路))'!$A$77</definedName>
    <definedName name="復路" localSheetId="14">'路線(1.青森線(復路))'!$A$77</definedName>
    <definedName name="復路" localSheetId="12">'路線(原本)'!$A$77</definedName>
    <definedName name="復路運行日" localSheetId="13">'路線(1.青森線(往路))'!$N$77</definedName>
    <definedName name="復路運行日" localSheetId="14">'路線(1.青森線(復路))'!$N$77</definedName>
    <definedName name="復路運行日" localSheetId="12">'路線(原本)'!$N$77</definedName>
    <definedName name="復路記号" localSheetId="13">'路線(1.青森線(往路))'!$N$75</definedName>
    <definedName name="復路記号" localSheetId="14">'路線(1.青森線(復路))'!$N$75</definedName>
    <definedName name="復路記号" localSheetId="12">'路線(原本)'!$N$75</definedName>
    <definedName name="復路系統" localSheetId="13">'路線(1.青森線(往路))'!$N$76</definedName>
    <definedName name="復路系統" localSheetId="14">'路線(1.青森線(復路))'!$N$76</definedName>
    <definedName name="復路系統" localSheetId="12">'路線(原本)'!$N$76</definedName>
    <definedName name="復路行き先部系統" localSheetId="13">'路線(1.青森線(往路))'!$CR$76</definedName>
    <definedName name="復路行き先部系統" localSheetId="14">'路線(1.青森線(復路))'!$CR$76</definedName>
    <definedName name="復路行き先部系統" localSheetId="12">'路線(原本)'!$CR$76</definedName>
    <definedName name="復路行き先部種別" localSheetId="13">'路線(1.青森線(往路))'!$CR$72</definedName>
    <definedName name="復路行き先部種別" localSheetId="14">'路線(1.青森線(復路))'!$CR$72</definedName>
    <definedName name="復路行き先部種別" localSheetId="12">'路線(原本)'!$CR$72</definedName>
    <definedName name="復路連続" localSheetId="13">'路線(1.青森線(往路))'!$N$74</definedName>
    <definedName name="復路連続" localSheetId="14">'路線(1.青森線(復路))'!$N$74</definedName>
    <definedName name="復路連続" localSheetId="12">'路線(原本)'!$N$74</definedName>
    <definedName name="用途A" localSheetId="1">メニュー!$C$10</definedName>
    <definedName name="用途B" localSheetId="1">メニュー!$H$10</definedName>
    <definedName name="路線番号" localSheetId="13">'路線(1.青森線(往路))'!$P$1</definedName>
    <definedName name="路線番号" localSheetId="14">'路線(1.青森線(復路))'!$P$1</definedName>
    <definedName name="路線番号">'路線(原本)'!$P$1</definedName>
    <definedName name="路線名" localSheetId="13">'路線(1.青森線(往路))'!$S$1</definedName>
    <definedName name="路線名" localSheetId="14">'路線(1.青森線(復路))'!$S$1</definedName>
    <definedName name="路線名">'路線(原本)'!$S$1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5" i="502" l="1"/>
  <c r="P5" i="502"/>
  <c r="Q5" i="499"/>
  <c r="P5" i="499"/>
  <c r="O5" i="502"/>
  <c r="O5" i="499"/>
  <c r="L14" i="502" l="1"/>
  <c r="L13" i="502"/>
  <c r="L36" i="502"/>
  <c r="L35" i="502"/>
  <c r="L54" i="502"/>
  <c r="L53" i="502"/>
  <c r="L52" i="502"/>
  <c r="L51" i="502"/>
  <c r="L50" i="502"/>
  <c r="L49" i="502"/>
  <c r="L48" i="502"/>
  <c r="L47" i="502"/>
  <c r="L46" i="502"/>
  <c r="L45" i="502"/>
  <c r="L44" i="502"/>
  <c r="L43" i="502"/>
  <c r="L42" i="502"/>
  <c r="L41" i="502"/>
  <c r="L40" i="502"/>
  <c r="L39" i="502"/>
  <c r="L38" i="502"/>
  <c r="L37" i="502"/>
  <c r="L34" i="502"/>
  <c r="L33" i="502"/>
  <c r="L32" i="502"/>
  <c r="L31" i="502"/>
  <c r="L30" i="502"/>
  <c r="L29" i="502"/>
  <c r="L28" i="502"/>
  <c r="L27" i="502"/>
  <c r="L26" i="502"/>
  <c r="L25" i="502"/>
  <c r="L24" i="502"/>
  <c r="L23" i="502"/>
  <c r="L22" i="502"/>
  <c r="L21" i="502"/>
  <c r="L20" i="502"/>
  <c r="L19" i="502"/>
  <c r="L18" i="502"/>
  <c r="L17" i="502"/>
  <c r="L16" i="502"/>
  <c r="L15" i="502"/>
  <c r="L12" i="502"/>
  <c r="L11" i="502"/>
  <c r="L10" i="502"/>
  <c r="M14" i="502"/>
  <c r="M13" i="502"/>
  <c r="M36" i="502"/>
  <c r="M35" i="502"/>
  <c r="M54" i="502"/>
  <c r="M53" i="502"/>
  <c r="M52" i="502"/>
  <c r="M51" i="502"/>
  <c r="M50" i="502"/>
  <c r="M49" i="502"/>
  <c r="M48" i="502"/>
  <c r="M47" i="502"/>
  <c r="M46" i="502"/>
  <c r="M45" i="502"/>
  <c r="M44" i="502"/>
  <c r="M43" i="502"/>
  <c r="M42" i="502"/>
  <c r="M41" i="502"/>
  <c r="M40" i="502"/>
  <c r="M39" i="502"/>
  <c r="M38" i="502"/>
  <c r="M37" i="502"/>
  <c r="M34" i="502"/>
  <c r="M33" i="502"/>
  <c r="M32" i="502"/>
  <c r="M31" i="502"/>
  <c r="M30" i="502"/>
  <c r="M29" i="502"/>
  <c r="M28" i="502"/>
  <c r="M27" i="502"/>
  <c r="M26" i="502"/>
  <c r="M25" i="502"/>
  <c r="M24" i="502"/>
  <c r="M23" i="502"/>
  <c r="M22" i="502"/>
  <c r="M21" i="502"/>
  <c r="M20" i="502"/>
  <c r="M19" i="502"/>
  <c r="M18" i="502"/>
  <c r="M17" i="502"/>
  <c r="M16" i="502"/>
  <c r="M15" i="502"/>
  <c r="M12" i="502"/>
  <c r="M11" i="502"/>
  <c r="M10" i="502"/>
  <c r="M52" i="499"/>
  <c r="M48" i="499"/>
  <c r="M44" i="499"/>
  <c r="M40" i="499"/>
  <c r="M36" i="499"/>
  <c r="M32" i="499"/>
  <c r="M28" i="499"/>
  <c r="M24" i="499"/>
  <c r="M20" i="499"/>
  <c r="M16" i="499"/>
  <c r="M12" i="499"/>
  <c r="M47" i="499"/>
  <c r="M39" i="499"/>
  <c r="M31" i="499"/>
  <c r="M23" i="499"/>
  <c r="M19" i="499"/>
  <c r="M11" i="499"/>
  <c r="M51" i="499"/>
  <c r="M43" i="499"/>
  <c r="M35" i="499"/>
  <c r="M27" i="499"/>
  <c r="M15" i="499"/>
  <c r="M46" i="499"/>
  <c r="M38" i="499"/>
  <c r="M30" i="499"/>
  <c r="M22" i="499"/>
  <c r="M14" i="499"/>
  <c r="M50" i="499"/>
  <c r="M42" i="499"/>
  <c r="M34" i="499"/>
  <c r="M26" i="499"/>
  <c r="M18" i="499"/>
  <c r="M49" i="499"/>
  <c r="M45" i="499"/>
  <c r="M41" i="499"/>
  <c r="M37" i="499"/>
  <c r="M33" i="499"/>
  <c r="M29" i="499"/>
  <c r="M25" i="499"/>
  <c r="M21" i="499"/>
  <c r="M17" i="499"/>
  <c r="M13" i="499"/>
  <c r="M10" i="499"/>
  <c r="L10" i="499" l="1"/>
  <c r="L13" i="499"/>
  <c r="L17" i="499"/>
  <c r="L21" i="499"/>
  <c r="L25" i="499"/>
  <c r="L29" i="499"/>
  <c r="L33" i="499"/>
  <c r="L37" i="499"/>
  <c r="L41" i="499"/>
  <c r="L45" i="499"/>
  <c r="L49" i="499"/>
  <c r="L18" i="499"/>
  <c r="L26" i="499"/>
  <c r="L34" i="499"/>
  <c r="L42" i="499"/>
  <c r="L50" i="499"/>
  <c r="L14" i="499"/>
  <c r="L22" i="499"/>
  <c r="L30" i="499"/>
  <c r="L38" i="499"/>
  <c r="L46" i="499"/>
  <c r="L15" i="499"/>
  <c r="L27" i="499"/>
  <c r="L35" i="499"/>
  <c r="L43" i="499"/>
  <c r="L51" i="499"/>
  <c r="L11" i="499"/>
  <c r="L19" i="499"/>
  <c r="L23" i="499"/>
  <c r="L31" i="499"/>
  <c r="L39" i="499"/>
  <c r="L47" i="499"/>
  <c r="L12" i="499"/>
  <c r="L16" i="499"/>
  <c r="L20" i="499"/>
  <c r="L24" i="499"/>
  <c r="L28" i="499"/>
  <c r="L32" i="499"/>
  <c r="L36" i="499"/>
  <c r="L40" i="499"/>
  <c r="L44" i="499"/>
  <c r="L48" i="499"/>
  <c r="L52" i="499"/>
  <c r="G1207" i="3" l="1"/>
  <c r="G1206" i="3"/>
  <c r="G1205" i="3"/>
  <c r="G1204" i="3"/>
  <c r="G1203" i="3"/>
  <c r="G1202" i="3"/>
  <c r="G1201" i="3"/>
  <c r="G1200" i="3"/>
  <c r="G1199" i="3"/>
  <c r="G1198" i="3"/>
  <c r="G1197" i="3"/>
  <c r="G1196" i="3"/>
  <c r="G1195" i="3"/>
  <c r="G1194" i="3"/>
  <c r="G1193" i="3"/>
  <c r="G1192" i="3"/>
  <c r="G1191" i="3"/>
  <c r="G1190" i="3"/>
  <c r="G1189" i="3"/>
  <c r="G1188" i="3"/>
  <c r="G1187" i="3"/>
  <c r="G1186" i="3"/>
  <c r="G1185" i="3"/>
  <c r="G1184" i="3"/>
  <c r="G1183" i="3"/>
  <c r="G1182" i="3"/>
  <c r="G1181" i="3"/>
  <c r="G1180" i="3"/>
  <c r="G1179" i="3"/>
  <c r="G1178" i="3"/>
  <c r="G1177" i="3"/>
  <c r="G1176" i="3"/>
  <c r="G1175" i="3"/>
  <c r="G1174" i="3"/>
  <c r="G1173" i="3"/>
  <c r="G1172" i="3"/>
  <c r="G1171" i="3"/>
  <c r="G1170" i="3"/>
  <c r="G1169" i="3"/>
  <c r="G1168" i="3"/>
  <c r="G1167" i="3"/>
  <c r="G1166" i="3"/>
  <c r="G1165" i="3"/>
  <c r="G1164" i="3"/>
  <c r="G1163" i="3"/>
  <c r="G1162" i="3"/>
  <c r="G1161" i="3"/>
  <c r="G1160" i="3"/>
  <c r="G1159" i="3"/>
  <c r="G1158" i="3"/>
  <c r="G1157" i="3"/>
  <c r="G1156" i="3"/>
  <c r="G1155" i="3"/>
  <c r="G1154" i="3"/>
  <c r="G1153" i="3"/>
  <c r="G1152" i="3"/>
  <c r="G1151" i="3"/>
  <c r="G1150" i="3"/>
  <c r="G1149" i="3"/>
  <c r="G1148" i="3"/>
  <c r="G1147" i="3"/>
  <c r="G1146" i="3"/>
  <c r="G1145" i="3"/>
  <c r="G1144" i="3"/>
  <c r="G1143" i="3"/>
  <c r="G1142" i="3"/>
  <c r="G1141" i="3"/>
  <c r="G1140" i="3"/>
  <c r="G1139" i="3"/>
  <c r="G1138" i="3"/>
  <c r="G1137" i="3"/>
  <c r="G1136" i="3"/>
  <c r="G1135" i="3"/>
  <c r="G1134" i="3"/>
  <c r="G1133" i="3"/>
  <c r="G1132" i="3"/>
  <c r="G1131" i="3"/>
  <c r="G1130" i="3"/>
  <c r="G1129" i="3"/>
  <c r="G1128" i="3"/>
  <c r="G1127" i="3"/>
  <c r="G1126" i="3"/>
  <c r="G1125" i="3"/>
  <c r="G1124" i="3"/>
  <c r="G1123" i="3"/>
  <c r="G1122" i="3"/>
  <c r="G1121" i="3"/>
  <c r="G1120" i="3"/>
  <c r="G1119" i="3"/>
  <c r="G1118" i="3"/>
  <c r="G1117" i="3"/>
  <c r="G1116" i="3"/>
  <c r="G1115" i="3"/>
  <c r="G1114" i="3"/>
  <c r="G1113" i="3"/>
  <c r="G1112" i="3"/>
  <c r="G1111" i="3"/>
  <c r="G1110" i="3"/>
  <c r="G1109" i="3"/>
  <c r="G1108" i="3"/>
  <c r="G1107" i="3"/>
  <c r="G1106" i="3"/>
  <c r="G1105" i="3"/>
  <c r="G1104" i="3"/>
  <c r="G1103" i="3"/>
  <c r="G1102" i="3"/>
  <c r="G1101" i="3"/>
  <c r="G1100" i="3"/>
  <c r="G1099" i="3"/>
  <c r="G1098" i="3"/>
  <c r="G1097" i="3"/>
  <c r="G1096" i="3"/>
  <c r="G1095" i="3"/>
  <c r="G1094" i="3"/>
  <c r="G1093" i="3"/>
  <c r="G1092" i="3"/>
  <c r="G1091" i="3"/>
  <c r="G1090" i="3"/>
  <c r="G1089" i="3"/>
  <c r="G1088" i="3"/>
  <c r="G1087" i="3"/>
  <c r="G1086" i="3"/>
  <c r="G1085" i="3"/>
  <c r="G1084" i="3"/>
  <c r="G1083" i="3"/>
  <c r="G1082" i="3"/>
  <c r="G1081" i="3"/>
  <c r="G1080" i="3"/>
  <c r="G1079" i="3"/>
  <c r="G1078" i="3"/>
  <c r="G1077" i="3"/>
  <c r="G1076" i="3"/>
  <c r="G1075" i="3"/>
  <c r="G1074" i="3"/>
  <c r="G1073" i="3"/>
  <c r="G1072" i="3"/>
  <c r="G1071" i="3"/>
  <c r="G1070" i="3"/>
  <c r="G1069" i="3"/>
  <c r="G1068" i="3"/>
  <c r="G1067" i="3"/>
  <c r="G1066" i="3"/>
  <c r="G1065" i="3"/>
  <c r="G1064" i="3"/>
  <c r="G1063" i="3"/>
  <c r="G1062" i="3"/>
  <c r="G1061" i="3"/>
  <c r="G1060" i="3"/>
  <c r="G1059" i="3"/>
  <c r="G1058" i="3"/>
  <c r="G1057" i="3"/>
  <c r="G1056" i="3"/>
  <c r="G1055" i="3"/>
  <c r="G1054" i="3"/>
  <c r="G1053" i="3"/>
  <c r="G1052" i="3"/>
  <c r="G1051" i="3"/>
  <c r="G1050" i="3"/>
  <c r="G1049" i="3"/>
  <c r="G1048" i="3"/>
  <c r="G1047" i="3"/>
  <c r="G1046" i="3"/>
  <c r="G1045" i="3"/>
  <c r="G1044" i="3"/>
  <c r="G1043" i="3"/>
  <c r="G1042" i="3"/>
  <c r="G1041" i="3"/>
  <c r="G1040" i="3"/>
  <c r="G1039" i="3"/>
  <c r="G1038" i="3"/>
  <c r="G1037" i="3"/>
  <c r="G1036" i="3"/>
  <c r="G1035" i="3"/>
  <c r="G1034" i="3"/>
  <c r="G1033" i="3"/>
  <c r="G1032" i="3"/>
  <c r="G1031" i="3"/>
  <c r="G1030" i="3"/>
  <c r="G1029" i="3"/>
  <c r="G1028" i="3"/>
  <c r="G1027" i="3"/>
  <c r="G1026" i="3"/>
  <c r="G1025" i="3"/>
  <c r="G1024" i="3"/>
  <c r="G1023" i="3"/>
  <c r="G1022" i="3"/>
  <c r="G1021" i="3"/>
  <c r="G1020" i="3"/>
  <c r="G1019" i="3"/>
  <c r="G1018" i="3"/>
  <c r="G1017" i="3"/>
  <c r="G1016" i="3"/>
  <c r="G1015" i="3"/>
  <c r="G1014" i="3"/>
  <c r="G1013" i="3"/>
  <c r="G1012" i="3"/>
  <c r="G1011" i="3"/>
  <c r="G1010" i="3"/>
  <c r="G1009" i="3"/>
  <c r="G1008" i="3"/>
  <c r="G1007" i="3"/>
  <c r="G1006" i="3"/>
  <c r="G1005" i="3"/>
  <c r="G1004" i="3"/>
  <c r="G1003" i="3"/>
  <c r="G1002" i="3"/>
  <c r="G1001" i="3"/>
  <c r="G1000" i="3"/>
  <c r="G999" i="3"/>
  <c r="G998" i="3"/>
  <c r="G997" i="3"/>
  <c r="G996" i="3"/>
  <c r="G995" i="3"/>
  <c r="G994" i="3"/>
  <c r="G993" i="3"/>
  <c r="G992" i="3"/>
  <c r="G991" i="3"/>
  <c r="G990" i="3"/>
  <c r="G989" i="3"/>
  <c r="G988" i="3"/>
  <c r="G987" i="3"/>
  <c r="G986" i="3"/>
  <c r="G985" i="3"/>
  <c r="G984" i="3"/>
  <c r="G983" i="3"/>
  <c r="G982" i="3"/>
  <c r="G981" i="3"/>
  <c r="G980" i="3"/>
  <c r="G979" i="3"/>
  <c r="G978" i="3"/>
  <c r="G977" i="3"/>
  <c r="G976" i="3"/>
  <c r="G975" i="3"/>
  <c r="G974" i="3"/>
  <c r="G973" i="3"/>
  <c r="G972" i="3"/>
  <c r="G971" i="3"/>
  <c r="G970" i="3"/>
  <c r="G969" i="3"/>
  <c r="G968" i="3"/>
  <c r="G967" i="3"/>
  <c r="G966" i="3"/>
  <c r="G965" i="3"/>
  <c r="G964" i="3"/>
  <c r="G963" i="3"/>
  <c r="G962" i="3"/>
  <c r="G961" i="3"/>
  <c r="G960" i="3"/>
  <c r="G959" i="3"/>
  <c r="G958" i="3"/>
  <c r="G957" i="3"/>
  <c r="G956" i="3"/>
  <c r="G955" i="3"/>
  <c r="G954" i="3"/>
  <c r="G953" i="3"/>
  <c r="G952" i="3"/>
  <c r="G951" i="3"/>
  <c r="G950" i="3"/>
  <c r="G949" i="3"/>
  <c r="G948" i="3"/>
  <c r="G947" i="3"/>
  <c r="G946" i="3"/>
  <c r="G945" i="3"/>
  <c r="G944" i="3"/>
  <c r="G943" i="3"/>
  <c r="G942" i="3"/>
  <c r="G941" i="3"/>
  <c r="G940" i="3"/>
  <c r="G939" i="3"/>
  <c r="G938" i="3"/>
  <c r="G937" i="3"/>
  <c r="G936" i="3"/>
  <c r="G935" i="3"/>
  <c r="G934" i="3"/>
  <c r="G933" i="3"/>
  <c r="G932" i="3"/>
  <c r="G931" i="3"/>
  <c r="G930" i="3"/>
  <c r="G929" i="3"/>
  <c r="G928" i="3"/>
  <c r="G927" i="3"/>
  <c r="G926" i="3"/>
  <c r="G925" i="3"/>
  <c r="G924" i="3"/>
  <c r="G923" i="3"/>
  <c r="G922" i="3"/>
  <c r="G921" i="3"/>
  <c r="G920" i="3"/>
  <c r="G919" i="3"/>
  <c r="G918" i="3"/>
  <c r="G917" i="3"/>
  <c r="G916" i="3"/>
  <c r="G915" i="3"/>
  <c r="G914" i="3"/>
  <c r="G913" i="3"/>
  <c r="G912" i="3"/>
  <c r="G911" i="3"/>
  <c r="G910" i="3"/>
  <c r="G909" i="3"/>
  <c r="G908" i="3"/>
  <c r="G907" i="3"/>
  <c r="G906" i="3"/>
  <c r="G905" i="3"/>
  <c r="G904" i="3"/>
  <c r="G903" i="3"/>
  <c r="G902" i="3"/>
  <c r="G901" i="3"/>
  <c r="G900" i="3"/>
  <c r="G899" i="3"/>
  <c r="G898" i="3"/>
  <c r="G897" i="3"/>
  <c r="G896" i="3"/>
  <c r="G895" i="3"/>
  <c r="G894" i="3"/>
  <c r="G893" i="3"/>
  <c r="G892" i="3"/>
  <c r="G891" i="3"/>
  <c r="G890" i="3"/>
  <c r="G889" i="3"/>
  <c r="G888" i="3"/>
  <c r="G887" i="3"/>
  <c r="G886" i="3"/>
  <c r="G885" i="3"/>
  <c r="G884" i="3"/>
  <c r="G883" i="3"/>
  <c r="G882" i="3"/>
  <c r="G881" i="3"/>
  <c r="G880" i="3"/>
  <c r="G879" i="3"/>
  <c r="G878" i="3"/>
  <c r="G877" i="3"/>
  <c r="G876" i="3"/>
  <c r="G875" i="3"/>
  <c r="G874" i="3"/>
  <c r="G873" i="3"/>
  <c r="G872" i="3"/>
  <c r="G871" i="3"/>
  <c r="G870" i="3"/>
  <c r="G869" i="3"/>
  <c r="G868" i="3"/>
  <c r="G867" i="3"/>
  <c r="G866" i="3"/>
  <c r="G865" i="3"/>
  <c r="G864" i="3"/>
  <c r="G863" i="3"/>
  <c r="G862" i="3"/>
  <c r="G861" i="3"/>
  <c r="G860" i="3"/>
  <c r="G859" i="3"/>
  <c r="G858" i="3"/>
  <c r="G857" i="3"/>
  <c r="G856" i="3"/>
  <c r="G855" i="3"/>
  <c r="G854" i="3"/>
  <c r="G853" i="3"/>
  <c r="G852" i="3"/>
  <c r="G851" i="3"/>
  <c r="G850" i="3"/>
  <c r="G849" i="3"/>
  <c r="G848" i="3"/>
  <c r="G847" i="3"/>
  <c r="G846" i="3"/>
  <c r="G845" i="3"/>
  <c r="G844" i="3"/>
  <c r="G843" i="3"/>
  <c r="G842" i="3"/>
  <c r="G841" i="3"/>
  <c r="G840" i="3"/>
  <c r="G839" i="3"/>
  <c r="G838" i="3"/>
  <c r="G837" i="3"/>
  <c r="G836" i="3"/>
  <c r="G835" i="3"/>
  <c r="G834" i="3"/>
  <c r="G833" i="3"/>
  <c r="G832" i="3"/>
  <c r="G831" i="3"/>
  <c r="G830" i="3"/>
  <c r="G829" i="3"/>
  <c r="G828" i="3"/>
  <c r="G827" i="3"/>
  <c r="G826" i="3"/>
  <c r="G825" i="3"/>
  <c r="G824" i="3"/>
  <c r="G823" i="3"/>
  <c r="G822" i="3"/>
  <c r="G821" i="3"/>
  <c r="G820" i="3"/>
  <c r="G819" i="3"/>
  <c r="G818" i="3"/>
  <c r="G817" i="3"/>
  <c r="G816" i="3"/>
  <c r="G815" i="3"/>
  <c r="G814" i="3"/>
  <c r="G813" i="3"/>
  <c r="G812" i="3"/>
  <c r="G811" i="3"/>
  <c r="G810" i="3"/>
  <c r="G809" i="3"/>
  <c r="G808" i="3"/>
  <c r="G807" i="3"/>
  <c r="G806" i="3"/>
  <c r="G805" i="3"/>
  <c r="G804" i="3"/>
  <c r="G803" i="3"/>
  <c r="G802" i="3"/>
  <c r="G801" i="3"/>
  <c r="G800" i="3"/>
  <c r="G799" i="3"/>
  <c r="G798" i="3"/>
  <c r="G797" i="3"/>
  <c r="G796" i="3"/>
  <c r="G795" i="3"/>
  <c r="G794" i="3"/>
  <c r="G793" i="3"/>
  <c r="G792" i="3"/>
  <c r="G791" i="3"/>
  <c r="G790" i="3"/>
  <c r="G789" i="3"/>
  <c r="G788" i="3"/>
  <c r="G787" i="3"/>
  <c r="G786" i="3"/>
  <c r="G785" i="3"/>
  <c r="G784" i="3"/>
  <c r="G783" i="3"/>
  <c r="G782" i="3"/>
  <c r="G781" i="3"/>
  <c r="G780" i="3"/>
  <c r="G779" i="3"/>
  <c r="G778" i="3"/>
  <c r="G777" i="3"/>
  <c r="G776" i="3"/>
  <c r="G775" i="3"/>
  <c r="G774" i="3"/>
  <c r="G773" i="3"/>
  <c r="G772" i="3"/>
  <c r="G771" i="3"/>
  <c r="G770" i="3"/>
  <c r="G769" i="3"/>
  <c r="G768" i="3"/>
  <c r="G767" i="3"/>
  <c r="G766" i="3"/>
  <c r="G765" i="3"/>
  <c r="G764" i="3"/>
  <c r="G763" i="3"/>
  <c r="G762" i="3"/>
  <c r="G761" i="3"/>
  <c r="G760" i="3"/>
  <c r="G759" i="3"/>
  <c r="G758" i="3"/>
  <c r="G757" i="3"/>
  <c r="G756" i="3"/>
  <c r="G755" i="3"/>
  <c r="G754" i="3"/>
  <c r="G753" i="3"/>
  <c r="G752" i="3"/>
  <c r="G751" i="3"/>
  <c r="G750" i="3"/>
  <c r="G749" i="3"/>
  <c r="G748" i="3"/>
  <c r="G747" i="3"/>
  <c r="G746" i="3"/>
  <c r="G745" i="3"/>
  <c r="G744" i="3"/>
  <c r="G743" i="3"/>
  <c r="G742" i="3"/>
  <c r="G741" i="3"/>
  <c r="G740" i="3"/>
  <c r="G739" i="3"/>
  <c r="G738" i="3"/>
  <c r="G737" i="3"/>
  <c r="G736" i="3"/>
  <c r="G735" i="3"/>
  <c r="G734" i="3"/>
  <c r="G733" i="3"/>
  <c r="G732" i="3"/>
  <c r="G731" i="3"/>
  <c r="G730" i="3"/>
  <c r="G729" i="3"/>
  <c r="G728" i="3"/>
  <c r="G727" i="3"/>
  <c r="G726" i="3"/>
  <c r="G725" i="3"/>
  <c r="G724" i="3"/>
  <c r="G723" i="3"/>
  <c r="G722" i="3"/>
  <c r="G721" i="3"/>
  <c r="G720" i="3"/>
  <c r="G719" i="3"/>
  <c r="G718" i="3"/>
  <c r="G717" i="3"/>
  <c r="G716" i="3"/>
  <c r="G715" i="3"/>
  <c r="G714" i="3"/>
  <c r="G713" i="3"/>
  <c r="G712" i="3"/>
  <c r="G711" i="3"/>
  <c r="G710" i="3"/>
  <c r="G709" i="3"/>
  <c r="G708" i="3"/>
  <c r="G707" i="3"/>
  <c r="G706" i="3"/>
  <c r="G705" i="3"/>
  <c r="G704" i="3"/>
  <c r="G703" i="3"/>
  <c r="G702" i="3"/>
  <c r="G701" i="3"/>
  <c r="G700" i="3"/>
  <c r="G699" i="3"/>
  <c r="G698" i="3"/>
  <c r="G697" i="3"/>
  <c r="G696" i="3"/>
  <c r="G695" i="3"/>
  <c r="G694" i="3"/>
  <c r="G693" i="3"/>
  <c r="G692" i="3"/>
  <c r="G691" i="3"/>
  <c r="G690" i="3"/>
  <c r="G689" i="3"/>
  <c r="G688" i="3"/>
  <c r="G687" i="3"/>
  <c r="G686" i="3"/>
  <c r="G685" i="3"/>
  <c r="G684" i="3"/>
  <c r="G683" i="3"/>
  <c r="G682" i="3"/>
  <c r="G681" i="3"/>
  <c r="G680" i="3"/>
  <c r="G679" i="3"/>
  <c r="G678" i="3"/>
  <c r="G677" i="3"/>
  <c r="G676" i="3"/>
  <c r="G675" i="3"/>
  <c r="G674" i="3"/>
  <c r="G673" i="3"/>
  <c r="G672" i="3"/>
  <c r="G671" i="3"/>
  <c r="G670" i="3"/>
  <c r="G669" i="3"/>
  <c r="G668" i="3"/>
  <c r="G667" i="3"/>
  <c r="G666" i="3"/>
  <c r="G665" i="3"/>
  <c r="G664" i="3"/>
  <c r="G663" i="3"/>
  <c r="G662" i="3"/>
  <c r="G661" i="3"/>
  <c r="G660" i="3"/>
  <c r="G659" i="3"/>
  <c r="G658" i="3"/>
  <c r="G657" i="3"/>
  <c r="G656" i="3"/>
  <c r="G655" i="3"/>
  <c r="G654" i="3"/>
  <c r="G653" i="3"/>
  <c r="G652" i="3"/>
  <c r="G651" i="3"/>
  <c r="G650" i="3"/>
  <c r="G649" i="3"/>
  <c r="G648" i="3"/>
  <c r="G647" i="3"/>
  <c r="G646" i="3"/>
  <c r="G645" i="3"/>
  <c r="G644" i="3"/>
  <c r="G643" i="3"/>
  <c r="G642" i="3"/>
  <c r="G641" i="3"/>
  <c r="G640" i="3"/>
  <c r="G639" i="3"/>
  <c r="G638" i="3"/>
  <c r="G637" i="3"/>
  <c r="G636" i="3"/>
  <c r="G635" i="3"/>
  <c r="G634" i="3"/>
  <c r="G633" i="3"/>
  <c r="G632" i="3"/>
  <c r="G631" i="3"/>
  <c r="G630" i="3"/>
  <c r="G629" i="3"/>
  <c r="G628" i="3"/>
  <c r="G627" i="3"/>
  <c r="G626" i="3"/>
  <c r="G625" i="3"/>
  <c r="G624" i="3"/>
  <c r="G623" i="3"/>
  <c r="G622" i="3"/>
  <c r="G621" i="3"/>
  <c r="G620" i="3"/>
  <c r="G619" i="3"/>
  <c r="G618" i="3"/>
  <c r="G617" i="3"/>
  <c r="G616" i="3"/>
  <c r="G615" i="3"/>
  <c r="G614" i="3"/>
  <c r="G613" i="3"/>
  <c r="G612" i="3"/>
  <c r="G611" i="3"/>
  <c r="G610" i="3"/>
  <c r="G609" i="3"/>
  <c r="G608" i="3"/>
  <c r="G607" i="3"/>
  <c r="G606" i="3"/>
  <c r="G605" i="3"/>
  <c r="G604" i="3"/>
  <c r="G603" i="3"/>
  <c r="G602" i="3"/>
  <c r="G601" i="3"/>
  <c r="G600" i="3"/>
  <c r="G599" i="3"/>
  <c r="G598" i="3"/>
  <c r="G597" i="3"/>
  <c r="G596" i="3"/>
  <c r="G595" i="3"/>
  <c r="G594" i="3"/>
  <c r="G593" i="3"/>
  <c r="G592" i="3"/>
  <c r="G591" i="3"/>
  <c r="G590" i="3"/>
  <c r="G589" i="3"/>
  <c r="G588" i="3"/>
  <c r="G587" i="3"/>
  <c r="G586" i="3"/>
  <c r="G585" i="3"/>
  <c r="G584" i="3"/>
  <c r="G583" i="3"/>
  <c r="G582" i="3"/>
  <c r="G581" i="3"/>
  <c r="G580" i="3"/>
  <c r="G579" i="3"/>
  <c r="G578" i="3"/>
  <c r="G577" i="3"/>
  <c r="G576" i="3"/>
  <c r="G575" i="3"/>
  <c r="G574" i="3"/>
  <c r="G573" i="3"/>
  <c r="G572" i="3"/>
  <c r="G571" i="3"/>
  <c r="G570" i="3"/>
  <c r="G569" i="3"/>
  <c r="G568" i="3"/>
  <c r="G567" i="3"/>
  <c r="G566" i="3"/>
  <c r="G565" i="3"/>
  <c r="G564" i="3"/>
  <c r="G563" i="3"/>
  <c r="G562" i="3"/>
  <c r="G561" i="3"/>
  <c r="G560" i="3"/>
  <c r="G559" i="3"/>
  <c r="G558" i="3"/>
  <c r="G557" i="3"/>
  <c r="G556" i="3"/>
  <c r="G555" i="3"/>
  <c r="G554" i="3"/>
  <c r="G553" i="3"/>
  <c r="G552" i="3"/>
  <c r="G551" i="3"/>
  <c r="G550" i="3"/>
  <c r="G549" i="3"/>
  <c r="G548" i="3"/>
  <c r="G547" i="3"/>
  <c r="G546" i="3"/>
  <c r="G545" i="3"/>
  <c r="G544" i="3"/>
  <c r="G543" i="3"/>
  <c r="G542" i="3"/>
  <c r="G541" i="3"/>
  <c r="G540" i="3"/>
  <c r="G539" i="3"/>
  <c r="G538" i="3"/>
  <c r="G537" i="3"/>
  <c r="G536" i="3"/>
  <c r="G535" i="3"/>
  <c r="G534" i="3"/>
  <c r="G533" i="3"/>
  <c r="G532" i="3"/>
  <c r="G531" i="3"/>
  <c r="G530" i="3"/>
  <c r="G529" i="3"/>
  <c r="G528" i="3"/>
  <c r="G527" i="3"/>
  <c r="G526" i="3"/>
  <c r="G525" i="3"/>
  <c r="G524" i="3"/>
  <c r="G523" i="3"/>
  <c r="G522" i="3"/>
  <c r="G521" i="3"/>
  <c r="G520" i="3"/>
  <c r="G519" i="3"/>
  <c r="G518" i="3"/>
  <c r="G517" i="3"/>
  <c r="G516" i="3"/>
  <c r="G515" i="3"/>
  <c r="G514" i="3"/>
  <c r="G513" i="3"/>
  <c r="G512" i="3"/>
  <c r="G511" i="3"/>
  <c r="G510" i="3"/>
  <c r="G509" i="3"/>
  <c r="G508" i="3"/>
  <c r="G507" i="3"/>
  <c r="G506" i="3"/>
  <c r="G505" i="3"/>
  <c r="G504" i="3"/>
  <c r="G503" i="3"/>
  <c r="G502" i="3"/>
  <c r="G501" i="3"/>
  <c r="G500" i="3"/>
  <c r="G499" i="3"/>
  <c r="G498" i="3"/>
  <c r="G497" i="3"/>
  <c r="G496" i="3"/>
  <c r="G495" i="3"/>
  <c r="G494" i="3"/>
  <c r="G493" i="3"/>
  <c r="G492" i="3"/>
  <c r="G491" i="3"/>
  <c r="G490" i="3"/>
  <c r="G489" i="3"/>
  <c r="G488" i="3"/>
  <c r="G487" i="3"/>
  <c r="G486" i="3"/>
  <c r="G485" i="3"/>
  <c r="G484" i="3"/>
  <c r="G483" i="3"/>
  <c r="G482" i="3"/>
  <c r="G481" i="3"/>
  <c r="G480" i="3"/>
  <c r="G479" i="3"/>
  <c r="G478" i="3"/>
  <c r="G477" i="3"/>
  <c r="G476" i="3"/>
  <c r="G475" i="3"/>
  <c r="G474" i="3"/>
  <c r="G473" i="3"/>
  <c r="G472" i="3"/>
  <c r="G471" i="3"/>
  <c r="G470" i="3"/>
  <c r="G469" i="3"/>
  <c r="G468" i="3"/>
  <c r="G467" i="3"/>
  <c r="G466" i="3"/>
  <c r="G465" i="3"/>
  <c r="G464" i="3"/>
  <c r="G463" i="3"/>
  <c r="G462" i="3"/>
  <c r="G461" i="3"/>
  <c r="G460" i="3"/>
  <c r="G459" i="3"/>
  <c r="G458" i="3"/>
  <c r="G457" i="3"/>
  <c r="G456" i="3"/>
  <c r="G455" i="3"/>
  <c r="G454" i="3"/>
  <c r="G453" i="3"/>
  <c r="G452" i="3"/>
  <c r="G451" i="3"/>
  <c r="G450" i="3"/>
  <c r="G449" i="3"/>
  <c r="G448" i="3"/>
  <c r="G447" i="3"/>
  <c r="G446" i="3"/>
  <c r="G445" i="3"/>
  <c r="G444" i="3"/>
  <c r="G443" i="3"/>
  <c r="G442" i="3"/>
  <c r="G441" i="3"/>
  <c r="G440" i="3"/>
  <c r="G439" i="3"/>
  <c r="G438" i="3"/>
  <c r="G437" i="3"/>
  <c r="G436" i="3"/>
  <c r="G435" i="3"/>
  <c r="G434" i="3"/>
  <c r="G433" i="3"/>
  <c r="G432" i="3"/>
  <c r="G431" i="3"/>
  <c r="G430" i="3"/>
  <c r="G429" i="3"/>
  <c r="G428" i="3"/>
  <c r="G427" i="3"/>
  <c r="G426" i="3"/>
  <c r="G425" i="3"/>
  <c r="G424" i="3"/>
  <c r="G423" i="3"/>
  <c r="G422" i="3"/>
  <c r="G421" i="3"/>
  <c r="G420" i="3"/>
  <c r="G419" i="3"/>
  <c r="G418" i="3"/>
  <c r="G417" i="3"/>
  <c r="G416" i="3"/>
  <c r="G415" i="3"/>
  <c r="G414" i="3"/>
  <c r="G413" i="3"/>
  <c r="G412" i="3"/>
  <c r="G411" i="3"/>
  <c r="G410" i="3"/>
  <c r="G409" i="3"/>
  <c r="G408" i="3"/>
  <c r="G407" i="3"/>
  <c r="G406" i="3"/>
  <c r="G405" i="3"/>
  <c r="G404" i="3"/>
  <c r="G403" i="3"/>
  <c r="G402" i="3"/>
  <c r="G401" i="3"/>
  <c r="G400" i="3"/>
  <c r="G399" i="3"/>
  <c r="G398" i="3"/>
  <c r="G397" i="3"/>
  <c r="G396" i="3"/>
  <c r="G395" i="3"/>
  <c r="G394" i="3"/>
  <c r="G393" i="3"/>
  <c r="G392" i="3"/>
  <c r="G391" i="3"/>
  <c r="G390" i="3"/>
  <c r="G389" i="3"/>
  <c r="G388" i="3"/>
  <c r="G387" i="3"/>
  <c r="G386" i="3"/>
  <c r="G385" i="3"/>
  <c r="G384" i="3"/>
  <c r="G383" i="3"/>
  <c r="G382" i="3"/>
  <c r="G381" i="3"/>
  <c r="G380" i="3"/>
  <c r="G379" i="3"/>
  <c r="G378" i="3"/>
  <c r="G377" i="3"/>
  <c r="G376" i="3"/>
  <c r="G375" i="3"/>
  <c r="G374" i="3"/>
  <c r="G373" i="3"/>
  <c r="G372" i="3"/>
  <c r="G371" i="3"/>
  <c r="G370" i="3"/>
  <c r="G369" i="3"/>
  <c r="G368" i="3"/>
  <c r="G367" i="3"/>
  <c r="G366" i="3"/>
  <c r="G365" i="3"/>
  <c r="G364" i="3"/>
  <c r="G363" i="3"/>
  <c r="G362" i="3"/>
  <c r="G361" i="3"/>
  <c r="G360" i="3"/>
  <c r="G359" i="3"/>
  <c r="G358" i="3"/>
  <c r="G357" i="3"/>
  <c r="G356" i="3"/>
  <c r="G355" i="3"/>
  <c r="G354" i="3"/>
  <c r="G353" i="3"/>
  <c r="G352" i="3"/>
  <c r="G351" i="3"/>
  <c r="G350" i="3"/>
  <c r="G349" i="3"/>
  <c r="G348" i="3"/>
  <c r="G347" i="3"/>
  <c r="G346" i="3"/>
  <c r="G345" i="3"/>
  <c r="G344" i="3"/>
  <c r="G343" i="3"/>
  <c r="G342" i="3"/>
  <c r="G341" i="3"/>
  <c r="G340" i="3"/>
  <c r="G339" i="3"/>
  <c r="G338" i="3"/>
  <c r="G337" i="3"/>
  <c r="G336" i="3"/>
  <c r="G335" i="3"/>
  <c r="G334" i="3"/>
  <c r="G333" i="3"/>
  <c r="G332" i="3"/>
  <c r="G331" i="3"/>
  <c r="G330" i="3"/>
  <c r="G329" i="3"/>
  <c r="G328" i="3"/>
  <c r="G327" i="3"/>
  <c r="G326" i="3"/>
  <c r="G325" i="3"/>
  <c r="G324" i="3"/>
  <c r="G323" i="3"/>
  <c r="G322" i="3"/>
  <c r="G321" i="3"/>
  <c r="G320" i="3"/>
  <c r="G319" i="3"/>
  <c r="G318" i="3"/>
  <c r="G317" i="3"/>
  <c r="G316" i="3"/>
  <c r="G315" i="3"/>
  <c r="G314" i="3"/>
  <c r="G313" i="3"/>
  <c r="G312" i="3"/>
  <c r="G311" i="3"/>
  <c r="G310" i="3"/>
  <c r="G309" i="3"/>
  <c r="G308" i="3"/>
  <c r="G307" i="3"/>
  <c r="G306" i="3"/>
  <c r="G305" i="3"/>
  <c r="G304" i="3"/>
  <c r="G303" i="3"/>
  <c r="G302" i="3"/>
  <c r="G301" i="3"/>
  <c r="G300" i="3"/>
  <c r="G299" i="3"/>
  <c r="G298" i="3"/>
  <c r="G297" i="3"/>
  <c r="G296" i="3"/>
  <c r="G295" i="3"/>
  <c r="G294" i="3"/>
  <c r="G293" i="3"/>
  <c r="G292" i="3"/>
  <c r="G291" i="3"/>
  <c r="G290" i="3"/>
  <c r="G289" i="3"/>
  <c r="G288" i="3"/>
  <c r="G287" i="3"/>
  <c r="G286" i="3"/>
  <c r="G285" i="3"/>
  <c r="G284" i="3"/>
  <c r="G283" i="3"/>
  <c r="G282" i="3"/>
  <c r="G281" i="3"/>
  <c r="G280" i="3"/>
  <c r="G279" i="3"/>
  <c r="G278" i="3"/>
  <c r="G277" i="3"/>
  <c r="G276" i="3"/>
  <c r="G275" i="3"/>
  <c r="G274" i="3"/>
  <c r="G273" i="3"/>
  <c r="G272" i="3"/>
  <c r="G271" i="3"/>
  <c r="G270" i="3"/>
  <c r="G269" i="3"/>
  <c r="G268" i="3"/>
  <c r="G267" i="3"/>
  <c r="G266" i="3"/>
  <c r="G265" i="3"/>
  <c r="G264" i="3"/>
  <c r="G263" i="3"/>
  <c r="G262" i="3"/>
  <c r="G261" i="3"/>
  <c r="G260" i="3"/>
  <c r="G259" i="3"/>
  <c r="G258" i="3"/>
  <c r="G257" i="3"/>
  <c r="G256" i="3"/>
  <c r="G255" i="3"/>
  <c r="G254" i="3"/>
  <c r="G253" i="3"/>
  <c r="G252" i="3"/>
  <c r="G251" i="3"/>
  <c r="G250" i="3"/>
  <c r="G249" i="3"/>
  <c r="G248" i="3"/>
  <c r="G247" i="3"/>
  <c r="G246" i="3"/>
  <c r="G245" i="3"/>
  <c r="G244" i="3"/>
  <c r="G243" i="3"/>
  <c r="G242" i="3"/>
  <c r="G241" i="3"/>
  <c r="G240" i="3"/>
  <c r="G239" i="3"/>
  <c r="G238" i="3"/>
  <c r="G237" i="3"/>
  <c r="G236" i="3"/>
  <c r="G235" i="3"/>
  <c r="G234" i="3"/>
  <c r="G233" i="3"/>
  <c r="G232" i="3"/>
  <c r="G231" i="3"/>
  <c r="G230" i="3"/>
  <c r="G229" i="3"/>
  <c r="G228" i="3"/>
  <c r="G227" i="3"/>
  <c r="G226" i="3"/>
  <c r="G225" i="3"/>
  <c r="G224" i="3"/>
  <c r="G223" i="3"/>
  <c r="G222" i="3"/>
  <c r="G221" i="3"/>
  <c r="G220" i="3"/>
  <c r="G219" i="3"/>
  <c r="G218" i="3"/>
  <c r="G217" i="3"/>
  <c r="G216" i="3"/>
  <c r="G215" i="3"/>
  <c r="G214" i="3"/>
  <c r="G213" i="3"/>
  <c r="G212" i="3"/>
  <c r="G211" i="3"/>
  <c r="G210" i="3"/>
  <c r="G209" i="3"/>
  <c r="G208" i="3"/>
  <c r="G207" i="3"/>
  <c r="G206" i="3"/>
  <c r="G205" i="3"/>
  <c r="G204" i="3"/>
  <c r="G203" i="3"/>
  <c r="G202" i="3"/>
  <c r="G201" i="3"/>
  <c r="G200" i="3"/>
  <c r="G199" i="3"/>
  <c r="G198" i="3"/>
  <c r="G197" i="3"/>
  <c r="G196" i="3"/>
  <c r="G195" i="3"/>
  <c r="G194" i="3"/>
  <c r="G193" i="3"/>
  <c r="G192" i="3"/>
  <c r="G191" i="3"/>
  <c r="G190" i="3"/>
  <c r="G189" i="3"/>
  <c r="G188" i="3"/>
  <c r="G187" i="3"/>
  <c r="G186" i="3"/>
  <c r="G185" i="3"/>
  <c r="G184" i="3"/>
  <c r="G183" i="3"/>
  <c r="G182" i="3"/>
  <c r="G181" i="3"/>
  <c r="G180" i="3"/>
  <c r="G179" i="3"/>
  <c r="G178" i="3"/>
  <c r="G177" i="3"/>
  <c r="G176" i="3"/>
  <c r="G175" i="3"/>
  <c r="G174" i="3"/>
  <c r="G173" i="3"/>
  <c r="G172" i="3"/>
  <c r="G171" i="3"/>
  <c r="G170" i="3"/>
  <c r="G169" i="3"/>
  <c r="G168" i="3"/>
  <c r="G167" i="3"/>
  <c r="G166" i="3"/>
  <c r="G165" i="3"/>
  <c r="G164" i="3"/>
  <c r="G163" i="3"/>
  <c r="G162" i="3"/>
  <c r="G161" i="3"/>
  <c r="G160" i="3"/>
  <c r="G159" i="3"/>
  <c r="G158" i="3"/>
  <c r="G157" i="3"/>
  <c r="G156" i="3"/>
  <c r="G155" i="3"/>
  <c r="G154" i="3"/>
  <c r="G153" i="3"/>
  <c r="G152" i="3"/>
  <c r="G151" i="3"/>
  <c r="G150" i="3"/>
  <c r="G149" i="3"/>
  <c r="G148" i="3"/>
  <c r="G147" i="3"/>
  <c r="G146" i="3"/>
  <c r="G145" i="3"/>
  <c r="G144" i="3"/>
  <c r="G143" i="3"/>
  <c r="G142" i="3"/>
  <c r="G141" i="3"/>
  <c r="G140" i="3"/>
  <c r="G139" i="3"/>
  <c r="G138" i="3"/>
  <c r="G137" i="3"/>
  <c r="G136" i="3"/>
  <c r="G135" i="3"/>
  <c r="G134" i="3"/>
  <c r="G133" i="3"/>
  <c r="G132" i="3"/>
  <c r="G131" i="3"/>
  <c r="G130" i="3"/>
  <c r="G129" i="3"/>
  <c r="G128" i="3"/>
  <c r="G127" i="3"/>
  <c r="G126" i="3"/>
  <c r="G125" i="3"/>
  <c r="G124" i="3"/>
  <c r="G123" i="3"/>
  <c r="G122" i="3"/>
  <c r="G121" i="3"/>
  <c r="G120" i="3"/>
  <c r="G119" i="3"/>
  <c r="G118" i="3"/>
  <c r="G117" i="3"/>
  <c r="G116" i="3"/>
  <c r="G115" i="3"/>
  <c r="G114" i="3"/>
  <c r="G113" i="3"/>
  <c r="G112" i="3"/>
  <c r="G111" i="3"/>
  <c r="G110" i="3"/>
  <c r="G109" i="3"/>
  <c r="G108" i="3"/>
  <c r="G107" i="3"/>
  <c r="G106" i="3"/>
  <c r="G105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73" i="3"/>
  <c r="G72" i="3"/>
  <c r="G71" i="3"/>
  <c r="G70" i="3"/>
  <c r="G69" i="3"/>
  <c r="G68" i="3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G3" i="3"/>
  <c r="G2" i="3"/>
  <c r="G20" i="309"/>
  <c r="H20" i="309"/>
  <c r="G21" i="309"/>
  <c r="H21" i="309"/>
  <c r="G22" i="309"/>
  <c r="H22" i="309"/>
  <c r="G23" i="309"/>
  <c r="H23" i="309"/>
  <c r="G24" i="309"/>
  <c r="H24" i="309"/>
  <c r="G25" i="309"/>
  <c r="H25" i="309"/>
  <c r="G26" i="309"/>
  <c r="H26" i="309"/>
  <c r="G27" i="309"/>
  <c r="H27" i="309"/>
  <c r="G28" i="309"/>
  <c r="H28" i="309"/>
  <c r="G29" i="309"/>
  <c r="H29" i="309"/>
  <c r="G30" i="309"/>
  <c r="H30" i="309"/>
  <c r="G31" i="309"/>
  <c r="H31" i="309"/>
  <c r="G32" i="309"/>
  <c r="H32" i="309"/>
  <c r="G33" i="309"/>
  <c r="H33" i="309"/>
  <c r="G34" i="309"/>
  <c r="H34" i="309"/>
  <c r="G35" i="309"/>
  <c r="H35" i="309"/>
  <c r="G36" i="309"/>
  <c r="H36" i="309"/>
  <c r="G37" i="309"/>
  <c r="H37" i="309"/>
  <c r="G38" i="309"/>
  <c r="H38" i="309"/>
  <c r="G39" i="309"/>
  <c r="H39" i="309"/>
  <c r="G40" i="309"/>
  <c r="H40" i="309"/>
  <c r="G41" i="309"/>
  <c r="H41" i="309"/>
  <c r="G42" i="309"/>
  <c r="H42" i="309"/>
  <c r="G43" i="309"/>
  <c r="H43" i="309"/>
  <c r="G44" i="309"/>
  <c r="H44" i="309"/>
  <c r="G45" i="309"/>
  <c r="H45" i="309"/>
  <c r="G46" i="309"/>
  <c r="H46" i="309"/>
  <c r="G47" i="309"/>
  <c r="H47" i="309"/>
  <c r="G48" i="309"/>
  <c r="H48" i="309"/>
  <c r="G49" i="309"/>
  <c r="H49" i="309"/>
  <c r="G50" i="309"/>
  <c r="H50" i="309"/>
  <c r="G51" i="309"/>
  <c r="H51" i="309"/>
  <c r="G52" i="309"/>
  <c r="H52" i="309"/>
  <c r="G53" i="309"/>
  <c r="H53" i="309"/>
  <c r="G54" i="309"/>
  <c r="H54" i="309"/>
  <c r="G55" i="309"/>
  <c r="H55" i="309"/>
  <c r="G56" i="309"/>
  <c r="H56" i="309"/>
  <c r="G57" i="309"/>
  <c r="H57" i="309"/>
  <c r="G58" i="309"/>
  <c r="H58" i="309"/>
  <c r="G59" i="309"/>
  <c r="H59" i="309"/>
  <c r="G60" i="309"/>
  <c r="H60" i="309"/>
  <c r="G61" i="309"/>
  <c r="H61" i="309"/>
  <c r="G62" i="309"/>
  <c r="H62" i="309"/>
  <c r="G63" i="309"/>
  <c r="H63" i="309"/>
  <c r="G64" i="309"/>
  <c r="H64" i="309"/>
  <c r="G65" i="309"/>
  <c r="H65" i="309"/>
  <c r="G66" i="309"/>
  <c r="H66" i="309"/>
  <c r="G67" i="309"/>
  <c r="H67" i="309"/>
  <c r="G68" i="309"/>
  <c r="H68" i="309"/>
  <c r="G69" i="309"/>
  <c r="H69" i="309"/>
  <c r="G70" i="309"/>
  <c r="H70" i="309"/>
  <c r="G71" i="309"/>
  <c r="H71" i="309"/>
  <c r="G72" i="309"/>
  <c r="H72" i="309"/>
  <c r="G73" i="309"/>
  <c r="H73" i="309"/>
  <c r="G74" i="309"/>
  <c r="H74" i="309"/>
  <c r="G75" i="309"/>
  <c r="H75" i="309"/>
  <c r="G76" i="309"/>
  <c r="H76" i="309"/>
  <c r="G77" i="309"/>
  <c r="H77" i="309"/>
  <c r="G78" i="309"/>
  <c r="H78" i="309"/>
  <c r="G79" i="309"/>
  <c r="H79" i="309"/>
  <c r="G80" i="309"/>
  <c r="H80" i="309"/>
  <c r="G81" i="309"/>
  <c r="H81" i="309"/>
  <c r="G82" i="309"/>
  <c r="H82" i="309"/>
  <c r="G83" i="309"/>
  <c r="H83" i="309"/>
  <c r="G84" i="309"/>
  <c r="H84" i="309"/>
  <c r="G85" i="309"/>
  <c r="H85" i="309"/>
  <c r="G86" i="309"/>
  <c r="H86" i="309"/>
  <c r="G87" i="309"/>
  <c r="H87" i="309"/>
  <c r="G88" i="309"/>
  <c r="H88" i="309"/>
  <c r="G89" i="309"/>
  <c r="H89" i="309"/>
  <c r="G90" i="309"/>
  <c r="H90" i="309"/>
  <c r="G91" i="309"/>
  <c r="H91" i="309"/>
  <c r="G92" i="309"/>
  <c r="H92" i="309"/>
  <c r="G93" i="309"/>
  <c r="H93" i="309"/>
  <c r="G94" i="309"/>
  <c r="H94" i="309"/>
  <c r="G95" i="309"/>
  <c r="H95" i="309"/>
  <c r="G96" i="309"/>
  <c r="H96" i="309"/>
  <c r="G97" i="309"/>
  <c r="H97" i="309"/>
  <c r="G98" i="309"/>
  <c r="H98" i="309"/>
  <c r="G99" i="309"/>
  <c r="H99" i="309"/>
  <c r="G100" i="309"/>
  <c r="H100" i="309"/>
  <c r="C99" i="309"/>
  <c r="D99" i="309"/>
  <c r="C100" i="309"/>
  <c r="D100" i="309"/>
  <c r="C20" i="309"/>
  <c r="D20" i="309"/>
  <c r="C21" i="309"/>
  <c r="D21" i="309"/>
  <c r="C22" i="309"/>
  <c r="D22" i="309"/>
  <c r="C23" i="309"/>
  <c r="D23" i="309"/>
  <c r="C24" i="309"/>
  <c r="D24" i="309"/>
  <c r="C25" i="309"/>
  <c r="D25" i="309"/>
  <c r="C26" i="309"/>
  <c r="D26" i="309"/>
  <c r="C27" i="309"/>
  <c r="D27" i="309"/>
  <c r="C28" i="309"/>
  <c r="D28" i="309"/>
  <c r="C29" i="309"/>
  <c r="D29" i="309"/>
  <c r="C30" i="309"/>
  <c r="D30" i="309"/>
  <c r="C31" i="309"/>
  <c r="D31" i="309"/>
  <c r="C32" i="309"/>
  <c r="D32" i="309"/>
  <c r="C33" i="309"/>
  <c r="D33" i="309"/>
  <c r="C34" i="309"/>
  <c r="D34" i="309"/>
  <c r="C35" i="309"/>
  <c r="D35" i="309"/>
  <c r="C36" i="309"/>
  <c r="D36" i="309"/>
  <c r="C37" i="309"/>
  <c r="D37" i="309"/>
  <c r="C38" i="309"/>
  <c r="D38" i="309"/>
  <c r="C39" i="309"/>
  <c r="D39" i="309"/>
  <c r="C40" i="309"/>
  <c r="D40" i="309"/>
  <c r="C41" i="309"/>
  <c r="D41" i="309"/>
  <c r="C42" i="309"/>
  <c r="D42" i="309"/>
  <c r="C43" i="309"/>
  <c r="D43" i="309"/>
  <c r="C44" i="309"/>
  <c r="D44" i="309"/>
  <c r="C45" i="309"/>
  <c r="D45" i="309"/>
  <c r="C46" i="309"/>
  <c r="D46" i="309"/>
  <c r="C47" i="309"/>
  <c r="D47" i="309"/>
  <c r="C48" i="309"/>
  <c r="D48" i="309"/>
  <c r="C49" i="309"/>
  <c r="D49" i="309"/>
  <c r="C50" i="309"/>
  <c r="D50" i="309"/>
  <c r="C51" i="309"/>
  <c r="D51" i="309"/>
  <c r="C52" i="309"/>
  <c r="D52" i="309"/>
  <c r="C53" i="309"/>
  <c r="D53" i="309"/>
  <c r="C54" i="309"/>
  <c r="D54" i="309"/>
  <c r="C55" i="309"/>
  <c r="D55" i="309"/>
  <c r="C56" i="309"/>
  <c r="D56" i="309"/>
  <c r="C57" i="309"/>
  <c r="D57" i="309"/>
  <c r="C58" i="309"/>
  <c r="D58" i="309"/>
  <c r="C59" i="309"/>
  <c r="D59" i="309"/>
  <c r="C60" i="309"/>
  <c r="D60" i="309"/>
  <c r="C61" i="309"/>
  <c r="D61" i="309"/>
  <c r="C62" i="309"/>
  <c r="D62" i="309"/>
  <c r="C63" i="309"/>
  <c r="D63" i="309"/>
  <c r="C64" i="309"/>
  <c r="D64" i="309"/>
  <c r="C65" i="309"/>
  <c r="D65" i="309"/>
  <c r="C66" i="309"/>
  <c r="D66" i="309"/>
  <c r="C67" i="309"/>
  <c r="D67" i="309"/>
  <c r="C68" i="309"/>
  <c r="D68" i="309"/>
  <c r="C69" i="309"/>
  <c r="D69" i="309"/>
  <c r="C70" i="309"/>
  <c r="D70" i="309"/>
  <c r="C71" i="309"/>
  <c r="D71" i="309"/>
  <c r="C72" i="309"/>
  <c r="D72" i="309"/>
  <c r="C73" i="309"/>
  <c r="D73" i="309"/>
  <c r="C74" i="309"/>
  <c r="D74" i="309"/>
  <c r="C75" i="309"/>
  <c r="D75" i="309"/>
  <c r="C76" i="309"/>
  <c r="D76" i="309"/>
  <c r="C77" i="309"/>
  <c r="D77" i="309"/>
  <c r="C78" i="309"/>
  <c r="D78" i="309"/>
  <c r="C79" i="309"/>
  <c r="D79" i="309"/>
  <c r="C80" i="309"/>
  <c r="D80" i="309"/>
  <c r="C81" i="309"/>
  <c r="D81" i="309"/>
  <c r="C82" i="309"/>
  <c r="D82" i="309"/>
  <c r="C83" i="309"/>
  <c r="D83" i="309"/>
  <c r="C84" i="309"/>
  <c r="D84" i="309"/>
  <c r="C85" i="309"/>
  <c r="D85" i="309"/>
  <c r="C86" i="309"/>
  <c r="D86" i="309"/>
  <c r="C87" i="309"/>
  <c r="D87" i="309"/>
  <c r="C88" i="309"/>
  <c r="D88" i="309"/>
  <c r="C89" i="309"/>
  <c r="D89" i="309"/>
  <c r="C90" i="309"/>
  <c r="D90" i="309"/>
  <c r="C91" i="309"/>
  <c r="D91" i="309"/>
  <c r="C92" i="309"/>
  <c r="D92" i="309"/>
  <c r="C93" i="309"/>
  <c r="D93" i="309"/>
  <c r="C94" i="309"/>
  <c r="D94" i="309"/>
  <c r="C95" i="309"/>
  <c r="D95" i="309"/>
  <c r="C96" i="309"/>
  <c r="D96" i="309"/>
  <c r="C97" i="309"/>
  <c r="D97" i="309"/>
  <c r="C98" i="309"/>
  <c r="D98" i="309"/>
  <c r="H14" i="309"/>
  <c r="H19" i="309"/>
  <c r="D15" i="309"/>
  <c r="H13" i="309"/>
  <c r="D16" i="309"/>
  <c r="H18" i="309"/>
  <c r="D13" i="309"/>
  <c r="D17" i="309"/>
  <c r="H16" i="309"/>
  <c r="H17" i="309"/>
  <c r="D19" i="309"/>
  <c r="H15" i="309"/>
  <c r="D18" i="309"/>
  <c r="D14" i="309"/>
  <c r="H11" i="309"/>
  <c r="H12" i="309"/>
  <c r="D12" i="309"/>
  <c r="D11" i="309"/>
  <c r="D4" i="309"/>
  <c r="D10" i="309"/>
  <c r="H4" i="309"/>
  <c r="D2" i="309"/>
  <c r="H2" i="309"/>
  <c r="D6" i="309"/>
  <c r="D8" i="309"/>
  <c r="D5" i="309"/>
  <c r="H3" i="309"/>
  <c r="H7" i="309"/>
  <c r="H5" i="309"/>
  <c r="H8" i="309"/>
  <c r="D7" i="309"/>
  <c r="H6" i="309"/>
  <c r="D3" i="309"/>
  <c r="D9" i="309"/>
  <c r="H10" i="309"/>
  <c r="H9" i="309"/>
  <c r="C18" i="309" l="1"/>
  <c r="C12" i="309"/>
  <c r="C6" i="309"/>
  <c r="G14" i="309"/>
  <c r="G8" i="309"/>
  <c r="C4" i="309"/>
  <c r="C17" i="309"/>
  <c r="C11" i="309"/>
  <c r="G19" i="309"/>
  <c r="G13" i="309"/>
  <c r="G7" i="309"/>
  <c r="C16" i="309"/>
  <c r="C10" i="309"/>
  <c r="G18" i="309"/>
  <c r="G12" i="309"/>
  <c r="G6" i="309"/>
  <c r="C3" i="309"/>
  <c r="C2" i="309"/>
  <c r="C15" i="309"/>
  <c r="C9" i="309"/>
  <c r="G17" i="309"/>
  <c r="G11" i="309"/>
  <c r="G5" i="309"/>
  <c r="G2" i="309"/>
  <c r="C14" i="309"/>
  <c r="C8" i="309"/>
  <c r="G16" i="309"/>
  <c r="G10" i="309"/>
  <c r="G4" i="309"/>
  <c r="C5" i="309"/>
  <c r="C19" i="309"/>
  <c r="C13" i="309"/>
  <c r="C7" i="309"/>
  <c r="G15" i="309"/>
  <c r="G9" i="309"/>
  <c r="G3" i="309"/>
  <c r="L18" i="24"/>
  <c r="L19" i="24"/>
  <c r="L20" i="24"/>
  <c r="L21" i="24"/>
  <c r="L22" i="24"/>
  <c r="L23" i="24"/>
  <c r="L24" i="24"/>
  <c r="L25" i="24"/>
  <c r="L26" i="24"/>
  <c r="L27" i="24"/>
  <c r="L28" i="24"/>
  <c r="L29" i="24"/>
  <c r="L30" i="24"/>
  <c r="L31" i="24"/>
  <c r="L32" i="24"/>
  <c r="L33" i="24"/>
  <c r="L34" i="24"/>
  <c r="L35" i="24"/>
  <c r="L36" i="24"/>
  <c r="L37" i="24"/>
  <c r="L38" i="24"/>
  <c r="C2" i="45" l="1"/>
  <c r="C3" i="45"/>
  <c r="C4" i="45"/>
  <c r="C5" i="45"/>
  <c r="C6" i="45"/>
  <c r="C7" i="45"/>
  <c r="C8" i="45"/>
  <c r="L17" i="24"/>
  <c r="L16" i="24"/>
  <c r="L15" i="24"/>
  <c r="L14" i="24"/>
  <c r="L13" i="24"/>
  <c r="L12" i="24"/>
  <c r="L11" i="24"/>
  <c r="L10" i="24"/>
  <c r="L9" i="24"/>
  <c r="L8" i="24"/>
  <c r="L7" i="24"/>
  <c r="L6" i="24"/>
  <c r="L5" i="24"/>
  <c r="L4" i="24"/>
  <c r="L3" i="24"/>
  <c r="L2" i="24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3" i="8"/>
  <c r="C9" i="45"/>
  <c r="C10" i="45"/>
  <c r="C11" i="45"/>
  <c r="C12" i="45"/>
  <c r="C13" i="45"/>
  <c r="C14" i="45"/>
  <c r="C15" i="45"/>
  <c r="C16" i="45"/>
  <c r="C17" i="45"/>
  <c r="C18" i="45"/>
  <c r="C19" i="45"/>
  <c r="C20" i="45"/>
  <c r="C21" i="45"/>
  <c r="C22" i="45"/>
  <c r="C23" i="45"/>
  <c r="C24" i="45"/>
  <c r="C25" i="45"/>
  <c r="C26" i="45"/>
  <c r="C27" i="45"/>
  <c r="C28" i="45"/>
  <c r="C29" i="45"/>
  <c r="C30" i="45"/>
  <c r="C31" i="45"/>
  <c r="C32" i="45"/>
  <c r="C33" i="45"/>
  <c r="C34" i="45"/>
  <c r="C35" i="45"/>
  <c r="C36" i="45"/>
  <c r="C37" i="45"/>
  <c r="C38" i="45"/>
  <c r="C39" i="45"/>
  <c r="C40" i="45"/>
  <c r="C41" i="45"/>
  <c r="C42" i="45"/>
  <c r="C43" i="45"/>
  <c r="C44" i="45"/>
  <c r="C45" i="45"/>
  <c r="C46" i="45"/>
  <c r="C47" i="45"/>
  <c r="C48" i="45"/>
  <c r="C49" i="45"/>
  <c r="C50" i="45"/>
  <c r="C51" i="45"/>
  <c r="C52" i="45"/>
  <c r="C53" i="45"/>
  <c r="C54" i="45"/>
  <c r="C55" i="45"/>
  <c r="C56" i="45"/>
  <c r="C57" i="45"/>
  <c r="C58" i="45"/>
  <c r="C59" i="45"/>
  <c r="C60" i="45"/>
  <c r="C61" i="45"/>
  <c r="C62" i="45"/>
  <c r="C63" i="45"/>
  <c r="C64" i="45"/>
  <c r="C65" i="45"/>
  <c r="C66" i="45"/>
  <c r="C67" i="45"/>
  <c r="C68" i="45"/>
  <c r="C69" i="45"/>
  <c r="C70" i="45"/>
  <c r="C71" i="45"/>
  <c r="C72" i="45"/>
  <c r="C73" i="45"/>
  <c r="C74" i="45"/>
  <c r="C75" i="45"/>
  <c r="C76" i="45"/>
  <c r="C77" i="45"/>
  <c r="C78" i="45"/>
  <c r="C79" i="45"/>
  <c r="C80" i="45"/>
  <c r="C81" i="45"/>
  <c r="C82" i="45"/>
  <c r="C83" i="45"/>
  <c r="C84" i="45"/>
  <c r="C85" i="45"/>
  <c r="C86" i="45"/>
  <c r="C87" i="45"/>
  <c r="C88" i="45"/>
  <c r="C89" i="45"/>
  <c r="C90" i="45"/>
  <c r="C91" i="45"/>
  <c r="C92" i="45"/>
  <c r="C93" i="45"/>
  <c r="C94" i="45"/>
  <c r="C95" i="45"/>
  <c r="C96" i="45"/>
  <c r="C97" i="45"/>
  <c r="C98" i="45"/>
  <c r="C99" i="45"/>
  <c r="C100" i="45"/>
  <c r="C101" i="45"/>
  <c r="C102" i="45"/>
  <c r="C103" i="45"/>
  <c r="C104" i="45"/>
  <c r="C105" i="45"/>
  <c r="C106" i="45"/>
  <c r="C107" i="45"/>
  <c r="C108" i="45"/>
  <c r="C109" i="45"/>
  <c r="C110" i="45"/>
  <c r="C111" i="45"/>
  <c r="C112" i="45"/>
  <c r="C113" i="45"/>
  <c r="C114" i="45"/>
  <c r="C115" i="45"/>
  <c r="C116" i="45"/>
  <c r="C117" i="45"/>
  <c r="C118" i="45"/>
  <c r="C119" i="45"/>
  <c r="C120" i="45"/>
  <c r="C121" i="45"/>
  <c r="C122" i="45"/>
  <c r="C123" i="45"/>
  <c r="C124" i="45"/>
  <c r="C125" i="45"/>
  <c r="C126" i="45"/>
  <c r="C127" i="45"/>
  <c r="C128" i="45"/>
  <c r="C129" i="45"/>
  <c r="C130" i="45"/>
  <c r="C131" i="45"/>
  <c r="C132" i="45"/>
  <c r="C133" i="45"/>
  <c r="C134" i="45"/>
  <c r="C135" i="45"/>
  <c r="C136" i="45"/>
  <c r="C137" i="45"/>
  <c r="C138" i="45"/>
  <c r="C139" i="45"/>
  <c r="C140" i="45"/>
  <c r="C141" i="45"/>
  <c r="C142" i="45"/>
  <c r="C143" i="45"/>
  <c r="C144" i="45"/>
  <c r="C145" i="45"/>
  <c r="C146" i="45"/>
  <c r="C147" i="45"/>
  <c r="C148" i="45"/>
  <c r="C149" i="45"/>
  <c r="C150" i="45"/>
  <c r="C151" i="45"/>
  <c r="C152" i="45"/>
  <c r="C153" i="45"/>
  <c r="C154" i="45"/>
  <c r="C155" i="45"/>
  <c r="C156" i="45"/>
  <c r="C157" i="45"/>
  <c r="C158" i="45"/>
  <c r="C159" i="45"/>
  <c r="C160" i="45"/>
  <c r="C161" i="45"/>
  <c r="C162" i="45"/>
  <c r="C163" i="45"/>
  <c r="C164" i="45"/>
  <c r="C165" i="45"/>
  <c r="C166" i="45"/>
  <c r="C167" i="45"/>
  <c r="C168" i="45"/>
  <c r="C169" i="45"/>
  <c r="C170" i="45"/>
  <c r="C171" i="45"/>
  <c r="C172" i="45"/>
  <c r="C173" i="45"/>
  <c r="C174" i="45"/>
  <c r="C175" i="45"/>
  <c r="C176" i="45"/>
  <c r="C177" i="45"/>
  <c r="C178" i="45"/>
  <c r="C179" i="45"/>
  <c r="C180" i="45"/>
  <c r="C181" i="45"/>
  <c r="C182" i="45"/>
  <c r="C183" i="45"/>
  <c r="C184" i="45"/>
  <c r="C185" i="45"/>
  <c r="C186" i="45"/>
  <c r="C187" i="45"/>
  <c r="C188" i="45"/>
  <c r="C189" i="45"/>
  <c r="C190" i="45"/>
  <c r="C191" i="45"/>
  <c r="C192" i="45"/>
  <c r="C193" i="45"/>
  <c r="C194" i="45"/>
  <c r="C195" i="45"/>
  <c r="C196" i="45"/>
  <c r="C197" i="45"/>
  <c r="C198" i="45"/>
  <c r="C199" i="45"/>
  <c r="C200" i="45"/>
  <c r="C201" i="45"/>
  <c r="C202" i="45"/>
  <c r="C203" i="45"/>
  <c r="C204" i="45"/>
  <c r="C205" i="45"/>
  <c r="C206" i="45"/>
  <c r="C207" i="45"/>
  <c r="C208" i="45"/>
  <c r="C209" i="45"/>
  <c r="C210" i="45"/>
  <c r="C211" i="45"/>
  <c r="C212" i="45"/>
  <c r="C213" i="45"/>
  <c r="C214" i="45"/>
  <c r="C215" i="45"/>
  <c r="C216" i="45"/>
  <c r="C217" i="45"/>
  <c r="C218" i="45"/>
  <c r="C219" i="45"/>
  <c r="C220" i="45"/>
  <c r="C221" i="45"/>
  <c r="C222" i="45"/>
  <c r="C223" i="45"/>
  <c r="C224" i="45"/>
  <c r="C225" i="45"/>
  <c r="C226" i="45"/>
  <c r="C227" i="45"/>
  <c r="C228" i="45"/>
  <c r="C229" i="45"/>
  <c r="C230" i="45"/>
  <c r="C231" i="45"/>
  <c r="C232" i="45"/>
  <c r="C233" i="45"/>
  <c r="C234" i="45"/>
  <c r="C235" i="45"/>
  <c r="C236" i="45"/>
  <c r="C237" i="45"/>
  <c r="C238" i="45"/>
  <c r="C239" i="45"/>
  <c r="C240" i="45"/>
  <c r="C241" i="45"/>
  <c r="C242" i="45"/>
  <c r="C243" i="45"/>
  <c r="C244" i="45"/>
  <c r="C245" i="45"/>
  <c r="C246" i="45"/>
  <c r="C247" i="45"/>
  <c r="C248" i="45"/>
  <c r="C249" i="45"/>
  <c r="C250" i="45"/>
  <c r="C251" i="45"/>
  <c r="C252" i="45"/>
  <c r="C253" i="45"/>
  <c r="C254" i="45"/>
  <c r="C255" i="45"/>
  <c r="C256" i="45"/>
  <c r="C257" i="45"/>
  <c r="C258" i="45"/>
  <c r="C259" i="45"/>
  <c r="C260" i="45"/>
  <c r="C261" i="45"/>
  <c r="C262" i="45"/>
  <c r="C263" i="45"/>
  <c r="C264" i="45"/>
  <c r="C265" i="45"/>
  <c r="C266" i="45"/>
  <c r="C267" i="45"/>
  <c r="C268" i="45"/>
  <c r="C269" i="45"/>
  <c r="C270" i="45"/>
  <c r="C271" i="45"/>
  <c r="C272" i="45"/>
  <c r="C273" i="45"/>
  <c r="C274" i="45"/>
  <c r="C275" i="45"/>
  <c r="C276" i="45"/>
  <c r="C277" i="45"/>
  <c r="C278" i="45"/>
  <c r="C279" i="45"/>
  <c r="C280" i="45"/>
  <c r="C281" i="45"/>
  <c r="C282" i="45"/>
  <c r="C283" i="45"/>
  <c r="C284" i="45"/>
  <c r="C285" i="45"/>
  <c r="C286" i="45"/>
  <c r="C287" i="45"/>
  <c r="C288" i="45"/>
  <c r="C289" i="45"/>
  <c r="C290" i="45"/>
  <c r="C291" i="45"/>
  <c r="C292" i="45"/>
  <c r="C293" i="45"/>
  <c r="C294" i="45"/>
  <c r="C295" i="45"/>
  <c r="C296" i="45"/>
  <c r="C297" i="45"/>
  <c r="C298" i="45"/>
  <c r="C299" i="45"/>
  <c r="C300" i="45"/>
  <c r="C301" i="45"/>
  <c r="C302" i="45"/>
  <c r="C303" i="45"/>
  <c r="C304" i="45"/>
  <c r="C305" i="45"/>
  <c r="C306" i="45"/>
  <c r="C307" i="45"/>
  <c r="C308" i="45"/>
  <c r="C309" i="45"/>
  <c r="C310" i="45"/>
  <c r="C311" i="45"/>
  <c r="C312" i="45"/>
  <c r="C313" i="45"/>
  <c r="C314" i="45"/>
  <c r="C315" i="45"/>
  <c r="C316" i="45"/>
  <c r="C317" i="45"/>
  <c r="C318" i="45"/>
  <c r="C319" i="45"/>
  <c r="C320" i="45"/>
  <c r="C321" i="45"/>
  <c r="C322" i="45"/>
  <c r="C323" i="45"/>
  <c r="C324" i="45"/>
  <c r="C325" i="45"/>
  <c r="C326" i="45"/>
  <c r="C327" i="45"/>
  <c r="C328" i="45"/>
  <c r="C329" i="45"/>
  <c r="C330" i="45"/>
  <c r="C331" i="45"/>
  <c r="C332" i="45"/>
  <c r="C333" i="45"/>
  <c r="C334" i="45"/>
  <c r="C335" i="45"/>
  <c r="C336" i="45"/>
  <c r="C337" i="45"/>
  <c r="C338" i="45"/>
  <c r="C339" i="45"/>
  <c r="C340" i="45"/>
  <c r="C341" i="45"/>
  <c r="C342" i="45"/>
  <c r="C343" i="45"/>
  <c r="C344" i="45"/>
  <c r="C345" i="45"/>
  <c r="C346" i="45"/>
  <c r="C347" i="45"/>
  <c r="C348" i="45"/>
  <c r="C349" i="45"/>
  <c r="C350" i="45"/>
  <c r="C351" i="45"/>
  <c r="C352" i="45"/>
  <c r="C353" i="45"/>
  <c r="C354" i="45"/>
  <c r="C355" i="45"/>
  <c r="C356" i="45"/>
  <c r="C357" i="45"/>
  <c r="C358" i="45"/>
  <c r="C359" i="45"/>
  <c r="C360" i="45"/>
  <c r="C361" i="45"/>
  <c r="C362" i="45"/>
  <c r="C363" i="45"/>
  <c r="C364" i="45"/>
  <c r="C365" i="45"/>
  <c r="C366" i="45"/>
  <c r="C367" i="45"/>
  <c r="C368" i="45"/>
  <c r="C369" i="45"/>
  <c r="C370" i="45"/>
  <c r="C371" i="45"/>
  <c r="C372" i="45"/>
  <c r="C373" i="45"/>
  <c r="C374" i="45"/>
  <c r="C375" i="45"/>
  <c r="C376" i="45"/>
  <c r="C377" i="45"/>
  <c r="C378" i="45"/>
  <c r="C379" i="45"/>
  <c r="C380" i="45"/>
  <c r="C381" i="45"/>
  <c r="C382" i="45"/>
  <c r="C383" i="45"/>
  <c r="C384" i="45"/>
  <c r="C385" i="45"/>
  <c r="C386" i="45"/>
  <c r="C387" i="45"/>
  <c r="C388" i="45"/>
  <c r="C389" i="45"/>
  <c r="C390" i="45"/>
  <c r="C391" i="45"/>
  <c r="C392" i="45"/>
  <c r="C393" i="45"/>
  <c r="C394" i="45"/>
  <c r="C395" i="45"/>
  <c r="C396" i="45"/>
  <c r="C397" i="45"/>
  <c r="C398" i="45"/>
  <c r="C399" i="45"/>
  <c r="C400" i="45"/>
  <c r="C401" i="45"/>
  <c r="C402" i="45"/>
  <c r="C403" i="45"/>
  <c r="C404" i="45"/>
  <c r="C405" i="45"/>
  <c r="C406" i="45"/>
  <c r="C407" i="45"/>
  <c r="C408" i="45"/>
  <c r="C409" i="45"/>
  <c r="C410" i="45"/>
  <c r="C411" i="45"/>
  <c r="C412" i="45"/>
  <c r="C413" i="45"/>
  <c r="C414" i="45"/>
  <c r="C415" i="45"/>
  <c r="C416" i="45"/>
  <c r="C417" i="45"/>
  <c r="C418" i="45"/>
  <c r="C419" i="45"/>
  <c r="C420" i="45"/>
  <c r="C421" i="45"/>
  <c r="C422" i="45"/>
  <c r="C423" i="45"/>
  <c r="C424" i="45"/>
  <c r="C425" i="45"/>
  <c r="C426" i="45"/>
  <c r="C427" i="45"/>
  <c r="C428" i="45"/>
  <c r="C429" i="45"/>
  <c r="C430" i="45"/>
  <c r="C431" i="45"/>
  <c r="C432" i="45"/>
  <c r="C433" i="45"/>
  <c r="C434" i="45"/>
  <c r="C435" i="45"/>
  <c r="C436" i="45"/>
  <c r="C437" i="45"/>
  <c r="C438" i="45"/>
  <c r="C439" i="45"/>
  <c r="C440" i="45"/>
  <c r="C441" i="45"/>
  <c r="C442" i="45"/>
  <c r="C443" i="45"/>
  <c r="C444" i="45"/>
  <c r="C445" i="45"/>
  <c r="C446" i="45"/>
  <c r="C447" i="45"/>
  <c r="C448" i="45"/>
  <c r="C449" i="45"/>
  <c r="C450" i="45"/>
  <c r="C451" i="45"/>
  <c r="C452" i="45"/>
  <c r="C453" i="45"/>
  <c r="C454" i="45"/>
  <c r="C455" i="45"/>
  <c r="C456" i="45"/>
  <c r="C457" i="45"/>
  <c r="C458" i="45"/>
  <c r="C459" i="45"/>
  <c r="C460" i="45"/>
  <c r="C461" i="45"/>
  <c r="C462" i="45"/>
  <c r="C463" i="45"/>
  <c r="C464" i="45"/>
  <c r="C465" i="45"/>
  <c r="C466" i="45"/>
  <c r="C467" i="45"/>
  <c r="C468" i="45"/>
  <c r="C469" i="45"/>
  <c r="C470" i="45"/>
  <c r="C471" i="45"/>
  <c r="C472" i="45"/>
  <c r="C473" i="45"/>
  <c r="C474" i="45"/>
  <c r="C475" i="45"/>
  <c r="C476" i="45"/>
  <c r="C477" i="45"/>
  <c r="C478" i="45"/>
  <c r="C479" i="45"/>
  <c r="C480" i="45"/>
  <c r="C481" i="45"/>
  <c r="C482" i="45"/>
  <c r="C483" i="45"/>
  <c r="C484" i="45"/>
  <c r="C485" i="45"/>
  <c r="C486" i="45"/>
  <c r="C487" i="45"/>
  <c r="C488" i="45"/>
  <c r="C489" i="45"/>
  <c r="C490" i="45"/>
  <c r="C491" i="45"/>
  <c r="C492" i="45"/>
  <c r="C493" i="45"/>
  <c r="C494" i="45"/>
  <c r="C495" i="45"/>
  <c r="C496" i="45"/>
  <c r="C497" i="45"/>
  <c r="C498" i="45"/>
  <c r="C499" i="45"/>
  <c r="C500" i="45"/>
  <c r="C501" i="45"/>
  <c r="C502" i="45"/>
  <c r="C503" i="45"/>
  <c r="C504" i="45"/>
  <c r="C505" i="45"/>
  <c r="C506" i="45"/>
  <c r="C507" i="45"/>
  <c r="C508" i="45"/>
  <c r="C509" i="45"/>
  <c r="C510" i="45"/>
  <c r="C511" i="45"/>
  <c r="C512" i="45"/>
  <c r="C513" i="45"/>
  <c r="C514" i="45"/>
  <c r="C515" i="45"/>
  <c r="C516" i="45"/>
  <c r="C517" i="45"/>
  <c r="C518" i="45"/>
  <c r="C519" i="45"/>
  <c r="C520" i="45"/>
  <c r="C521" i="45"/>
  <c r="C522" i="45"/>
  <c r="C523" i="45"/>
  <c r="C524" i="45"/>
  <c r="C525" i="45"/>
  <c r="C526" i="45"/>
  <c r="C527" i="45"/>
  <c r="C528" i="45"/>
  <c r="C529" i="45"/>
  <c r="C530" i="45"/>
  <c r="C531" i="45"/>
  <c r="C532" i="45"/>
  <c r="C533" i="45"/>
  <c r="C534" i="45"/>
  <c r="C535" i="45"/>
  <c r="C536" i="45"/>
  <c r="C537" i="45"/>
  <c r="C538" i="45"/>
  <c r="C539" i="45"/>
  <c r="C540" i="45"/>
  <c r="C541" i="45"/>
  <c r="C542" i="45"/>
  <c r="C543" i="45"/>
  <c r="C544" i="45"/>
  <c r="C545" i="45"/>
  <c r="C546" i="45"/>
  <c r="C547" i="45"/>
  <c r="C548" i="45"/>
  <c r="C549" i="45"/>
  <c r="C550" i="45"/>
  <c r="C551" i="45"/>
  <c r="C552" i="45"/>
  <c r="C553" i="45"/>
  <c r="C554" i="45"/>
  <c r="C555" i="45"/>
  <c r="C556" i="45"/>
  <c r="C557" i="45"/>
  <c r="C558" i="45"/>
  <c r="C559" i="45"/>
  <c r="C560" i="45"/>
  <c r="C561" i="45"/>
  <c r="C562" i="45"/>
  <c r="C563" i="45"/>
  <c r="C564" i="45"/>
  <c r="C565" i="45"/>
  <c r="C566" i="45"/>
  <c r="C567" i="45"/>
  <c r="C568" i="45"/>
  <c r="C569" i="45"/>
  <c r="C570" i="45"/>
  <c r="C571" i="45"/>
  <c r="C572" i="45"/>
  <c r="C573" i="45"/>
  <c r="C574" i="45"/>
  <c r="C575" i="45"/>
  <c r="C576" i="45"/>
  <c r="C577" i="45"/>
  <c r="C578" i="45"/>
  <c r="C579" i="45"/>
  <c r="C580" i="45"/>
  <c r="C581" i="45"/>
  <c r="C582" i="45"/>
  <c r="C583" i="45"/>
  <c r="C584" i="45"/>
  <c r="C585" i="45"/>
  <c r="C586" i="45"/>
  <c r="C587" i="45"/>
  <c r="C588" i="45"/>
  <c r="C589" i="45"/>
  <c r="C590" i="45"/>
  <c r="C591" i="45"/>
  <c r="C592" i="45"/>
  <c r="C593" i="45"/>
  <c r="C594" i="45"/>
  <c r="C595" i="45"/>
  <c r="C596" i="45"/>
  <c r="C597" i="45"/>
  <c r="C598" i="45"/>
  <c r="C599" i="45"/>
  <c r="C600" i="45"/>
  <c r="C601" i="45"/>
  <c r="C602" i="45"/>
  <c r="C603" i="45"/>
  <c r="C604" i="45"/>
  <c r="C605" i="45"/>
  <c r="C606" i="45"/>
  <c r="C607" i="45"/>
  <c r="C608" i="45"/>
  <c r="C609" i="45"/>
  <c r="C610" i="45"/>
  <c r="C611" i="45"/>
  <c r="C612" i="45"/>
  <c r="C613" i="45"/>
  <c r="C614" i="45"/>
  <c r="C615" i="45"/>
  <c r="C616" i="45"/>
  <c r="C617" i="45"/>
  <c r="C618" i="45"/>
  <c r="C619" i="45"/>
  <c r="C620" i="45"/>
  <c r="C621" i="45"/>
  <c r="C622" i="45"/>
  <c r="C623" i="45"/>
  <c r="C624" i="45"/>
  <c r="C625" i="45"/>
  <c r="C626" i="45"/>
  <c r="C627" i="45"/>
  <c r="C628" i="45"/>
  <c r="C629" i="45"/>
  <c r="C630" i="45"/>
  <c r="C631" i="45"/>
  <c r="C632" i="45"/>
  <c r="C633" i="45"/>
  <c r="C634" i="45"/>
  <c r="C635" i="45"/>
  <c r="C636" i="45"/>
  <c r="C637" i="45"/>
  <c r="C638" i="45"/>
  <c r="C639" i="45"/>
  <c r="C640" i="45"/>
  <c r="C641" i="45"/>
  <c r="C642" i="45"/>
  <c r="C643" i="45"/>
  <c r="C644" i="45"/>
  <c r="C645" i="45"/>
  <c r="C646" i="45"/>
  <c r="C647" i="45"/>
  <c r="C648" i="45"/>
  <c r="C649" i="45"/>
  <c r="C650" i="45"/>
  <c r="C651" i="45"/>
  <c r="C652" i="45"/>
  <c r="C653" i="45"/>
  <c r="C654" i="45"/>
  <c r="C655" i="45"/>
  <c r="C656" i="45"/>
  <c r="C657" i="45"/>
  <c r="C658" i="45"/>
  <c r="C659" i="45"/>
  <c r="C660" i="45"/>
  <c r="C661" i="45"/>
  <c r="C662" i="45"/>
  <c r="C663" i="45"/>
  <c r="C664" i="45"/>
  <c r="C665" i="45"/>
  <c r="C666" i="45"/>
  <c r="C667" i="45"/>
  <c r="C668" i="45"/>
  <c r="C669" i="45"/>
  <c r="C670" i="45"/>
  <c r="C671" i="45"/>
  <c r="C672" i="45"/>
  <c r="C673" i="45"/>
  <c r="C674" i="45"/>
  <c r="C675" i="45"/>
  <c r="C676" i="45"/>
  <c r="C677" i="45"/>
  <c r="C678" i="45"/>
  <c r="C679" i="45"/>
  <c r="C680" i="45"/>
  <c r="C681" i="45"/>
  <c r="C682" i="45"/>
  <c r="C683" i="45"/>
  <c r="C684" i="45"/>
  <c r="C685" i="45"/>
  <c r="C686" i="45"/>
  <c r="C687" i="45"/>
  <c r="C688" i="45"/>
  <c r="C689" i="45"/>
  <c r="C690" i="45"/>
  <c r="C691" i="45"/>
  <c r="C692" i="45"/>
  <c r="C693" i="45"/>
  <c r="C694" i="45"/>
  <c r="C695" i="45"/>
  <c r="C696" i="45"/>
  <c r="C697" i="45"/>
  <c r="C698" i="45"/>
  <c r="C699" i="45"/>
  <c r="C700" i="45"/>
  <c r="C701" i="45"/>
  <c r="C702" i="45"/>
  <c r="C703" i="45"/>
  <c r="C704" i="45"/>
  <c r="C705" i="45"/>
  <c r="C706" i="45"/>
  <c r="C707" i="45"/>
  <c r="C708" i="45"/>
  <c r="C709" i="45"/>
  <c r="C710" i="45"/>
  <c r="C711" i="45"/>
  <c r="C712" i="45"/>
  <c r="C713" i="45"/>
  <c r="C714" i="45"/>
  <c r="C715" i="45"/>
  <c r="C716" i="45"/>
  <c r="C717" i="45"/>
  <c r="C718" i="45"/>
  <c r="C719" i="45"/>
  <c r="C720" i="45"/>
  <c r="C721" i="45"/>
  <c r="C722" i="45"/>
  <c r="C723" i="45"/>
  <c r="C724" i="45"/>
  <c r="C725" i="45"/>
  <c r="C726" i="45"/>
  <c r="C727" i="45"/>
  <c r="C728" i="45"/>
  <c r="C729" i="45"/>
  <c r="C730" i="45"/>
  <c r="C731" i="45"/>
  <c r="C732" i="45"/>
  <c r="C733" i="45"/>
  <c r="C734" i="45"/>
  <c r="C735" i="45"/>
  <c r="C736" i="45"/>
  <c r="C737" i="45"/>
  <c r="C738" i="45"/>
  <c r="C739" i="45"/>
  <c r="C740" i="45"/>
  <c r="C741" i="45"/>
  <c r="C742" i="45"/>
  <c r="C743" i="45"/>
  <c r="C744" i="45"/>
  <c r="C745" i="45"/>
  <c r="C746" i="45"/>
  <c r="C747" i="45"/>
  <c r="C748" i="45"/>
  <c r="C749" i="45"/>
  <c r="C750" i="45"/>
  <c r="C751" i="45"/>
  <c r="C752" i="45"/>
  <c r="C753" i="45"/>
  <c r="C754" i="45"/>
  <c r="C755" i="45"/>
  <c r="C756" i="45"/>
  <c r="C757" i="45"/>
  <c r="C758" i="45"/>
  <c r="C759" i="45"/>
  <c r="C760" i="45"/>
  <c r="C761" i="45"/>
  <c r="C762" i="45"/>
  <c r="C763" i="45"/>
  <c r="C764" i="45"/>
  <c r="C765" i="45"/>
  <c r="C766" i="45"/>
  <c r="C767" i="45"/>
  <c r="C768" i="45"/>
  <c r="C769" i="45"/>
  <c r="C770" i="45"/>
  <c r="C771" i="45"/>
  <c r="C772" i="45"/>
  <c r="C773" i="45"/>
  <c r="C774" i="45"/>
  <c r="C775" i="45"/>
  <c r="C776" i="45"/>
  <c r="C777" i="45"/>
  <c r="C778" i="45"/>
  <c r="C779" i="45"/>
  <c r="C780" i="45"/>
  <c r="C781" i="45"/>
  <c r="C782" i="45"/>
  <c r="C783" i="45"/>
  <c r="C784" i="45"/>
  <c r="C785" i="45"/>
  <c r="C786" i="45"/>
  <c r="C787" i="45"/>
  <c r="C788" i="45"/>
  <c r="C789" i="45"/>
  <c r="C790" i="45"/>
  <c r="C791" i="45"/>
  <c r="C792" i="45"/>
  <c r="C793" i="45"/>
  <c r="C794" i="45"/>
  <c r="C795" i="45"/>
  <c r="C796" i="45"/>
  <c r="C797" i="45"/>
  <c r="C798" i="45"/>
  <c r="C799" i="45"/>
  <c r="C800" i="45"/>
  <c r="C801" i="45"/>
  <c r="C802" i="45"/>
  <c r="C803" i="45"/>
  <c r="C804" i="45"/>
  <c r="C805" i="45"/>
  <c r="C806" i="45"/>
  <c r="C807" i="45"/>
  <c r="C808" i="45"/>
  <c r="C809" i="45"/>
  <c r="C810" i="45"/>
  <c r="C811" i="45"/>
  <c r="C812" i="45"/>
  <c r="C813" i="45"/>
  <c r="C814" i="45"/>
  <c r="C815" i="45"/>
  <c r="C816" i="45"/>
  <c r="C817" i="45"/>
  <c r="C818" i="45"/>
  <c r="C819" i="45"/>
  <c r="C820" i="45"/>
  <c r="C821" i="45"/>
  <c r="C822" i="45"/>
  <c r="C823" i="45"/>
  <c r="C824" i="45"/>
  <c r="C825" i="45"/>
  <c r="C826" i="45"/>
  <c r="C827" i="45"/>
  <c r="C828" i="45"/>
  <c r="C829" i="45"/>
  <c r="C830" i="45"/>
  <c r="C831" i="45"/>
  <c r="C832" i="45"/>
  <c r="C833" i="45"/>
  <c r="C834" i="45"/>
  <c r="C835" i="45"/>
  <c r="C836" i="45"/>
  <c r="C837" i="45"/>
  <c r="C838" i="45"/>
  <c r="C839" i="45"/>
  <c r="C840" i="45"/>
  <c r="C841" i="45"/>
  <c r="C842" i="45"/>
  <c r="C843" i="45"/>
  <c r="C844" i="45"/>
  <c r="C845" i="45"/>
  <c r="C846" i="45"/>
  <c r="C847" i="45"/>
  <c r="C848" i="45"/>
  <c r="C849" i="45"/>
  <c r="C850" i="45"/>
  <c r="C851" i="45"/>
  <c r="C852" i="45"/>
  <c r="C853" i="45"/>
  <c r="C854" i="45"/>
  <c r="C855" i="45"/>
  <c r="C856" i="45"/>
  <c r="C857" i="45"/>
  <c r="C858" i="45"/>
  <c r="C859" i="45"/>
  <c r="C860" i="45"/>
  <c r="C861" i="45"/>
  <c r="C862" i="45"/>
  <c r="C863" i="45"/>
  <c r="C864" i="45"/>
  <c r="C865" i="45"/>
  <c r="C866" i="45"/>
  <c r="C867" i="45"/>
  <c r="C868" i="45"/>
  <c r="C869" i="45"/>
  <c r="C870" i="45"/>
  <c r="C871" i="45"/>
  <c r="C872" i="45"/>
  <c r="C873" i="45"/>
  <c r="C874" i="45"/>
  <c r="C875" i="45"/>
  <c r="C876" i="45"/>
  <c r="C877" i="45"/>
  <c r="C878" i="45"/>
  <c r="C879" i="45"/>
  <c r="C880" i="45"/>
  <c r="C881" i="45"/>
  <c r="C882" i="45"/>
  <c r="C883" i="45"/>
  <c r="C884" i="45"/>
  <c r="C885" i="45"/>
  <c r="C886" i="45"/>
  <c r="C887" i="45"/>
  <c r="C888" i="45"/>
  <c r="C889" i="45"/>
  <c r="C890" i="45"/>
  <c r="C891" i="45"/>
  <c r="C892" i="45"/>
  <c r="C893" i="45"/>
  <c r="C894" i="45"/>
  <c r="C895" i="45"/>
  <c r="C896" i="45"/>
  <c r="C897" i="45"/>
  <c r="C898" i="45"/>
  <c r="C899" i="45"/>
  <c r="C900" i="45"/>
  <c r="C901" i="45"/>
  <c r="C902" i="45"/>
  <c r="C903" i="45"/>
  <c r="C904" i="45"/>
  <c r="C905" i="45"/>
  <c r="C906" i="45"/>
  <c r="C907" i="45"/>
  <c r="C908" i="45"/>
  <c r="C909" i="45"/>
  <c r="C910" i="45"/>
  <c r="C911" i="45"/>
  <c r="C912" i="45"/>
  <c r="C913" i="45"/>
  <c r="C914" i="45"/>
  <c r="C915" i="45"/>
  <c r="C916" i="45"/>
  <c r="C917" i="45"/>
  <c r="C918" i="45"/>
  <c r="C919" i="45"/>
  <c r="C920" i="45"/>
  <c r="C921" i="45"/>
  <c r="C922" i="45"/>
  <c r="C923" i="45"/>
  <c r="C924" i="45"/>
  <c r="C925" i="45"/>
  <c r="C926" i="45"/>
  <c r="C927" i="45"/>
  <c r="C928" i="45"/>
  <c r="C929" i="45"/>
  <c r="C930" i="45"/>
  <c r="C931" i="45"/>
  <c r="C932" i="45"/>
  <c r="C933" i="45"/>
  <c r="C934" i="45"/>
  <c r="C935" i="45"/>
  <c r="C936" i="45"/>
  <c r="C937" i="45"/>
  <c r="C938" i="45"/>
  <c r="C939" i="45"/>
  <c r="C940" i="45"/>
  <c r="C941" i="45"/>
  <c r="C942" i="45"/>
  <c r="C943" i="45"/>
  <c r="C944" i="45"/>
  <c r="C945" i="45"/>
  <c r="C946" i="45"/>
  <c r="C947" i="45"/>
  <c r="C948" i="45"/>
  <c r="C949" i="45"/>
  <c r="C950" i="45"/>
  <c r="C951" i="45"/>
  <c r="C952" i="45"/>
  <c r="C953" i="45"/>
  <c r="C954" i="45"/>
  <c r="C955" i="45"/>
  <c r="C956" i="45"/>
  <c r="C957" i="45"/>
  <c r="C958" i="45"/>
  <c r="C959" i="45"/>
  <c r="C960" i="45"/>
  <c r="C961" i="45"/>
  <c r="C962" i="45"/>
  <c r="C963" i="45"/>
  <c r="C964" i="45"/>
  <c r="C965" i="45"/>
  <c r="C966" i="45"/>
  <c r="C967" i="45"/>
  <c r="C968" i="45"/>
  <c r="C969" i="45"/>
  <c r="C970" i="45"/>
  <c r="C971" i="45"/>
  <c r="C972" i="45"/>
  <c r="C973" i="45"/>
  <c r="C974" i="45"/>
  <c r="C975" i="45"/>
  <c r="C976" i="45"/>
  <c r="C977" i="45"/>
  <c r="C978" i="45"/>
  <c r="C979" i="45"/>
  <c r="C980" i="45"/>
  <c r="C981" i="45"/>
  <c r="C982" i="45"/>
  <c r="C983" i="45"/>
  <c r="C984" i="45"/>
  <c r="C985" i="45"/>
  <c r="C986" i="45"/>
  <c r="C987" i="45"/>
  <c r="C988" i="45"/>
  <c r="C989" i="45"/>
  <c r="C990" i="45"/>
  <c r="C991" i="45"/>
  <c r="C992" i="45"/>
  <c r="C993" i="45"/>
  <c r="C994" i="45"/>
  <c r="C995" i="45"/>
  <c r="C996" i="45"/>
  <c r="C997" i="45"/>
  <c r="C998" i="45"/>
  <c r="C999" i="45"/>
  <c r="C1000" i="45"/>
  <c r="C1001" i="45"/>
  <c r="C1002" i="45"/>
  <c r="C1003" i="45"/>
  <c r="C1004" i="45"/>
  <c r="C1005" i="45"/>
  <c r="C1006" i="45"/>
  <c r="C1007" i="45"/>
  <c r="C1008" i="45"/>
  <c r="C1009" i="45"/>
  <c r="C1010" i="45"/>
  <c r="C1011" i="45"/>
  <c r="C1012" i="45"/>
  <c r="C1013" i="45"/>
  <c r="C1014" i="45"/>
  <c r="C1015" i="45"/>
  <c r="C1016" i="45"/>
  <c r="C1017" i="45"/>
  <c r="C1018" i="45"/>
  <c r="C1019" i="45"/>
  <c r="C1020" i="45"/>
  <c r="C1021" i="45"/>
  <c r="C1022" i="45"/>
  <c r="C1023" i="45"/>
  <c r="C1024" i="45"/>
  <c r="C1025" i="45"/>
  <c r="C1026" i="45"/>
  <c r="C1027" i="45"/>
  <c r="C1028" i="45"/>
  <c r="C1029" i="45"/>
  <c r="C1030" i="45"/>
  <c r="C1031" i="45"/>
  <c r="C1032" i="45"/>
  <c r="C1033" i="45"/>
  <c r="C1034" i="45"/>
  <c r="C1035" i="45"/>
  <c r="C1036" i="45"/>
  <c r="C1037" i="45"/>
  <c r="C1038" i="45"/>
  <c r="C1039" i="45"/>
  <c r="C1040" i="45"/>
  <c r="C1041" i="45"/>
  <c r="C1042" i="45"/>
  <c r="C1043" i="45"/>
  <c r="C1044" i="45"/>
  <c r="C1045" i="45"/>
  <c r="C1046" i="45"/>
  <c r="C1047" i="45"/>
  <c r="C1048" i="45"/>
  <c r="C1049" i="45"/>
  <c r="C1050" i="45"/>
  <c r="C1051" i="45"/>
  <c r="C1052" i="45"/>
  <c r="C1053" i="45"/>
  <c r="C1054" i="45"/>
  <c r="C1055" i="45"/>
  <c r="C1056" i="45"/>
  <c r="C1057" i="45"/>
  <c r="C1058" i="45"/>
  <c r="C1059" i="45"/>
  <c r="C1060" i="45"/>
  <c r="C1061" i="45"/>
  <c r="C1062" i="45"/>
  <c r="C1063" i="45"/>
  <c r="C1064" i="45"/>
  <c r="C1065" i="45"/>
  <c r="C1066" i="45"/>
  <c r="C1067" i="45"/>
  <c r="C1068" i="45"/>
  <c r="C1069" i="45"/>
  <c r="C1070" i="45"/>
  <c r="C1071" i="45"/>
  <c r="C1072" i="45"/>
  <c r="C1073" i="45"/>
  <c r="C1074" i="45"/>
  <c r="C1075" i="45"/>
  <c r="C1076" i="45"/>
  <c r="C1077" i="45"/>
  <c r="C1078" i="45"/>
  <c r="C1079" i="45"/>
  <c r="C1080" i="45"/>
  <c r="C1081" i="45"/>
  <c r="C1082" i="45"/>
  <c r="C1083" i="45"/>
  <c r="C1084" i="45"/>
  <c r="C1085" i="45"/>
  <c r="C1086" i="45"/>
  <c r="C1087" i="45"/>
  <c r="C1088" i="45"/>
  <c r="C1089" i="45"/>
  <c r="C1090" i="45"/>
  <c r="C1091" i="45"/>
  <c r="C1092" i="45"/>
  <c r="C1093" i="45"/>
  <c r="C1094" i="45"/>
  <c r="C1095" i="45"/>
  <c r="C1096" i="45"/>
  <c r="C1097" i="45"/>
  <c r="C1098" i="45"/>
  <c r="C1099" i="45"/>
  <c r="C1100" i="45"/>
  <c r="C1101" i="45"/>
  <c r="C1102" i="45"/>
  <c r="C1103" i="45"/>
  <c r="C1104" i="45"/>
  <c r="C1105" i="45"/>
  <c r="C1106" i="45"/>
  <c r="C1107" i="45"/>
  <c r="C1108" i="45"/>
  <c r="C1109" i="45"/>
  <c r="C1110" i="45"/>
  <c r="C1111" i="45"/>
  <c r="C1112" i="45"/>
  <c r="C1113" i="45"/>
  <c r="C1114" i="45"/>
  <c r="C1115" i="45"/>
  <c r="C1116" i="45"/>
  <c r="C1117" i="45"/>
  <c r="C1118" i="45"/>
  <c r="C1119" i="45"/>
  <c r="C1120" i="45"/>
  <c r="C1121" i="45"/>
  <c r="C1122" i="45"/>
  <c r="C1123" i="45"/>
  <c r="C1124" i="45"/>
  <c r="C1125" i="45"/>
  <c r="C1126" i="45"/>
  <c r="C1127" i="45"/>
  <c r="C1128" i="45"/>
  <c r="C1129" i="45"/>
  <c r="C1130" i="45"/>
  <c r="C1131" i="45"/>
  <c r="C1132" i="45"/>
  <c r="C1133" i="45"/>
  <c r="C1134" i="45"/>
  <c r="C1135" i="45"/>
  <c r="C1136" i="45"/>
  <c r="C1137" i="45"/>
  <c r="C1138" i="45"/>
  <c r="C1139" i="45"/>
  <c r="C1140" i="45"/>
  <c r="C1141" i="45"/>
  <c r="C1142" i="45"/>
  <c r="C1143" i="45"/>
  <c r="C1144" i="45"/>
  <c r="C1145" i="45"/>
  <c r="C1146" i="45"/>
  <c r="C1147" i="45"/>
  <c r="C1148" i="45"/>
  <c r="C1149" i="45"/>
  <c r="C1150" i="45"/>
  <c r="C1151" i="45"/>
  <c r="C1152" i="45"/>
  <c r="C1153" i="45"/>
  <c r="C1154" i="45"/>
  <c r="C1155" i="45"/>
  <c r="C1156" i="45"/>
  <c r="C1157" i="45"/>
  <c r="C1158" i="45"/>
  <c r="C1159" i="45"/>
  <c r="C1160" i="45"/>
  <c r="C1161" i="45"/>
  <c r="C1162" i="45"/>
  <c r="C1163" i="45"/>
  <c r="C1164" i="45"/>
  <c r="C1165" i="45"/>
  <c r="C1166" i="45"/>
  <c r="C1167" i="45"/>
  <c r="C1168" i="45"/>
  <c r="C1169" i="45"/>
  <c r="C1170" i="45"/>
  <c r="C1171" i="45"/>
  <c r="C1172" i="45"/>
  <c r="C1173" i="45"/>
  <c r="C1174" i="45"/>
  <c r="C1175" i="45"/>
  <c r="C1176" i="45"/>
  <c r="C1177" i="45"/>
  <c r="C1178" i="45"/>
  <c r="C1179" i="45"/>
  <c r="C1180" i="45"/>
  <c r="C1181" i="45"/>
  <c r="C1182" i="45"/>
  <c r="C1183" i="45"/>
  <c r="C1184" i="45"/>
  <c r="C1185" i="45"/>
  <c r="C1186" i="45"/>
  <c r="C1187" i="45"/>
  <c r="C1188" i="45"/>
  <c r="C1189" i="45"/>
  <c r="C1190" i="45"/>
  <c r="C1191" i="45"/>
  <c r="C1192" i="45"/>
  <c r="C1193" i="45"/>
  <c r="C1194" i="45"/>
  <c r="C1195" i="45"/>
  <c r="C1196" i="45"/>
  <c r="C1197" i="45"/>
  <c r="C1198" i="45"/>
  <c r="C1199" i="45"/>
  <c r="C1200" i="45"/>
  <c r="C1201" i="45"/>
  <c r="C1202" i="45"/>
  <c r="C1203" i="45"/>
  <c r="C1204" i="45"/>
  <c r="C1205" i="45"/>
  <c r="C1206" i="45"/>
  <c r="C1207" i="45"/>
  <c r="C1208" i="45"/>
  <c r="C1209" i="45"/>
  <c r="C1210" i="45"/>
  <c r="C1211" i="45"/>
  <c r="C1212" i="45"/>
  <c r="C1213" i="45"/>
  <c r="C1214" i="45"/>
  <c r="C1215" i="45"/>
  <c r="C1216" i="45"/>
  <c r="C1217" i="45"/>
  <c r="C1218" i="45"/>
  <c r="C1219" i="45"/>
  <c r="C1220" i="45"/>
  <c r="C1221" i="45"/>
  <c r="C1222" i="45"/>
  <c r="C1223" i="45"/>
  <c r="C1224" i="45"/>
  <c r="C1225" i="45"/>
  <c r="C1226" i="45"/>
  <c r="C1227" i="45"/>
  <c r="C1228" i="45"/>
  <c r="C1229" i="45"/>
  <c r="C1230" i="45"/>
  <c r="C1231" i="45"/>
  <c r="C1232" i="45"/>
  <c r="C1233" i="45"/>
  <c r="C1234" i="45"/>
  <c r="C1235" i="45"/>
  <c r="C1236" i="45"/>
  <c r="C1237" i="45"/>
  <c r="C1238" i="45"/>
  <c r="C1239" i="45"/>
  <c r="C1240" i="45"/>
  <c r="C1241" i="45"/>
  <c r="C1242" i="45"/>
  <c r="C1243" i="45"/>
  <c r="C1244" i="45"/>
  <c r="C1245" i="45"/>
  <c r="C1246" i="45"/>
  <c r="C1247" i="45"/>
  <c r="C1248" i="45"/>
  <c r="C1249" i="45"/>
  <c r="C1250" i="45"/>
  <c r="C1251" i="45"/>
  <c r="C1252" i="45"/>
  <c r="C1253" i="45"/>
  <c r="C1254" i="45"/>
  <c r="C1255" i="45"/>
  <c r="C1256" i="45"/>
  <c r="C1257" i="45"/>
  <c r="C1258" i="45"/>
  <c r="C1259" i="45"/>
  <c r="C1260" i="45"/>
  <c r="C1261" i="45"/>
  <c r="C1262" i="45"/>
  <c r="C1263" i="45"/>
  <c r="C1264" i="45"/>
  <c r="C1265" i="45"/>
  <c r="C1266" i="45"/>
  <c r="C1267" i="45"/>
  <c r="C1268" i="45"/>
  <c r="C1269" i="45"/>
  <c r="C1270" i="45"/>
  <c r="C1271" i="45"/>
  <c r="C1272" i="45"/>
  <c r="C1273" i="45"/>
  <c r="C1274" i="45"/>
  <c r="C1275" i="45"/>
  <c r="C1276" i="45"/>
  <c r="C1277" i="45"/>
  <c r="C1278" i="45"/>
  <c r="C1279" i="45"/>
  <c r="C1280" i="45"/>
  <c r="C1281" i="45"/>
  <c r="C1282" i="45"/>
  <c r="C1283" i="45"/>
  <c r="C1284" i="45"/>
  <c r="C1285" i="45"/>
  <c r="C1286" i="45"/>
  <c r="C1287" i="45"/>
  <c r="C1288" i="45"/>
  <c r="C1289" i="45"/>
  <c r="C1290" i="45"/>
  <c r="C1291" i="45"/>
  <c r="C1292" i="45"/>
  <c r="C1293" i="45"/>
  <c r="C1294" i="45"/>
  <c r="C1295" i="45"/>
  <c r="C1296" i="45"/>
  <c r="C1297" i="45"/>
  <c r="C1298" i="45"/>
  <c r="C1299" i="45"/>
  <c r="C1300" i="45"/>
  <c r="C1301" i="45"/>
  <c r="C1302" i="45"/>
  <c r="C1303" i="45"/>
  <c r="C1304" i="45"/>
  <c r="C1305" i="45"/>
  <c r="C1306" i="45"/>
  <c r="C1307" i="45"/>
  <c r="C1308" i="45"/>
  <c r="C1309" i="45"/>
  <c r="C1310" i="45"/>
  <c r="C1311" i="45"/>
  <c r="C1312" i="45"/>
  <c r="C1313" i="45"/>
  <c r="C1314" i="45"/>
  <c r="C1315" i="45"/>
  <c r="C1316" i="45"/>
  <c r="C1317" i="45"/>
  <c r="C1318" i="45"/>
  <c r="C1319" i="45"/>
  <c r="C1320" i="45"/>
  <c r="C1321" i="45"/>
  <c r="C1322" i="45"/>
  <c r="C1323" i="45"/>
  <c r="C1324" i="45"/>
  <c r="C1325" i="45"/>
  <c r="C1326" i="45"/>
  <c r="C1327" i="45"/>
  <c r="C1328" i="45"/>
  <c r="C1329" i="45"/>
  <c r="C1330" i="45"/>
  <c r="C1331" i="45"/>
  <c r="C1332" i="45"/>
  <c r="C1333" i="45"/>
  <c r="C1334" i="45"/>
  <c r="C1335" i="45"/>
  <c r="C1336" i="45"/>
  <c r="C1337" i="45"/>
  <c r="C1338" i="45"/>
  <c r="C1339" i="45"/>
  <c r="C1340" i="45"/>
  <c r="C1341" i="45"/>
  <c r="C1342" i="45"/>
  <c r="C1343" i="45"/>
  <c r="C1344" i="45"/>
  <c r="C1345" i="45"/>
  <c r="C1346" i="45"/>
  <c r="C1347" i="45"/>
  <c r="C1348" i="45"/>
  <c r="C1349" i="45"/>
  <c r="C1350" i="45"/>
  <c r="C1351" i="45"/>
  <c r="C1352" i="45"/>
  <c r="C1353" i="45"/>
  <c r="C1354" i="45"/>
  <c r="C1355" i="45"/>
  <c r="C1356" i="45"/>
  <c r="C1357" i="45"/>
  <c r="C1358" i="45"/>
  <c r="C1359" i="45"/>
  <c r="C1360" i="45"/>
  <c r="C1361" i="45"/>
  <c r="C1362" i="45"/>
  <c r="C1363" i="45"/>
  <c r="C1364" i="45"/>
  <c r="C1365" i="45"/>
  <c r="C1366" i="45"/>
  <c r="C1367" i="45"/>
  <c r="C1368" i="45"/>
  <c r="C1369" i="45"/>
  <c r="C1370" i="45"/>
  <c r="C1371" i="45"/>
  <c r="C1372" i="45"/>
  <c r="C1373" i="45"/>
  <c r="C1374" i="45"/>
  <c r="C1375" i="45"/>
  <c r="C1376" i="45"/>
  <c r="C1377" i="45"/>
  <c r="C1378" i="45"/>
  <c r="C1379" i="45"/>
  <c r="C1380" i="45"/>
  <c r="C1381" i="45"/>
  <c r="C1382" i="45"/>
  <c r="C1383" i="45"/>
  <c r="C1384" i="45"/>
  <c r="C1385" i="45"/>
  <c r="C1386" i="45"/>
  <c r="C1387" i="45"/>
  <c r="C1388" i="45"/>
  <c r="C1389" i="45"/>
  <c r="C1390" i="45"/>
  <c r="C1391" i="45"/>
  <c r="C1392" i="45"/>
  <c r="C1393" i="45"/>
  <c r="C1394" i="45"/>
  <c r="C1395" i="45"/>
  <c r="C1396" i="45"/>
  <c r="C1397" i="45"/>
  <c r="C1398" i="45"/>
  <c r="C1399" i="45"/>
  <c r="C1400" i="45"/>
  <c r="C1401" i="45"/>
  <c r="C1402" i="45"/>
  <c r="C1403" i="45"/>
  <c r="C1404" i="45"/>
  <c r="C1405" i="45"/>
  <c r="C1406" i="45"/>
  <c r="C1407" i="45"/>
  <c r="C1408" i="45"/>
  <c r="C1409" i="45"/>
  <c r="C1410" i="45"/>
  <c r="C1411" i="45"/>
  <c r="C1412" i="45"/>
  <c r="C1413" i="45"/>
  <c r="C1414" i="45"/>
  <c r="C1415" i="45"/>
  <c r="C1416" i="45"/>
  <c r="C1417" i="45"/>
  <c r="C1418" i="45"/>
  <c r="C1419" i="45"/>
  <c r="C1420" i="45"/>
  <c r="C1421" i="45"/>
  <c r="C1422" i="45"/>
  <c r="C1423" i="45"/>
  <c r="C1424" i="45"/>
  <c r="C1425" i="45"/>
  <c r="C1426" i="45"/>
  <c r="C1427" i="45"/>
  <c r="C1428" i="45"/>
  <c r="C1429" i="45"/>
  <c r="C1430" i="45"/>
  <c r="C1431" i="45"/>
  <c r="C1432" i="45"/>
  <c r="C1433" i="45"/>
  <c r="C1434" i="45"/>
  <c r="C1435" i="45"/>
  <c r="C1436" i="45"/>
  <c r="C1437" i="45"/>
  <c r="C1438" i="45"/>
  <c r="C1439" i="45"/>
  <c r="C1440" i="45"/>
  <c r="C1441" i="45"/>
  <c r="C1442" i="45"/>
  <c r="C1443" i="45"/>
  <c r="C1444" i="45"/>
  <c r="C1445" i="45"/>
  <c r="C1446" i="45"/>
  <c r="C1447" i="45"/>
  <c r="C1448" i="45"/>
  <c r="C1449" i="45"/>
  <c r="C1450" i="45"/>
  <c r="C1451" i="45"/>
  <c r="C1452" i="45"/>
  <c r="C1453" i="45"/>
  <c r="C1454" i="45"/>
  <c r="C1455" i="45"/>
  <c r="C1456" i="45"/>
  <c r="C1457" i="45"/>
  <c r="C1458" i="45"/>
  <c r="C1459" i="45"/>
  <c r="C1460" i="45"/>
  <c r="C1461" i="45"/>
  <c r="C1462" i="45"/>
  <c r="C1463" i="45"/>
  <c r="C1464" i="45"/>
  <c r="C1465" i="45"/>
  <c r="C1466" i="45"/>
  <c r="C1467" i="45"/>
  <c r="C1468" i="45"/>
  <c r="C1469" i="45"/>
  <c r="C1470" i="45"/>
  <c r="C1471" i="45"/>
  <c r="C1472" i="45"/>
  <c r="C1473" i="45"/>
  <c r="C1474" i="45"/>
  <c r="C1475" i="45"/>
  <c r="C1476" i="45"/>
  <c r="C1477" i="45"/>
  <c r="C1478" i="45"/>
  <c r="C1479" i="45"/>
  <c r="C1480" i="45"/>
  <c r="C1481" i="45"/>
  <c r="C1482" i="45"/>
  <c r="C1483" i="45"/>
  <c r="C1484" i="45"/>
  <c r="C1485" i="45"/>
  <c r="C1486" i="45"/>
  <c r="C1487" i="45"/>
  <c r="C1488" i="45"/>
  <c r="C1489" i="45"/>
  <c r="C1490" i="45"/>
  <c r="C1491" i="45"/>
  <c r="C1492" i="45"/>
  <c r="C1493" i="45"/>
  <c r="C1494" i="45"/>
  <c r="C1495" i="45"/>
  <c r="C1496" i="45"/>
  <c r="C1497" i="45"/>
  <c r="C1498" i="45"/>
  <c r="C1499" i="45"/>
  <c r="C1500" i="45"/>
  <c r="C1501" i="4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公共交通利用促進ネットワーク</author>
  </authors>
  <commentList>
    <comment ref="B9" authorId="0" shapeId="0" xr:uid="{ED316469-642A-4F53-95E5-9786F7D1EF8C}">
      <text>
        <r>
          <rPr>
            <sz val="9"/>
            <color indexed="81"/>
            <rFont val="ＭＳ Ｐゴシック"/>
            <family val="3"/>
            <charset val="128"/>
          </rPr>
          <t xml:space="preserve">「主要」を入力すると、その行に色が付きます。
時刻のチェックをする際に場合に便利です。
</t>
        </r>
      </text>
    </comment>
    <comment ref="B77" authorId="0" shapeId="0" xr:uid="{800D2B3C-6444-46C6-B097-6BA7E910975C}">
      <text>
        <r>
          <rPr>
            <sz val="9"/>
            <color indexed="81"/>
            <rFont val="ＭＳ Ｐゴシック"/>
            <family val="3"/>
            <charset val="128"/>
          </rPr>
          <t xml:space="preserve">「主要」を入力すると、その行に色が付きます。
時刻のチェックをする際に場合に便利です。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公共交通利用促進ネットワーク</author>
  </authors>
  <commentList>
    <comment ref="B9" authorId="0" shapeId="0" xr:uid="{0EDB8157-73EF-434F-B66C-53057CD73864}">
      <text>
        <r>
          <rPr>
            <sz val="9"/>
            <color indexed="81"/>
            <rFont val="ＭＳ Ｐゴシック"/>
            <family val="3"/>
            <charset val="128"/>
          </rPr>
          <t xml:space="preserve">「主要」を入力すると、その行に色が付きます。
時刻のチェックをする際に場合に便利です。
</t>
        </r>
      </text>
    </comment>
    <comment ref="B77" authorId="0" shapeId="0" xr:uid="{4631F050-AFA3-4A18-AF0F-AE247BC2751F}">
      <text>
        <r>
          <rPr>
            <sz val="9"/>
            <color indexed="81"/>
            <rFont val="ＭＳ Ｐゴシック"/>
            <family val="3"/>
            <charset val="128"/>
          </rPr>
          <t xml:space="preserve">「主要」を入力すると、その行に色が付きます。
時刻のチェックをする際に場合に便利です。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公共交通利用促進ネットワーク</author>
  </authors>
  <commentList>
    <comment ref="B9" authorId="0" shapeId="0" xr:uid="{67F6A485-C5E3-452E-A940-8971220B6932}">
      <text>
        <r>
          <rPr>
            <sz val="9"/>
            <color indexed="81"/>
            <rFont val="ＭＳ Ｐゴシック"/>
            <family val="3"/>
            <charset val="128"/>
          </rPr>
          <t xml:space="preserve">「主要」を入力すると、その行に色が付きます。
時刻のチェックをする際に場合に便利です。
</t>
        </r>
      </text>
    </comment>
    <comment ref="B77" authorId="0" shapeId="0" xr:uid="{AF5FAEC8-0F90-408B-BB09-D56115576C05}">
      <text>
        <r>
          <rPr>
            <sz val="9"/>
            <color indexed="81"/>
            <rFont val="ＭＳ Ｐゴシック"/>
            <family val="3"/>
            <charset val="128"/>
          </rPr>
          <t xml:space="preserve">「主要」を入力すると、その行に色が付きます。
時刻のチェックをする際に場合に便利です。
</t>
        </r>
      </text>
    </comment>
  </commentList>
</comments>
</file>

<file path=xl/sharedStrings.xml><?xml version="1.0" encoding="utf-8"?>
<sst xmlns="http://schemas.openxmlformats.org/spreadsheetml/2006/main" count="3951" uniqueCount="2034">
  <si>
    <t>担当者名</t>
    <rPh sb="0" eb="4">
      <t>タントウシャメイ</t>
    </rPh>
    <phoneticPr fontId="1"/>
  </si>
  <si>
    <t>電話番号</t>
    <rPh sb="0" eb="2">
      <t>デンワ</t>
    </rPh>
    <rPh sb="2" eb="4">
      <t>バンゴウ</t>
    </rPh>
    <phoneticPr fontId="1"/>
  </si>
  <si>
    <t>停留所id</t>
    <rPh sb="0" eb="3">
      <t>テイリュウジョ</t>
    </rPh>
    <phoneticPr fontId="1"/>
  </si>
  <si>
    <t>緯度</t>
    <rPh sb="0" eb="2">
      <t>イド</t>
    </rPh>
    <phoneticPr fontId="1"/>
  </si>
  <si>
    <t>経度</t>
    <rPh sb="0" eb="2">
      <t>ケイド</t>
    </rPh>
    <phoneticPr fontId="1"/>
  </si>
  <si>
    <t>運行系統id</t>
    <rPh sb="0" eb="2">
      <t>ウンコウ</t>
    </rPh>
    <rPh sb="2" eb="4">
      <t>ケイトウ</t>
    </rPh>
    <phoneticPr fontId="1"/>
  </si>
  <si>
    <t>循環種別</t>
    <rPh sb="0" eb="2">
      <t>ジュンカン</t>
    </rPh>
    <rPh sb="2" eb="4">
      <t>シュベツ</t>
    </rPh>
    <phoneticPr fontId="1"/>
  </si>
  <si>
    <t>No,</t>
    <phoneticPr fontId="1"/>
  </si>
  <si>
    <t>系統途中で行き先が切り替わる場合の切替停留所id</t>
    <rPh sb="0" eb="2">
      <t>ケイトウ</t>
    </rPh>
    <rPh sb="2" eb="4">
      <t>トチュウ</t>
    </rPh>
    <rPh sb="5" eb="8">
      <t>イキサキ</t>
    </rPh>
    <rPh sb="9" eb="10">
      <t>キ</t>
    </rPh>
    <rPh sb="11" eb="12">
      <t>カ</t>
    </rPh>
    <rPh sb="14" eb="16">
      <t>バアイ</t>
    </rPh>
    <rPh sb="17" eb="19">
      <t>キリカエ</t>
    </rPh>
    <rPh sb="19" eb="22">
      <t>テイリュウジョ</t>
    </rPh>
    <phoneticPr fontId="1"/>
  </si>
  <si>
    <t>特別ダイヤ</t>
    <rPh sb="0" eb="2">
      <t>トクベツ</t>
    </rPh>
    <phoneticPr fontId="1"/>
  </si>
  <si>
    <t>運賃</t>
    <rPh sb="0" eb="2">
      <t>ウンチン</t>
    </rPh>
    <phoneticPr fontId="1"/>
  </si>
  <si>
    <t>停留所間キロ</t>
    <rPh sb="0" eb="3">
      <t>テイリュウジョ</t>
    </rPh>
    <rPh sb="3" eb="4">
      <t>アイダ</t>
    </rPh>
    <phoneticPr fontId="1"/>
  </si>
  <si>
    <t>始発、終点</t>
    <rPh sb="0" eb="2">
      <t>シハツ</t>
    </rPh>
    <rPh sb="3" eb="5">
      <t>シュウテン</t>
    </rPh>
    <phoneticPr fontId="1"/>
  </si>
  <si>
    <t>部署名</t>
    <rPh sb="0" eb="3">
      <t>ブショメイ</t>
    </rPh>
    <phoneticPr fontId="1"/>
  </si>
  <si>
    <t>運行事業者名</t>
    <rPh sb="0" eb="2">
      <t>ウンコウ</t>
    </rPh>
    <rPh sb="2" eb="5">
      <t>ジギョウシャ</t>
    </rPh>
    <rPh sb="5" eb="6">
      <t>メイ</t>
    </rPh>
    <phoneticPr fontId="1"/>
  </si>
  <si>
    <t>営業所（担当部署）名</t>
    <rPh sb="0" eb="3">
      <t>エイギョウショ</t>
    </rPh>
    <rPh sb="4" eb="6">
      <t>タントウ</t>
    </rPh>
    <rPh sb="6" eb="8">
      <t>ブショ</t>
    </rPh>
    <rPh sb="9" eb="10">
      <t>メイ</t>
    </rPh>
    <phoneticPr fontId="1"/>
  </si>
  <si>
    <t>乗換停留所id</t>
    <rPh sb="0" eb="2">
      <t>ノリカ</t>
    </rPh>
    <rPh sb="2" eb="5">
      <t>テイリュウジョ</t>
    </rPh>
    <phoneticPr fontId="1"/>
  </si>
  <si>
    <t>乗換鉄道駅</t>
    <rPh sb="0" eb="2">
      <t>ノリカ</t>
    </rPh>
    <rPh sb="2" eb="4">
      <t>テツドウ</t>
    </rPh>
    <rPh sb="4" eb="5">
      <t>エキ</t>
    </rPh>
    <phoneticPr fontId="1"/>
  </si>
  <si>
    <t>乗換路線バス停留所</t>
    <rPh sb="0" eb="2">
      <t>ノリカ</t>
    </rPh>
    <rPh sb="2" eb="4">
      <t>ロセン</t>
    </rPh>
    <rPh sb="6" eb="9">
      <t>テイリュウジョ</t>
    </rPh>
    <phoneticPr fontId="1"/>
  </si>
  <si>
    <t>連絡先メール</t>
    <rPh sb="0" eb="3">
      <t>レンラクサキ</t>
    </rPh>
    <phoneticPr fontId="1"/>
  </si>
  <si>
    <t>更新日</t>
    <rPh sb="0" eb="2">
      <t>コウシン</t>
    </rPh>
    <rPh sb="2" eb="3">
      <t>ビ</t>
    </rPh>
    <phoneticPr fontId="2"/>
  </si>
  <si>
    <t>ダイヤ改正日</t>
    <rPh sb="3" eb="5">
      <t>カイセイ</t>
    </rPh>
    <rPh sb="5" eb="6">
      <t>ビ</t>
    </rPh>
    <phoneticPr fontId="1"/>
  </si>
  <si>
    <t>変更内容</t>
    <rPh sb="0" eb="2">
      <t>ヘンコウ</t>
    </rPh>
    <rPh sb="2" eb="4">
      <t>ナイヨウ</t>
    </rPh>
    <phoneticPr fontId="2"/>
  </si>
  <si>
    <t>変更箇所</t>
    <rPh sb="0" eb="2">
      <t>ヘンコウ</t>
    </rPh>
    <rPh sb="2" eb="4">
      <t>カショ</t>
    </rPh>
    <phoneticPr fontId="1"/>
  </si>
  <si>
    <t>変更箇所</t>
    <rPh sb="0" eb="2">
      <t>ヘンコウ</t>
    </rPh>
    <rPh sb="2" eb="4">
      <t>カショ</t>
    </rPh>
    <phoneticPr fontId="1"/>
  </si>
  <si>
    <t>その他特記事項</t>
    <rPh sb="2" eb="3">
      <t>タ</t>
    </rPh>
    <rPh sb="3" eb="4">
      <t>トク</t>
    </rPh>
    <rPh sb="5" eb="7">
      <t>ジコウ</t>
    </rPh>
    <phoneticPr fontId="1"/>
  </si>
  <si>
    <t>停留所名称かな</t>
    <rPh sb="0" eb="3">
      <t>テイリュウジョ</t>
    </rPh>
    <rPh sb="3" eb="5">
      <t>メイショウ</t>
    </rPh>
    <phoneticPr fontId="1"/>
  </si>
  <si>
    <t>停留所名称</t>
    <rPh sb="0" eb="3">
      <t>テイリュウジョ</t>
    </rPh>
    <rPh sb="3" eb="5">
      <t>メイショウ</t>
    </rPh>
    <phoneticPr fontId="1"/>
  </si>
  <si>
    <t>作成者</t>
    <rPh sb="0" eb="3">
      <t>サクセイシャ</t>
    </rPh>
    <phoneticPr fontId="1"/>
  </si>
  <si>
    <t>新設</t>
    <rPh sb="0" eb="2">
      <t>シンセツ</t>
    </rPh>
    <phoneticPr fontId="1"/>
  </si>
  <si>
    <t>変更</t>
    <rPh sb="0" eb="2">
      <t>ヘンコウ</t>
    </rPh>
    <phoneticPr fontId="1"/>
  </si>
  <si>
    <t>廃止</t>
    <rPh sb="0" eb="2">
      <t>ハイシ</t>
    </rPh>
    <phoneticPr fontId="1"/>
  </si>
  <si>
    <t>備考</t>
    <rPh sb="0" eb="2">
      <t>ビコウ</t>
    </rPh>
    <phoneticPr fontId="1"/>
  </si>
  <si>
    <t>停留所名称（別名）</t>
    <rPh sb="0" eb="3">
      <t>テイリュウジョ</t>
    </rPh>
    <rPh sb="3" eb="5">
      <t>メイショウ</t>
    </rPh>
    <rPh sb="6" eb="8">
      <t>ベツメイ</t>
    </rPh>
    <phoneticPr fontId="1"/>
  </si>
  <si>
    <t>停留所名称（別名）かな</t>
    <rPh sb="0" eb="3">
      <t>テイリュウジョ</t>
    </rPh>
    <rPh sb="3" eb="5">
      <t>メイショウ</t>
    </rPh>
    <rPh sb="6" eb="8">
      <t>ベツメイ</t>
    </rPh>
    <phoneticPr fontId="1"/>
  </si>
  <si>
    <t>記事</t>
    <rPh sb="0" eb="2">
      <t>キジ</t>
    </rPh>
    <phoneticPr fontId="1"/>
  </si>
  <si>
    <t>行き先</t>
    <rPh sb="0" eb="3">
      <t>イキサキ</t>
    </rPh>
    <phoneticPr fontId="1"/>
  </si>
  <si>
    <t>始発</t>
    <rPh sb="0" eb="2">
      <t>シハツ</t>
    </rPh>
    <phoneticPr fontId="1"/>
  </si>
  <si>
    <t>停留所名称英語</t>
    <rPh sb="0" eb="3">
      <t>テイリュウジョ</t>
    </rPh>
    <rPh sb="3" eb="5">
      <t>メイショウ</t>
    </rPh>
    <rPh sb="5" eb="7">
      <t>エイゴ</t>
    </rPh>
    <phoneticPr fontId="1"/>
  </si>
  <si>
    <t>切り替え前 行き先</t>
    <rPh sb="0" eb="1">
      <t>キ</t>
    </rPh>
    <rPh sb="2" eb="3">
      <t>カ</t>
    </rPh>
    <rPh sb="4" eb="5">
      <t>マエ</t>
    </rPh>
    <rPh sb="6" eb="9">
      <t>イキサキ</t>
    </rPh>
    <phoneticPr fontId="1"/>
  </si>
  <si>
    <t>切り替え後 行き先</t>
    <rPh sb="0" eb="1">
      <t>キ</t>
    </rPh>
    <rPh sb="2" eb="3">
      <t>カ</t>
    </rPh>
    <rPh sb="4" eb="5">
      <t>ゴ</t>
    </rPh>
    <rPh sb="6" eb="9">
      <t>イキサキ</t>
    </rPh>
    <phoneticPr fontId="1"/>
  </si>
  <si>
    <t>H列(行き先)の英語</t>
    <rPh sb="1" eb="2">
      <t>レツ</t>
    </rPh>
    <rPh sb="3" eb="6">
      <t>ユキサキ</t>
    </rPh>
    <rPh sb="8" eb="10">
      <t>エイゴ</t>
    </rPh>
    <phoneticPr fontId="1"/>
  </si>
  <si>
    <t>N列(切り替え前行き先)の英語</t>
    <rPh sb="1" eb="2">
      <t>レツ</t>
    </rPh>
    <rPh sb="3" eb="4">
      <t>キ</t>
    </rPh>
    <rPh sb="5" eb="6">
      <t>カ</t>
    </rPh>
    <rPh sb="7" eb="8">
      <t>マエ</t>
    </rPh>
    <rPh sb="8" eb="11">
      <t>ユキサキ</t>
    </rPh>
    <rPh sb="13" eb="15">
      <t>エイゴ</t>
    </rPh>
    <phoneticPr fontId="1"/>
  </si>
  <si>
    <t>O列(切り替え後行き先)の英語</t>
    <rPh sb="1" eb="2">
      <t>レツ</t>
    </rPh>
    <rPh sb="3" eb="4">
      <t>キ</t>
    </rPh>
    <rPh sb="5" eb="6">
      <t>カ</t>
    </rPh>
    <rPh sb="7" eb="8">
      <t>ゴ</t>
    </rPh>
    <rPh sb="8" eb="11">
      <t>ユキサキ</t>
    </rPh>
    <rPh sb="13" eb="15">
      <t>エイゴ</t>
    </rPh>
    <phoneticPr fontId="1"/>
  </si>
  <si>
    <t>メニューへ</t>
    <phoneticPr fontId="1"/>
  </si>
  <si>
    <t>路線番号</t>
    <rPh sb="0" eb="4">
      <t>ロセンバンゴウ</t>
    </rPh>
    <phoneticPr fontId="1"/>
  </si>
  <si>
    <t>路線名</t>
    <rPh sb="0" eb="3">
      <t>ロセンメイ</t>
    </rPh>
    <phoneticPr fontId="1"/>
  </si>
  <si>
    <t>このシートの上半分は「往路」　下半分は「復路」になっています。</t>
    <rPh sb="6" eb="9">
      <t>ウエハンブン</t>
    </rPh>
    <rPh sb="11" eb="13">
      <t>オウロ</t>
    </rPh>
    <rPh sb="15" eb="18">
      <t>シタハンブン</t>
    </rPh>
    <rPh sb="20" eb="22">
      <t>フクロ</t>
    </rPh>
    <phoneticPr fontId="1"/>
  </si>
  <si>
    <t>通過停留所は「↓」で記入</t>
    <rPh sb="0" eb="2">
      <t>ツウカ</t>
    </rPh>
    <rPh sb="2" eb="5">
      <t>テイリュウジョ</t>
    </rPh>
    <rPh sb="10" eb="12">
      <t>キニュウ</t>
    </rPh>
    <phoneticPr fontId="1"/>
  </si>
  <si>
    <t>停留所名を記入すると、停留所idは、06停留所シートより自動でセットされます</t>
    <rPh sb="0" eb="4">
      <t>テイリュウジョメイ</t>
    </rPh>
    <rPh sb="5" eb="7">
      <t>キニュウ</t>
    </rPh>
    <rPh sb="11" eb="14">
      <t>テイリュウジョ</t>
    </rPh>
    <rPh sb="20" eb="23">
      <t>テイリュウジョ</t>
    </rPh>
    <rPh sb="28" eb="30">
      <t>ジドウ</t>
    </rPh>
    <phoneticPr fontId="1"/>
  </si>
  <si>
    <t>復路へ</t>
    <rPh sb="0" eb="2">
      <t>フクロ</t>
    </rPh>
    <phoneticPr fontId="1"/>
  </si>
  <si>
    <r>
      <t>※</t>
    </r>
    <r>
      <rPr>
        <b/>
        <sz val="11"/>
        <color theme="9" tint="-0.249977111117893"/>
        <rFont val="ＭＳ Ｐゴシック"/>
        <family val="3"/>
        <charset val="128"/>
        <scheme val="minor"/>
      </rPr>
      <t>「往路」「復路」「系統」「通過停留所名」</t>
    </r>
    <r>
      <rPr>
        <sz val="11"/>
        <color theme="9" tint="-0.249977111117893"/>
        <rFont val="ＭＳ Ｐゴシック"/>
        <family val="3"/>
        <charset val="128"/>
        <scheme val="minor"/>
      </rPr>
      <t>などの太字はプログラムが認識するために必要です。消さないように気を付けましょう。</t>
    </r>
    <rPh sb="2" eb="4">
      <t>オウロ</t>
    </rPh>
    <rPh sb="6" eb="8">
      <t>フクロ</t>
    </rPh>
    <rPh sb="10" eb="12">
      <t>ケイトウ</t>
    </rPh>
    <rPh sb="14" eb="16">
      <t>ツウカ</t>
    </rPh>
    <rPh sb="16" eb="19">
      <t>テイリュウジョ</t>
    </rPh>
    <rPh sb="19" eb="20">
      <t>ナ</t>
    </rPh>
    <rPh sb="24" eb="26">
      <t>フトジ</t>
    </rPh>
    <rPh sb="33" eb="35">
      <t>ニンシキ</t>
    </rPh>
    <rPh sb="40" eb="42">
      <t>ヒツヨウ</t>
    </rPh>
    <rPh sb="45" eb="46">
      <t>ケ</t>
    </rPh>
    <rPh sb="52" eb="53">
      <t>キ</t>
    </rPh>
    <rPh sb="54" eb="55">
      <t>ツ</t>
    </rPh>
    <phoneticPr fontId="1"/>
  </si>
  <si>
    <t>記号→</t>
    <rPh sb="0" eb="2">
      <t>キゴウ</t>
    </rPh>
    <phoneticPr fontId="1"/>
  </si>
  <si>
    <t>系統→</t>
    <phoneticPr fontId="1"/>
  </si>
  <si>
    <t>「往路」　通過停留所名</t>
    <rPh sb="1" eb="3">
      <t>オウロ</t>
    </rPh>
    <rPh sb="5" eb="7">
      <t>ツウカ</t>
    </rPh>
    <rPh sb="7" eb="10">
      <t>テイリュウジョ</t>
    </rPh>
    <rPh sb="10" eb="11">
      <t>ナ</t>
    </rPh>
    <phoneticPr fontId="1"/>
  </si>
  <si>
    <t>着・発・　主要</t>
    <rPh sb="0" eb="1">
      <t>チャク</t>
    </rPh>
    <rPh sb="2" eb="3">
      <t>ハツ</t>
    </rPh>
    <rPh sb="5" eb="7">
      <t>シュヨウ</t>
    </rPh>
    <phoneticPr fontId="1"/>
  </si>
  <si>
    <t>乗車</t>
    <rPh sb="0" eb="2">
      <t>ジョウシャ</t>
    </rPh>
    <phoneticPr fontId="1"/>
  </si>
  <si>
    <t>降車</t>
    <rPh sb="0" eb="2">
      <t>コウシャ</t>
    </rPh>
    <phoneticPr fontId="1"/>
  </si>
  <si>
    <t>運賃ゾーン</t>
    <rPh sb="0" eb="2">
      <t>ウンチン</t>
    </rPh>
    <phoneticPr fontId="1"/>
  </si>
  <si>
    <t>キロ</t>
    <phoneticPr fontId="1"/>
  </si>
  <si>
    <t>停留所番号</t>
    <rPh sb="0" eb="3">
      <t>テイリュウジョ</t>
    </rPh>
    <rPh sb="3" eb="5">
      <t>バンゴウ</t>
    </rPh>
    <phoneticPr fontId="1"/>
  </si>
  <si>
    <t>標柱
↓番号</t>
    <rPh sb="0" eb="2">
      <t>ヒョウチュウ</t>
    </rPh>
    <rPh sb="4" eb="6">
      <t>バンゴウ</t>
    </rPh>
    <phoneticPr fontId="1"/>
  </si>
  <si>
    <t>往路へ</t>
    <rPh sb="0" eb="2">
      <t>オウロ</t>
    </rPh>
    <phoneticPr fontId="1"/>
  </si>
  <si>
    <t>「復路」　通過停留所名</t>
    <rPh sb="1" eb="3">
      <t>フクロ</t>
    </rPh>
    <rPh sb="5" eb="7">
      <t>ツウカ</t>
    </rPh>
    <rPh sb="7" eb="10">
      <t>テイリュウジョ</t>
    </rPh>
    <rPh sb="10" eb="11">
      <t>ナ</t>
    </rPh>
    <phoneticPr fontId="1"/>
  </si>
  <si>
    <t>見える化共通入力フォーマット</t>
    <rPh sb="0" eb="1">
      <t>ミ</t>
    </rPh>
    <rPh sb="3" eb="14">
      <t>カ</t>
    </rPh>
    <phoneticPr fontId="1"/>
  </si>
  <si>
    <t>作成手順</t>
    <rPh sb="0" eb="4">
      <t>サクセイテジュン</t>
    </rPh>
    <phoneticPr fontId="1"/>
  </si>
  <si>
    <t>１）基本情報</t>
    <rPh sb="2" eb="6">
      <t>キホンジョウホウ</t>
    </rPh>
    <phoneticPr fontId="1"/>
  </si>
  <si>
    <t>２）停留所情報</t>
    <rPh sb="2" eb="5">
      <t>テイリュウジョ</t>
    </rPh>
    <rPh sb="5" eb="7">
      <t>ジョウホウ</t>
    </rPh>
    <phoneticPr fontId="1"/>
  </si>
  <si>
    <t>このフォーマットは</t>
    <phoneticPr fontId="1"/>
  </si>
  <si>
    <t>「三重県生活交通確保対策協議会」「公共交通利用促進ネットワーク」にて活用しています。</t>
    <rPh sb="17" eb="31">
      <t>コウキョウ</t>
    </rPh>
    <rPh sb="34" eb="36">
      <t>カツヨウ</t>
    </rPh>
    <phoneticPr fontId="1"/>
  </si>
  <si>
    <t>運賃シート</t>
    <rPh sb="0" eb="2">
      <t>ウンチン</t>
    </rPh>
    <phoneticPr fontId="1"/>
  </si>
  <si>
    <t>最終チェック</t>
    <rPh sb="0" eb="2">
      <t>サイシュウ</t>
    </rPh>
    <phoneticPr fontId="1"/>
  </si>
  <si>
    <t>路線名かな</t>
    <rPh sb="0" eb="2">
      <t>ロセン</t>
    </rPh>
    <rPh sb="2" eb="3">
      <t>メイ</t>
    </rPh>
    <phoneticPr fontId="1"/>
  </si>
  <si>
    <t>このフォーマットの使用用途</t>
    <rPh sb="9" eb="13">
      <t>シヨウヨウト</t>
    </rPh>
    <phoneticPr fontId="1"/>
  </si>
  <si>
    <t>「06停留所」を記入します。</t>
    <rPh sb="3" eb="6">
      <t>テイリュウジョ</t>
    </rPh>
    <rPh sb="8" eb="10">
      <t>キニュウ</t>
    </rPh>
    <phoneticPr fontId="1"/>
  </si>
  <si>
    <t>「路線（原本）」の「路線シート作成」ボタンを押し、路線別にシートを作成して入力します。</t>
    <rPh sb="1" eb="3">
      <t>ロセン</t>
    </rPh>
    <rPh sb="4" eb="6">
      <t>ゲンポン</t>
    </rPh>
    <rPh sb="10" eb="12">
      <t>ロセン</t>
    </rPh>
    <rPh sb="15" eb="17">
      <t>サクセイ</t>
    </rPh>
    <rPh sb="22" eb="23">
      <t>オ</t>
    </rPh>
    <rPh sb="25" eb="28">
      <t>ロセンベツ</t>
    </rPh>
    <rPh sb="33" eb="35">
      <t>サクセイ</t>
    </rPh>
    <rPh sb="37" eb="39">
      <t>ニュウリョク</t>
    </rPh>
    <phoneticPr fontId="1"/>
  </si>
  <si>
    <t>各シートの内容があっているか確認しましょう。</t>
    <rPh sb="0" eb="1">
      <t>カク</t>
    </rPh>
    <rPh sb="5" eb="7">
      <t>ナイヨウ</t>
    </rPh>
    <rPh sb="14" eb="16">
      <t>カクニン</t>
    </rPh>
    <phoneticPr fontId="1"/>
  </si>
  <si>
    <t>このボタンを押すと、系統別に時刻シートが作成されます。</t>
    <rPh sb="6" eb="7">
      <t>オ</t>
    </rPh>
    <rPh sb="10" eb="12">
      <t>ケイトウ</t>
    </rPh>
    <rPh sb="12" eb="13">
      <t>ベツ</t>
    </rPh>
    <rPh sb="14" eb="16">
      <t>ジコク</t>
    </rPh>
    <rPh sb="20" eb="22">
      <t>サクセイ</t>
    </rPh>
    <phoneticPr fontId="1"/>
  </si>
  <si>
    <t>以下の場合は、「運賃入力ファイル」を作成します。このファイルは、別ファイルになります。</t>
    <rPh sb="0" eb="2">
      <t>イカ</t>
    </rPh>
    <rPh sb="3" eb="5">
      <t>バアイ</t>
    </rPh>
    <rPh sb="8" eb="10">
      <t>ウンチン</t>
    </rPh>
    <rPh sb="10" eb="12">
      <t>ニュウリョク</t>
    </rPh>
    <rPh sb="18" eb="20">
      <t>サクセイ</t>
    </rPh>
    <rPh sb="32" eb="33">
      <t>ベツ</t>
    </rPh>
    <phoneticPr fontId="1"/>
  </si>
  <si>
    <t>入力が終わったら内容があっているか確認しましょう。</t>
    <rPh sb="0" eb="2">
      <t>ニュウリョク</t>
    </rPh>
    <rPh sb="3" eb="4">
      <t>オ</t>
    </rPh>
    <rPh sb="8" eb="10">
      <t>ナイヨウ</t>
    </rPh>
    <rPh sb="17" eb="19">
      <t>カクニン</t>
    </rPh>
    <phoneticPr fontId="1"/>
  </si>
  <si>
    <t>ﾁｪｯｸ→</t>
    <phoneticPr fontId="1"/>
  </si>
  <si>
    <t>このファイルには、マクロが含まれています。</t>
    <rPh sb="13" eb="21">
      <t>フ</t>
    </rPh>
    <phoneticPr fontId="1"/>
  </si>
  <si>
    <t>「コンテンツの有効化」ボタンが表示されている場合は、このボタンを押してください。</t>
  </si>
  <si>
    <t>『その筋屋』に読むこむために使用</t>
    <rPh sb="3" eb="4">
      <t>スジ</t>
    </rPh>
    <rPh sb="4" eb="5">
      <t>ヤ</t>
    </rPh>
    <rPh sb="7" eb="8">
      <t>ヨ</t>
    </rPh>
    <rPh sb="14" eb="16">
      <t>シヨウ</t>
    </rPh>
    <phoneticPr fontId="1"/>
  </si>
  <si>
    <t>該当する□内に  #  を記入してください。</t>
    <rPh sb="0" eb="2">
      <t>ガイトウ</t>
    </rPh>
    <rPh sb="5" eb="6">
      <t>ナイ</t>
    </rPh>
    <rPh sb="13" eb="15">
      <t>キニュウ</t>
    </rPh>
    <phoneticPr fontId="1"/>
  </si>
  <si>
    <t>#</t>
    <phoneticPr fontId="1"/>
  </si>
  <si>
    <t>このボタンを押すと、停留所IDが空欄の箇所に自動セットされます。</t>
    <rPh sb="6" eb="7">
      <t>オ</t>
    </rPh>
    <rPh sb="10" eb="13">
      <t>テイリュウジョ</t>
    </rPh>
    <rPh sb="16" eb="18">
      <t>クウラン</t>
    </rPh>
    <rPh sb="19" eb="21">
      <t>カショ</t>
    </rPh>
    <rPh sb="22" eb="24">
      <t>ジドウ</t>
    </rPh>
    <phoneticPr fontId="1"/>
  </si>
  <si>
    <t>路線番号</t>
    <rPh sb="0" eb="2">
      <t>ロセン</t>
    </rPh>
    <rPh sb="2" eb="4">
      <t>バンゴウ</t>
    </rPh>
    <phoneticPr fontId="1"/>
  </si>
  <si>
    <t>案内用ナンバリング</t>
    <rPh sb="0" eb="2">
      <t>アンナイ</t>
    </rPh>
    <rPh sb="2" eb="3">
      <t>ヨウ</t>
    </rPh>
    <phoneticPr fontId="1"/>
  </si>
  <si>
    <t>検索結果に表示したい名称</t>
    <rPh sb="0" eb="2">
      <t>ケンサク</t>
    </rPh>
    <rPh sb="2" eb="4">
      <t>ケッカ</t>
    </rPh>
    <rPh sb="5" eb="7">
      <t>ヒョウジ</t>
    </rPh>
    <rPh sb="10" eb="12">
      <t>メイショウ</t>
    </rPh>
    <phoneticPr fontId="1"/>
  </si>
  <si>
    <t>運行日名称</t>
    <rPh sb="0" eb="3">
      <t>ウンコウビ</t>
    </rPh>
    <rPh sb="3" eb="5">
      <t>メイショウ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</si>
  <si>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</si>
  <si>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</si>
  <si>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</si>
  <si>
    <t>木</t>
  </si>
  <si>
    <t>金</t>
  </si>
  <si>
    <t>土</t>
  </si>
  <si>
    <t>日</t>
  </si>
  <si>
    <t>祝日</t>
    <rPh sb="0" eb="2">
      <t>シュクジツ</t>
    </rPh>
    <phoneticPr fontId="1"/>
  </si>
  <si>
    <t>曜日別運行の場合祝日も運行</t>
    <rPh sb="0" eb="3">
      <t>ヨウビベツ</t>
    </rPh>
    <rPh sb="3" eb="5">
      <t>ウンコウ</t>
    </rPh>
    <rPh sb="6" eb="8">
      <t>バアイ</t>
    </rPh>
    <rPh sb="8" eb="10">
      <t>シュクジツ</t>
    </rPh>
    <rPh sb="11" eb="13">
      <t>ウンコウ</t>
    </rPh>
    <phoneticPr fontId="1"/>
  </si>
  <si>
    <t>除外</t>
  </si>
  <si>
    <t>特殊運行</t>
    <rPh sb="0" eb="2">
      <t>トクシュ</t>
    </rPh>
    <rPh sb="2" eb="4">
      <t>ウンコウ</t>
    </rPh>
    <phoneticPr fontId="1"/>
  </si>
  <si>
    <t>のりば</t>
    <phoneticPr fontId="1"/>
  </si>
  <si>
    <t>作成日時</t>
    <rPh sb="0" eb="2">
      <t>サクセイ</t>
    </rPh>
    <rPh sb="2" eb="4">
      <t>ニチジ</t>
    </rPh>
    <phoneticPr fontId="1"/>
  </si>
  <si>
    <t>入力コード用</t>
    <rPh sb="0" eb="2">
      <t>ニュウリョク</t>
    </rPh>
    <rPh sb="5" eb="6">
      <t>ヨウ</t>
    </rPh>
    <phoneticPr fontId="1"/>
  </si>
  <si>
    <t>路線別時刻シートの「系統セット」をボタン押すと、「04系統」シートに系統の情報が追加・更新されます。</t>
    <rPh sb="0" eb="3">
      <t>ロセンベツ</t>
    </rPh>
    <rPh sb="3" eb="5">
      <t>ジコク</t>
    </rPh>
    <rPh sb="10" eb="12">
      <t>ケイトウ</t>
    </rPh>
    <rPh sb="20" eb="21">
      <t>オ</t>
    </rPh>
    <rPh sb="27" eb="29">
      <t>ケイトウ</t>
    </rPh>
    <rPh sb="34" eb="36">
      <t>ケイトウ</t>
    </rPh>
    <rPh sb="37" eb="39">
      <t>ジョウホウ</t>
    </rPh>
    <rPh sb="40" eb="42">
      <t>ツイカ</t>
    </rPh>
    <rPh sb="43" eb="45">
      <t>コウシン</t>
    </rPh>
    <phoneticPr fontId="1"/>
  </si>
  <si>
    <t>「04系統」シートの内容を確認し、必要な情報を追記します。</t>
    <rPh sb="3" eb="5">
      <t>ケイトウ</t>
    </rPh>
    <rPh sb="10" eb="12">
      <t>ナイヨウ</t>
    </rPh>
    <rPh sb="13" eb="15">
      <t>カクニン</t>
    </rPh>
    <rPh sb="17" eb="19">
      <t>ヒツヨウ</t>
    </rPh>
    <rPh sb="20" eb="22">
      <t>ジョウホウ</t>
    </rPh>
    <rPh sb="23" eb="25">
      <t>ツイキ</t>
    </rPh>
    <phoneticPr fontId="1"/>
  </si>
  <si>
    <t>祝日日付</t>
    <rPh sb="0" eb="2">
      <t>シュクジツ</t>
    </rPh>
    <rPh sb="2" eb="4">
      <t>ヒヅケ</t>
    </rPh>
    <phoneticPr fontId="1"/>
  </si>
  <si>
    <t>このボタンを押すと、変換が実行され、その筋屋読み込み用ファイルが作成されます。</t>
    <rPh sb="6" eb="7">
      <t>オ</t>
    </rPh>
    <rPh sb="10" eb="12">
      <t>ヘンカン</t>
    </rPh>
    <rPh sb="13" eb="15">
      <t>ジッコウ</t>
    </rPh>
    <rPh sb="20" eb="21">
      <t>スジ</t>
    </rPh>
    <rPh sb="21" eb="22">
      <t>ヤ</t>
    </rPh>
    <rPh sb="22" eb="23">
      <t>ヨ</t>
    </rPh>
    <rPh sb="24" eb="25">
      <t>コ</t>
    </rPh>
    <rPh sb="26" eb="27">
      <t>ヨウ</t>
    </rPh>
    <rPh sb="32" eb="34">
      <t>サクセイ</t>
    </rPh>
    <phoneticPr fontId="1"/>
  </si>
  <si>
    <t>標柱識別</t>
    <rPh sb="0" eb="2">
      <t>ヒョウチュウ</t>
    </rPh>
    <rPh sb="2" eb="4">
      <t>シキベツ</t>
    </rPh>
    <phoneticPr fontId="1"/>
  </si>
  <si>
    <t>コンテンプロバイダ等にデータ提供</t>
    <rPh sb="9" eb="10">
      <t>ナド</t>
    </rPh>
    <rPh sb="14" eb="16">
      <t>テイキョウ</t>
    </rPh>
    <phoneticPr fontId="1"/>
  </si>
  <si>
    <t>GTFS-JP（標準的なバス情報フォーマット）を作成</t>
    <rPh sb="8" eb="22">
      <t>ヒョウジュ</t>
    </rPh>
    <rPh sb="24" eb="26">
      <t>サクセイ</t>
    </rPh>
    <phoneticPr fontId="1"/>
  </si>
  <si>
    <t>３）運行日</t>
    <rPh sb="2" eb="4">
      <t>ウンコウ</t>
    </rPh>
    <rPh sb="4" eb="5">
      <t>ビ</t>
    </rPh>
    <phoneticPr fontId="1"/>
  </si>
  <si>
    <t>「05運行日」シートに、運行日のパターンを入力します。</t>
    <rPh sb="3" eb="5">
      <t>ウンコウ</t>
    </rPh>
    <rPh sb="5" eb="6">
      <t>ビ</t>
    </rPh>
    <rPh sb="12" eb="15">
      <t>ウンコウビ</t>
    </rPh>
    <rPh sb="21" eb="23">
      <t>ニュウリョク</t>
    </rPh>
    <phoneticPr fontId="1"/>
  </si>
  <si>
    <t>５）系統情報</t>
    <rPh sb="2" eb="4">
      <t>ケイトウ</t>
    </rPh>
    <rPh sb="4" eb="6">
      <t>ジョウホウ</t>
    </rPh>
    <phoneticPr fontId="1"/>
  </si>
  <si>
    <t>４）路線単位の時刻表情報</t>
    <rPh sb="2" eb="4">
      <t>ロセン</t>
    </rPh>
    <rPh sb="4" eb="6">
      <t>タンイ</t>
    </rPh>
    <rPh sb="7" eb="10">
      <t>ジコクヒョウ</t>
    </rPh>
    <rPh sb="10" eb="12">
      <t>ジョウホウ</t>
    </rPh>
    <phoneticPr fontId="1"/>
  </si>
  <si>
    <t>「05祝日」シートは、年１回必ず見直してください。（標準的なバス情報フォーマットを作成する場合）</t>
    <rPh sb="3" eb="5">
      <t>シュクジツ</t>
    </rPh>
    <rPh sb="11" eb="12">
      <t>ネン</t>
    </rPh>
    <rPh sb="13" eb="14">
      <t>カイ</t>
    </rPh>
    <rPh sb="14" eb="15">
      <t>カナラ</t>
    </rPh>
    <rPh sb="16" eb="18">
      <t>ミナオ</t>
    </rPh>
    <rPh sb="26" eb="40">
      <t>ヒョウ</t>
    </rPh>
    <rPh sb="41" eb="43">
      <t>サクセイ</t>
    </rPh>
    <rPh sb="45" eb="47">
      <t>バアイ</t>
    </rPh>
    <phoneticPr fontId="1"/>
  </si>
  <si>
    <t>６）『その筋屋』へ読み込む場合のみ</t>
    <rPh sb="5" eb="6">
      <t>スジ</t>
    </rPh>
    <rPh sb="6" eb="7">
      <t>ヤ</t>
    </rPh>
    <rPh sb="9" eb="10">
      <t>ヨ</t>
    </rPh>
    <rPh sb="11" eb="12">
      <t>コ</t>
    </rPh>
    <rPh sb="13" eb="15">
      <t>バアイ</t>
    </rPh>
    <phoneticPr fontId="1"/>
  </si>
  <si>
    <t>「07路線別停留所」シートを入力します。</t>
    <rPh sb="3" eb="6">
      <t>ロセンベツ</t>
    </rPh>
    <rPh sb="6" eb="9">
      <t>テイリュウジョ</t>
    </rPh>
    <rPh sb="14" eb="16">
      <t>ニュウリョク</t>
    </rPh>
    <phoneticPr fontId="1"/>
  </si>
  <si>
    <t>７）確認</t>
    <rPh sb="2" eb="4">
      <t>カクニン</t>
    </rPh>
    <phoneticPr fontId="1"/>
  </si>
  <si>
    <t>８）系統別時刻シートを作成</t>
    <phoneticPr fontId="1"/>
  </si>
  <si>
    <t>９）運賃情報</t>
    <rPh sb="2" eb="4">
      <t>ウンチン</t>
    </rPh>
    <rPh sb="4" eb="6">
      <t>ジョウホウ</t>
    </rPh>
    <phoneticPr fontId="1"/>
  </si>
  <si>
    <t>11）『その筋屋』へ読み込む場合のみ</t>
    <rPh sb="6" eb="7">
      <t>スジ</t>
    </rPh>
    <rPh sb="7" eb="8">
      <t>ヤ</t>
    </rPh>
    <rPh sb="10" eb="11">
      <t>ヨ</t>
    </rPh>
    <rPh sb="12" eb="13">
      <t>コ</t>
    </rPh>
    <rPh sb="14" eb="16">
      <t>バアイ</t>
    </rPh>
    <phoneticPr fontId="1"/>
  </si>
  <si>
    <t>９で作成した運賃入力ファイルが必要です。</t>
    <rPh sb="2" eb="4">
      <t>サクセイ</t>
    </rPh>
    <rPh sb="6" eb="8">
      <t>ウンチン</t>
    </rPh>
    <rPh sb="8" eb="10">
      <t>ニュウリョク</t>
    </rPh>
    <rPh sb="15" eb="17">
      <t>ヒツヨウ</t>
    </rPh>
    <phoneticPr fontId="1"/>
  </si>
  <si>
    <t>９で作成した運賃入力ファイルを、その筋屋読み込み用運賃ファイルに変換します。</t>
    <rPh sb="2" eb="4">
      <t>サクセイ</t>
    </rPh>
    <rPh sb="6" eb="8">
      <t>ウンチン</t>
    </rPh>
    <rPh sb="8" eb="10">
      <t>ニュウリョク</t>
    </rPh>
    <rPh sb="18" eb="19">
      <t>スジ</t>
    </rPh>
    <rPh sb="19" eb="20">
      <t>ヤ</t>
    </rPh>
    <rPh sb="20" eb="21">
      <t>ヨ</t>
    </rPh>
    <rPh sb="22" eb="23">
      <t>コ</t>
    </rPh>
    <rPh sb="24" eb="25">
      <t>ヨウ</t>
    </rPh>
    <rPh sb="25" eb="27">
      <t>ウンチン</t>
    </rPh>
    <rPh sb="32" eb="34">
      <t>ヘンカン</t>
    </rPh>
    <phoneticPr fontId="1"/>
  </si>
  <si>
    <t>・『その筋屋』に運賃を読み込む場合</t>
    <rPh sb="4" eb="5">
      <t>スジ</t>
    </rPh>
    <rPh sb="5" eb="6">
      <t>ヤ</t>
    </rPh>
    <rPh sb="8" eb="10">
      <t>ウンチン</t>
    </rPh>
    <rPh sb="11" eb="12">
      <t>ヨ</t>
    </rPh>
    <rPh sb="13" eb="14">
      <t>コ</t>
    </rPh>
    <rPh sb="15" eb="17">
      <t>バアイ</t>
    </rPh>
    <phoneticPr fontId="1"/>
  </si>
  <si>
    <t>F列(表示したい名称)の英語</t>
    <rPh sb="1" eb="2">
      <t>レツ</t>
    </rPh>
    <rPh sb="3" eb="5">
      <t>ヒョウジ</t>
    </rPh>
    <rPh sb="8" eb="10">
      <t>メイショウ</t>
    </rPh>
    <rPh sb="12" eb="14">
      <t>エイゴ</t>
    </rPh>
    <phoneticPr fontId="1"/>
  </si>
  <si>
    <t>以前に作成した「見える化共通入力フォーマット」からデータを取り込む</t>
    <rPh sb="0" eb="2">
      <t>イゼン</t>
    </rPh>
    <rPh sb="3" eb="5">
      <t>サクセイ</t>
    </rPh>
    <rPh sb="8" eb="9">
      <t>ミ</t>
    </rPh>
    <rPh sb="11" eb="22">
      <t>カ</t>
    </rPh>
    <rPh sb="29" eb="30">
      <t>ト</t>
    </rPh>
    <rPh sb="31" eb="32">
      <t>コ</t>
    </rPh>
    <phoneticPr fontId="1"/>
  </si>
  <si>
    <t>指定しない場合は１年間となります</t>
    <rPh sb="0" eb="2">
      <t>シテイ</t>
    </rPh>
    <rPh sb="5" eb="7">
      <t>バアイ</t>
    </rPh>
    <rPh sb="9" eb="11">
      <t>ネンカン</t>
    </rPh>
    <phoneticPr fontId="1"/>
  </si>
  <si>
    <t>shapes.txtを作成する場合○印を記入</t>
    <rPh sb="11" eb="13">
      <t>サクセイ</t>
    </rPh>
    <rPh sb="15" eb="17">
      <t>バアイ</t>
    </rPh>
    <rPh sb="18" eb="19">
      <t>シルシ</t>
    </rPh>
    <rPh sb="20" eb="22">
      <t>キニュウ</t>
    </rPh>
    <phoneticPr fontId="1"/>
  </si>
  <si>
    <t>提供終了日</t>
    <rPh sb="0" eb="2">
      <t>テイキョウ</t>
    </rPh>
    <rPh sb="2" eb="5">
      <t>シュウリョウビ</t>
    </rPh>
    <phoneticPr fontId="1"/>
  </si>
  <si>
    <t>連続→</t>
    <rPh sb="0" eb="2">
      <t>レンゾク</t>
    </rPh>
    <phoneticPr fontId="1"/>
  </si>
  <si>
    <t>経路の描画データを作成する</t>
    <rPh sb="0" eb="2">
      <t>ケイロ</t>
    </rPh>
    <rPh sb="3" eb="5">
      <t>ビョウガ</t>
    </rPh>
    <rPh sb="9" eb="11">
      <t>サクセイ</t>
    </rPh>
    <phoneticPr fontId="1"/>
  </si>
  <si>
    <r>
      <t>なお、このシートを作成した後に、</t>
    </r>
    <r>
      <rPr>
        <sz val="11"/>
        <color rgb="FFFF0000"/>
        <rFont val="ＭＳ Ｐゴシック"/>
        <family val="3"/>
        <charset val="128"/>
        <scheme val="minor"/>
      </rPr>
      <t>停留所、系統、運行日、時刻を修正したときは、再度　系統別シートの</t>
    </r>
    <rPh sb="9" eb="11">
      <t>サクセイ</t>
    </rPh>
    <rPh sb="13" eb="14">
      <t>ゴ</t>
    </rPh>
    <rPh sb="16" eb="19">
      <t>テイリュウジョ</t>
    </rPh>
    <rPh sb="20" eb="22">
      <t>ケイトウ</t>
    </rPh>
    <rPh sb="23" eb="25">
      <t>ウンコウ</t>
    </rPh>
    <rPh sb="25" eb="26">
      <t>ビ</t>
    </rPh>
    <rPh sb="27" eb="29">
      <t>ジコク</t>
    </rPh>
    <rPh sb="30" eb="32">
      <t>シュウセイ</t>
    </rPh>
    <rPh sb="38" eb="40">
      <t>サイド</t>
    </rPh>
    <rPh sb="41" eb="44">
      <t>ケイトウベツ</t>
    </rPh>
    <phoneticPr fontId="1"/>
  </si>
  <si>
    <r>
      <rPr>
        <sz val="11"/>
        <color rgb="FFFF0000"/>
        <rFont val="ＭＳ Ｐゴシック"/>
        <family val="3"/>
        <charset val="128"/>
        <scheme val="minor"/>
      </rPr>
      <t>作成を行う必要があります。</t>
    </r>
    <r>
      <rPr>
        <sz val="11"/>
        <color theme="1"/>
        <rFont val="ＭＳ Ｐゴシック"/>
        <family val="2"/>
        <charset val="128"/>
        <scheme val="minor"/>
      </rPr>
      <t>（すでに系統別時刻シートが存在する場合は、再作成されます）</t>
    </r>
    <rPh sb="0" eb="2">
      <t>サクセイ</t>
    </rPh>
    <rPh sb="3" eb="4">
      <t>オコナ</t>
    </rPh>
    <rPh sb="5" eb="7">
      <t>ヒツヨウ</t>
    </rPh>
    <rPh sb="17" eb="20">
      <t>ケイトウベツ</t>
    </rPh>
    <rPh sb="20" eb="22">
      <t>ジコク</t>
    </rPh>
    <rPh sb="26" eb="28">
      <t>ソンザイ</t>
    </rPh>
    <rPh sb="30" eb="32">
      <t>バアイ</t>
    </rPh>
    <rPh sb="34" eb="37">
      <t>サイサクセイ</t>
    </rPh>
    <phoneticPr fontId="1"/>
  </si>
  <si>
    <t>営業所id</t>
    <rPh sb="0" eb="3">
      <t>エイギョウショ</t>
    </rPh>
    <phoneticPr fontId="1"/>
  </si>
  <si>
    <t>項目</t>
    <rPh sb="0" eb="2">
      <t>コウモク</t>
    </rPh>
    <phoneticPr fontId="1"/>
  </si>
  <si>
    <t>データ</t>
    <phoneticPr fontId="1"/>
  </si>
  <si>
    <t>事業者・自治体名</t>
    <rPh sb="0" eb="3">
      <t>ジギョウシャ</t>
    </rPh>
    <rPh sb="4" eb="7">
      <t>ジチタイ</t>
    </rPh>
    <rPh sb="7" eb="8">
      <t>メイ</t>
    </rPh>
    <phoneticPr fontId="1"/>
  </si>
  <si>
    <t>事業者名・自治体名かな</t>
    <rPh sb="0" eb="4">
      <t>ジギョウシャメイ</t>
    </rPh>
    <rPh sb="5" eb="9">
      <t>ジチタイメイ</t>
    </rPh>
    <phoneticPr fontId="1"/>
  </si>
  <si>
    <t>事業者名・自治体名英語</t>
    <rPh sb="0" eb="4">
      <t>ジギョウシャメイ</t>
    </rPh>
    <rPh sb="5" eb="9">
      <t>ジチタイメイ</t>
    </rPh>
    <rPh sb="9" eb="11">
      <t>エイゴ</t>
    </rPh>
    <phoneticPr fontId="1"/>
  </si>
  <si>
    <t>路線図、時刻表URL</t>
    <rPh sb="0" eb="3">
      <t>ロセンズ</t>
    </rPh>
    <rPh sb="4" eb="7">
      <t>ジコクヒョウ</t>
    </rPh>
    <phoneticPr fontId="1"/>
  </si>
  <si>
    <t>時刻表が掲載されているページ</t>
    <rPh sb="0" eb="3">
      <t>ジコクヒョウ</t>
    </rPh>
    <rPh sb="4" eb="6">
      <t>ケイサイ</t>
    </rPh>
    <phoneticPr fontId="1"/>
  </si>
  <si>
    <t>運賃情報URL</t>
    <rPh sb="0" eb="2">
      <t>ウンチン</t>
    </rPh>
    <rPh sb="2" eb="4">
      <t>ジョウホウ</t>
    </rPh>
    <phoneticPr fontId="1"/>
  </si>
  <si>
    <t>乗継券制度、高速バスの予約ページなど</t>
    <rPh sb="2" eb="3">
      <t>ケン</t>
    </rPh>
    <rPh sb="6" eb="8">
      <t>コウソク</t>
    </rPh>
    <rPh sb="11" eb="13">
      <t>ヨヤク</t>
    </rPh>
    <phoneticPr fontId="1"/>
  </si>
  <si>
    <t>法人番号</t>
    <rPh sb="0" eb="4">
      <t>ホウジンバンゴウ</t>
    </rPh>
    <phoneticPr fontId="1"/>
  </si>
  <si>
    <t>交通種別</t>
    <rPh sb="0" eb="2">
      <t>コウツウ</t>
    </rPh>
    <rPh sb="2" eb="4">
      <t>シュベツ</t>
    </rPh>
    <phoneticPr fontId="1"/>
  </si>
  <si>
    <t>提供組織名</t>
    <rPh sb="0" eb="2">
      <t>テイキョウ</t>
    </rPh>
    <rPh sb="2" eb="5">
      <t>ソシキメイ</t>
    </rPh>
    <phoneticPr fontId="1"/>
  </si>
  <si>
    <t>通常は事業者・自治体名と同じで良い</t>
    <rPh sb="0" eb="2">
      <t>ツウジョウ</t>
    </rPh>
    <rPh sb="3" eb="6">
      <t>ジギョウシャ</t>
    </rPh>
    <rPh sb="7" eb="10">
      <t>ジチタイ</t>
    </rPh>
    <rPh sb="10" eb="11">
      <t>メイ</t>
    </rPh>
    <rPh sb="12" eb="13">
      <t>オナ</t>
    </rPh>
    <rPh sb="15" eb="16">
      <t>ヨ</t>
    </rPh>
    <phoneticPr fontId="1"/>
  </si>
  <si>
    <t>提供組織URL</t>
    <rPh sb="0" eb="2">
      <t>テイキョウ</t>
    </rPh>
    <rPh sb="2" eb="4">
      <t>ソシキ</t>
    </rPh>
    <phoneticPr fontId="1"/>
  </si>
  <si>
    <t>組織のトップページ</t>
    <rPh sb="0" eb="2">
      <t>ソシキ</t>
    </rPh>
    <phoneticPr fontId="1"/>
  </si>
  <si>
    <t>往復</t>
    <rPh sb="0" eb="2">
      <t>オウフク</t>
    </rPh>
    <phoneticPr fontId="1"/>
  </si>
  <si>
    <t>描画シェイプID</t>
    <rPh sb="0" eb="2">
      <t>ビョウガ</t>
    </rPh>
    <phoneticPr fontId="1"/>
  </si>
  <si>
    <t>・『GTFS-JP』データを作成する場合</t>
    <rPh sb="14" eb="16">
      <t>サクセイ</t>
    </rPh>
    <rPh sb="18" eb="20">
      <t>バアイ</t>
    </rPh>
    <phoneticPr fontId="1"/>
  </si>
  <si>
    <t>10）『GTFS-JP』データを作成する場合</t>
    <rPh sb="16" eb="18">
      <t>サクセイ</t>
    </rPh>
    <rPh sb="20" eb="22">
      <t>バアイ</t>
    </rPh>
    <phoneticPr fontId="1"/>
  </si>
  <si>
    <t>このボタンを押すと、GTFS-JPデータが作成されます。</t>
    <rPh sb="6" eb="7">
      <t>オ</t>
    </rPh>
    <rPh sb="21" eb="23">
      <t>サクセイ</t>
    </rPh>
    <phoneticPr fontId="1"/>
  </si>
  <si>
    <t>「02基本情報」を記入します。</t>
    <rPh sb="3" eb="7">
      <t>キホンジョウホウ</t>
    </rPh>
    <rPh sb="9" eb="11">
      <t>キニュウ</t>
    </rPh>
    <phoneticPr fontId="1"/>
  </si>
  <si>
    <t>乗換元停留所名称</t>
    <rPh sb="0" eb="1">
      <t>ノ</t>
    </rPh>
    <rPh sb="1" eb="2">
      <t>カ</t>
    </rPh>
    <rPh sb="2" eb="3">
      <t>モト</t>
    </rPh>
    <rPh sb="3" eb="6">
      <t>テイリュウジョ</t>
    </rPh>
    <rPh sb="6" eb="8">
      <t>メイショウ</t>
    </rPh>
    <phoneticPr fontId="1"/>
  </si>
  <si>
    <t>乗換元標柱番号</t>
    <rPh sb="0" eb="2">
      <t>ノリカエ</t>
    </rPh>
    <rPh sb="2" eb="3">
      <t>モト</t>
    </rPh>
    <rPh sb="3" eb="5">
      <t>ヒョウチュウ</t>
    </rPh>
    <rPh sb="5" eb="7">
      <t>バンゴウ</t>
    </rPh>
    <phoneticPr fontId="1"/>
  </si>
  <si>
    <t>乗換元停留所id</t>
    <rPh sb="0" eb="2">
      <t>ノリカエ</t>
    </rPh>
    <rPh sb="2" eb="3">
      <t>モト</t>
    </rPh>
    <rPh sb="3" eb="6">
      <t>テイリュウジョ</t>
    </rPh>
    <phoneticPr fontId="1"/>
  </si>
  <si>
    <t>乗換元停留所番号</t>
    <rPh sb="0" eb="2">
      <t>ノリカエ</t>
    </rPh>
    <rPh sb="2" eb="3">
      <t>モト</t>
    </rPh>
    <rPh sb="3" eb="6">
      <t>テイリュウジョ</t>
    </rPh>
    <rPh sb="6" eb="8">
      <t>バンゴウ</t>
    </rPh>
    <phoneticPr fontId="1"/>
  </si>
  <si>
    <t>乗換先停留所名称</t>
    <rPh sb="2" eb="3">
      <t>サキ</t>
    </rPh>
    <rPh sb="3" eb="6">
      <t>テイリュウジョ</t>
    </rPh>
    <rPh sb="6" eb="8">
      <t>メイショウ</t>
    </rPh>
    <phoneticPr fontId="1"/>
  </si>
  <si>
    <t>乗換先標柱番号</t>
    <rPh sb="0" eb="2">
      <t>ノリカエ</t>
    </rPh>
    <rPh sb="2" eb="3">
      <t>サキ</t>
    </rPh>
    <rPh sb="3" eb="5">
      <t>ヒョウチュウ</t>
    </rPh>
    <rPh sb="5" eb="7">
      <t>バンゴウ</t>
    </rPh>
    <phoneticPr fontId="1"/>
  </si>
  <si>
    <t>乗換先停留所id</t>
    <rPh sb="0" eb="2">
      <t>ノリカエ</t>
    </rPh>
    <rPh sb="2" eb="3">
      <t>サキ</t>
    </rPh>
    <rPh sb="3" eb="6">
      <t>テイリュウジョ</t>
    </rPh>
    <phoneticPr fontId="1"/>
  </si>
  <si>
    <t>乗換先停留所番号</t>
    <rPh sb="0" eb="2">
      <t>ノリカエ</t>
    </rPh>
    <rPh sb="2" eb="3">
      <t>サキ</t>
    </rPh>
    <rPh sb="3" eb="6">
      <t>テイリュウジョ</t>
    </rPh>
    <rPh sb="6" eb="8">
      <t>バンゴウ</t>
    </rPh>
    <phoneticPr fontId="1"/>
  </si>
  <si>
    <t>タイプ</t>
    <phoneticPr fontId="1"/>
  </si>
  <si>
    <t>乗換時間（秒）</t>
    <rPh sb="0" eb="2">
      <t>ノリカエ</t>
    </rPh>
    <rPh sb="2" eb="4">
      <t>ジカン</t>
    </rPh>
    <rPh sb="5" eb="6">
      <t>ビョウ</t>
    </rPh>
    <phoneticPr fontId="1"/>
  </si>
  <si>
    <t>運賃入力ファイルは、以前のバージョンのファイルがそのまま利用できます。</t>
    <rPh sb="0" eb="2">
      <t>ウンチン</t>
    </rPh>
    <rPh sb="2" eb="4">
      <t>ニュウリョク</t>
    </rPh>
    <rPh sb="10" eb="12">
      <t>イゼン</t>
    </rPh>
    <rPh sb="28" eb="30">
      <t>リヨウ</t>
    </rPh>
    <phoneticPr fontId="1"/>
  </si>
  <si>
    <t>行き先設定</t>
    <rPh sb="0" eb="3">
      <t>イキサキ</t>
    </rPh>
    <rPh sb="3" eb="5">
      <t>セッテイ</t>
    </rPh>
    <phoneticPr fontId="1"/>
  </si>
  <si>
    <t>行き先</t>
    <rPh sb="0" eb="1">
      <t>ギョウ</t>
    </rPh>
    <rPh sb="2" eb="3">
      <t>サキ</t>
    </rPh>
    <phoneticPr fontId="1"/>
  </si>
  <si>
    <t>行き先英語</t>
    <rPh sb="0" eb="1">
      <t>ギョウ</t>
    </rPh>
    <rPh sb="2" eb="3">
      <t>サキ</t>
    </rPh>
    <rPh sb="3" eb="5">
      <t>エイゴ</t>
    </rPh>
    <phoneticPr fontId="1"/>
  </si>
  <si>
    <t>系統⇒</t>
    <phoneticPr fontId="1"/>
  </si>
  <si>
    <t>行き先切替</t>
    <rPh sb="0" eb="3">
      <t>イキサキ</t>
    </rPh>
    <rPh sb="3" eb="5">
      <t>キリカエ</t>
    </rPh>
    <phoneticPr fontId="1"/>
  </si>
  <si>
    <t>リンク</t>
  </si>
  <si>
    <t>シート名</t>
  </si>
  <si>
    <t>セル位置</t>
  </si>
  <si>
    <t>内容</t>
  </si>
  <si>
    <t>Ver2.5b (2021/02/03)</t>
    <phoneticPr fontId="1"/>
  </si>
  <si>
    <t>十和田観光電鉄株式会社</t>
  </si>
  <si>
    <t>トワダカンコウデンテツ</t>
  </si>
  <si>
    <t>0176-23-3131</t>
  </si>
  <si>
    <t>http://www.toutetsu.co.jp/jikoku.htm</t>
  </si>
  <si>
    <t>3420001012049</t>
  </si>
  <si>
    <t>バス</t>
  </si>
  <si>
    <t>http://www.toutetsu.co.jp/</t>
  </si>
  <si>
    <t>十和田観光電鉄株式会社</t>
    <phoneticPr fontId="1"/>
  </si>
  <si>
    <t>全日</t>
  </si>
  <si>
    <t>○</t>
  </si>
  <si>
    <t>平日</t>
  </si>
  <si>
    <t>土日祝のみ</t>
  </si>
  <si>
    <t>正月運行</t>
    <phoneticPr fontId="1"/>
  </si>
  <si>
    <t>10～4月運行</t>
  </si>
  <si>
    <t>5～9月運行</t>
  </si>
  <si>
    <t>平日（夏）</t>
    <rPh sb="0" eb="2">
      <t>ヘイジツ</t>
    </rPh>
    <phoneticPr fontId="1"/>
  </si>
  <si>
    <t>平日（冬）</t>
    <rPh sb="0" eb="2">
      <t>ヘイジツ</t>
    </rPh>
    <phoneticPr fontId="1"/>
  </si>
  <si>
    <t>4～11月</t>
  </si>
  <si>
    <t>12～3月</t>
  </si>
  <si>
    <t>平日土</t>
  </si>
  <si>
    <t>日祝のみ</t>
  </si>
  <si>
    <t>休校日（平日）</t>
    <rPh sb="0" eb="3">
      <t>キュウコウビ</t>
    </rPh>
    <rPh sb="4" eb="6">
      <t>ヘイジツ</t>
    </rPh>
    <phoneticPr fontId="1"/>
  </si>
  <si>
    <t>休校日（夏）</t>
    <rPh sb="0" eb="3">
      <t>キュウコウビ</t>
    </rPh>
    <rPh sb="4" eb="5">
      <t>ナツ</t>
    </rPh>
    <phoneticPr fontId="1"/>
  </si>
  <si>
    <t>○</t>
    <phoneticPr fontId="1"/>
  </si>
  <si>
    <t>休校日（冬）</t>
    <rPh sb="0" eb="3">
      <t>キュウコウビ</t>
    </rPh>
    <rPh sb="4" eb="5">
      <t>フユ</t>
    </rPh>
    <phoneticPr fontId="1"/>
  </si>
  <si>
    <t>休校日（平日土）</t>
    <rPh sb="0" eb="3">
      <t>キュウコウビ</t>
    </rPh>
    <rPh sb="4" eb="6">
      <t>ヘイジツ</t>
    </rPh>
    <rPh sb="6" eb="7">
      <t>ド</t>
    </rPh>
    <phoneticPr fontId="1"/>
  </si>
  <si>
    <t>2021/12/31～2022/1/3</t>
    <phoneticPr fontId="1"/>
  </si>
  <si>
    <t>2021/12/31～2022/1/3</t>
  </si>
  <si>
    <t>2021/5/1～2021/9/30</t>
    <phoneticPr fontId="1"/>
  </si>
  <si>
    <t>2022/5/1～2022/9/30</t>
    <phoneticPr fontId="1"/>
  </si>
  <si>
    <t>2021/10/01～2022/4/30</t>
  </si>
  <si>
    <t>2022/10/01～2023/4/30</t>
    <phoneticPr fontId="1"/>
  </si>
  <si>
    <t>2021/12/16～2022/3/15</t>
  </si>
  <si>
    <t>2022/12/16～2023/3/15</t>
    <phoneticPr fontId="1"/>
  </si>
  <si>
    <t>2022/3/16～2022/12/15</t>
  </si>
  <si>
    <t>2023/3/16～2023/12/15</t>
    <phoneticPr fontId="1"/>
  </si>
  <si>
    <t>2021/10/31～2022/3/31</t>
    <phoneticPr fontId="1"/>
  </si>
  <si>
    <t>2022/10/31～2023/3/31</t>
    <phoneticPr fontId="1"/>
  </si>
  <si>
    <t>2021/4/1～2022/3/31</t>
  </si>
  <si>
    <t>2022/4/1～2023/3/31</t>
    <phoneticPr fontId="1"/>
  </si>
  <si>
    <t>2021/8/13～2021/8/16</t>
  </si>
  <si>
    <t>2022/8/13～2022/8/16</t>
    <phoneticPr fontId="1"/>
  </si>
  <si>
    <t>2022/3/16～2022/12/15</t>
    <phoneticPr fontId="1"/>
  </si>
  <si>
    <t>追加</t>
  </si>
  <si>
    <t>元町東</t>
  </si>
  <si>
    <t>もとまちひがし</t>
  </si>
  <si>
    <t>Motomachi Higashi</t>
  </si>
  <si>
    <t>十丁目</t>
  </si>
  <si>
    <t>じゅっちょうめ</t>
  </si>
  <si>
    <t>10-chome</t>
  </si>
  <si>
    <t>八丁目</t>
  </si>
  <si>
    <t>はっちょうめ</t>
  </si>
  <si>
    <t>8-chome</t>
  </si>
  <si>
    <t>官庁街通</t>
  </si>
  <si>
    <t>かんちょうがいどおり</t>
  </si>
  <si>
    <t>Kanchogai dori</t>
  </si>
  <si>
    <t>十和田市中央</t>
  </si>
  <si>
    <t>とわだしちゅうおう</t>
  </si>
  <si>
    <t>Towadashi Chuo</t>
  </si>
  <si>
    <t>三丁目</t>
  </si>
  <si>
    <t>さんちょうめ</t>
  </si>
  <si>
    <t>3-chome</t>
  </si>
  <si>
    <t>一丁目</t>
  </si>
  <si>
    <t>いっちょうめ</t>
  </si>
  <si>
    <t>1-chome</t>
    <phoneticPr fontId="1"/>
  </si>
  <si>
    <t>東四番町</t>
  </si>
  <si>
    <t>ひがしよんばんちょう</t>
  </si>
  <si>
    <t>Higashi 4-bancho</t>
    <phoneticPr fontId="1"/>
  </si>
  <si>
    <t>中央モータースクール</t>
  </si>
  <si>
    <t>ちゅうおうもーたーすくーる</t>
  </si>
  <si>
    <t xml:space="preserve">Chuo Motor School </t>
  </si>
  <si>
    <t>稲吉</t>
  </si>
  <si>
    <t>いなよし</t>
  </si>
  <si>
    <t>Inayoshi</t>
  </si>
  <si>
    <t>観音寺前</t>
  </si>
  <si>
    <t>かんのんじまえ</t>
  </si>
  <si>
    <t>Kannonji mae</t>
  </si>
  <si>
    <t>三本木営業所</t>
  </si>
  <si>
    <t>さんぼんぎえいぎょうしょ</t>
  </si>
  <si>
    <t>Sambongi Eigyosho</t>
  </si>
  <si>
    <t>青果市場前</t>
  </si>
  <si>
    <t>せいかしじょうまえ</t>
  </si>
  <si>
    <t>畜産農協前</t>
  </si>
  <si>
    <t>ちくさんのうきょうまえ</t>
  </si>
  <si>
    <t>喜多美町入口</t>
  </si>
  <si>
    <t>きたみちょういりぐち</t>
  </si>
  <si>
    <t>折茂</t>
  </si>
  <si>
    <t>おりも</t>
  </si>
  <si>
    <t>東折茂</t>
  </si>
  <si>
    <t>ひがしおりも</t>
  </si>
  <si>
    <t>川原新田</t>
  </si>
  <si>
    <t>かわらしんでん</t>
    <phoneticPr fontId="1"/>
  </si>
  <si>
    <t>六戸高屋敷</t>
  </si>
  <si>
    <t>ろくのへたかやしき</t>
  </si>
  <si>
    <t>六戸局前</t>
  </si>
  <si>
    <t>ろくのへきょくまえ</t>
  </si>
  <si>
    <t>六戸中央</t>
  </si>
  <si>
    <t>ろくのへちゅうおう</t>
  </si>
  <si>
    <t>犬落瀬</t>
  </si>
  <si>
    <t>いぬおとせ</t>
  </si>
  <si>
    <t>高見</t>
  </si>
  <si>
    <t>たかみ</t>
  </si>
  <si>
    <t>林</t>
  </si>
  <si>
    <t>はやし</t>
  </si>
  <si>
    <t>洗平</t>
  </si>
  <si>
    <t>あらいたい</t>
    <phoneticPr fontId="1"/>
  </si>
  <si>
    <t>新敷</t>
  </si>
  <si>
    <t>にしき</t>
  </si>
  <si>
    <t>阿光坊</t>
  </si>
  <si>
    <t>あこうぼう</t>
  </si>
  <si>
    <t>下阿光坊</t>
  </si>
  <si>
    <t>しもあこうぼう</t>
  </si>
  <si>
    <t>下田中北</t>
  </si>
  <si>
    <t>しもだちゅうきた</t>
  </si>
  <si>
    <t>下田中学校前</t>
  </si>
  <si>
    <t>しもだちゅうがっこうまえ</t>
    <phoneticPr fontId="1"/>
  </si>
  <si>
    <t>木内々</t>
  </si>
  <si>
    <t>きないない</t>
  </si>
  <si>
    <t>おいらせ町役場前</t>
  </si>
  <si>
    <t>おいらせちょうやくばまえ</t>
    <phoneticPr fontId="1"/>
  </si>
  <si>
    <t>下田診療所</t>
  </si>
  <si>
    <t>しもだしんりょうじょ</t>
  </si>
  <si>
    <t>下田駅前</t>
  </si>
  <si>
    <t>しもだえきまえ</t>
  </si>
  <si>
    <t>あけぼの団地前</t>
  </si>
  <si>
    <t>あけぼのだんちまえ</t>
  </si>
  <si>
    <t>下田公園入口</t>
  </si>
  <si>
    <t>しもだこうえんいりぐち</t>
  </si>
  <si>
    <t>東下田</t>
  </si>
  <si>
    <t>ひがししもだ</t>
  </si>
  <si>
    <t>イオンモール下田前</t>
  </si>
  <si>
    <t>いおんもーるしもだまえ</t>
  </si>
  <si>
    <t>百石高校前</t>
  </si>
  <si>
    <t>ももいしこうこうまえ</t>
  </si>
  <si>
    <t>百石上明堂</t>
  </si>
  <si>
    <t>ももいしかみあけどう</t>
  </si>
  <si>
    <t>百石中央</t>
  </si>
  <si>
    <t>ももいしちゅうおう</t>
  </si>
  <si>
    <t>おいらせ病院前</t>
  </si>
  <si>
    <t>おいらせびょういんまえ</t>
    <phoneticPr fontId="1"/>
  </si>
  <si>
    <t>市川高屋敷</t>
  </si>
  <si>
    <t>いちかわたかやしき</t>
  </si>
  <si>
    <t>多賀台団地前</t>
  </si>
  <si>
    <t>たがだいだんちまえ</t>
  </si>
  <si>
    <t>赤畑</t>
  </si>
  <si>
    <t>あかはた</t>
  </si>
  <si>
    <t>尻引</t>
  </si>
  <si>
    <t>しりびき</t>
  </si>
  <si>
    <t>陸奥市川駅通</t>
  </si>
  <si>
    <t>むついちかわえきどおり</t>
  </si>
  <si>
    <t>前山</t>
  </si>
  <si>
    <t>まえやま</t>
  </si>
  <si>
    <t>桔梗野小学校通</t>
  </si>
  <si>
    <t>ききょうのしょうがっこうどおり</t>
  </si>
  <si>
    <t>桔梗野</t>
  </si>
  <si>
    <t>ききょうの</t>
    <phoneticPr fontId="1"/>
  </si>
  <si>
    <t>陸上自衛隊前</t>
  </si>
  <si>
    <t>りくじょうじえいたいまえ</t>
  </si>
  <si>
    <t>松ヶ丘</t>
  </si>
  <si>
    <t>まつがおか</t>
  </si>
  <si>
    <t>西霊園入口</t>
  </si>
  <si>
    <t>にしれいえんいりぐち</t>
  </si>
  <si>
    <t>高舘</t>
  </si>
  <si>
    <t>たかだて</t>
  </si>
  <si>
    <t>見立山</t>
  </si>
  <si>
    <t>みたてやま</t>
  </si>
  <si>
    <t>高舘小学校前</t>
  </si>
  <si>
    <t>たかだてしょうがっこうまえ</t>
  </si>
  <si>
    <t>小田</t>
  </si>
  <si>
    <t>こだ</t>
    <phoneticPr fontId="1"/>
  </si>
  <si>
    <t>河原木</t>
  </si>
  <si>
    <t>かわらぎ</t>
  </si>
  <si>
    <t>下長</t>
  </si>
  <si>
    <t>しもなが</t>
  </si>
  <si>
    <t>千田</t>
  </si>
  <si>
    <t>せんだ</t>
  </si>
  <si>
    <t>長苗代</t>
  </si>
  <si>
    <t>ながなわしろ</t>
  </si>
  <si>
    <t>内舟渡</t>
  </si>
  <si>
    <t>ないみなと</t>
  </si>
  <si>
    <t>八戸駅</t>
  </si>
  <si>
    <t>はちのへえき</t>
  </si>
  <si>
    <t>緑ヶ丘</t>
  </si>
  <si>
    <t>みどりがおか</t>
  </si>
  <si>
    <t>西売市</t>
  </si>
  <si>
    <t>にしうるいち</t>
  </si>
  <si>
    <t>南売市</t>
  </si>
  <si>
    <t>みなみうるいち</t>
  </si>
  <si>
    <t>桜木町</t>
  </si>
  <si>
    <t>新荒町</t>
  </si>
  <si>
    <t>しんあらまち</t>
  </si>
  <si>
    <t>荒町</t>
  </si>
  <si>
    <t>あらまち</t>
  </si>
  <si>
    <t>二十三日町</t>
  </si>
  <si>
    <t>にじゅうさんにちまち</t>
  </si>
  <si>
    <t>十三日町</t>
  </si>
  <si>
    <t>じゅうさんにちまち</t>
  </si>
  <si>
    <t>八戸中心街ターミナル八日町２番</t>
  </si>
  <si>
    <t>はちのへちゅうしんがいたーみなるようかまち</t>
  </si>
  <si>
    <t>二十八日町</t>
  </si>
  <si>
    <t>にじゅうはちにちまち</t>
  </si>
  <si>
    <t>ＮＴＴ前</t>
  </si>
  <si>
    <t>えぬてぃてぃーまえ</t>
  </si>
  <si>
    <t>下組町</t>
  </si>
  <si>
    <t>しもくみちょう</t>
  </si>
  <si>
    <t>栄町（八戸）</t>
  </si>
  <si>
    <t>さかえまち</t>
  </si>
  <si>
    <t>ラピア</t>
  </si>
  <si>
    <t>らぴあ</t>
  </si>
  <si>
    <t>八戸営業所</t>
  </si>
  <si>
    <t>はちのへえいぎょうしょ</t>
  </si>
  <si>
    <t>八戸市民病院</t>
  </si>
  <si>
    <t>はちのへしみんびょういん</t>
  </si>
  <si>
    <t>盲聾学校通</t>
  </si>
  <si>
    <t>もうろうがっこうどおり</t>
  </si>
  <si>
    <t>緑町（八戸）</t>
  </si>
  <si>
    <t>みどりちょう</t>
    <phoneticPr fontId="1"/>
  </si>
  <si>
    <t>柏崎新町</t>
  </si>
  <si>
    <t>かしわざきしんちょう</t>
    <phoneticPr fontId="1"/>
  </si>
  <si>
    <t>下大工町</t>
  </si>
  <si>
    <t>しもだいくまち</t>
  </si>
  <si>
    <t>八戸中心街ターミナル六日町５番</t>
  </si>
  <si>
    <t>はちのへちゅうしんがいたーみなるむいかまち</t>
  </si>
  <si>
    <t>十六日町</t>
  </si>
  <si>
    <t>じゅうろくにちまち</t>
  </si>
  <si>
    <t>さくらぎちょう</t>
  </si>
  <si>
    <t>1-chome</t>
  </si>
  <si>
    <t>三本木営業所（回送用）</t>
  </si>
  <si>
    <t>ひがし野団地</t>
  </si>
  <si>
    <t>ひがしのだんち</t>
  </si>
  <si>
    <t>工業高校</t>
  </si>
  <si>
    <t>こうぎょうこうこう</t>
  </si>
  <si>
    <t>北里大学通</t>
  </si>
  <si>
    <t>きたさとだいがくどおり</t>
  </si>
  <si>
    <t>藤高農場</t>
  </si>
  <si>
    <t>ふじたかのうじょう</t>
  </si>
  <si>
    <t>高清水本村</t>
  </si>
  <si>
    <t>たかしずほんそん</t>
  </si>
  <si>
    <t>高清水</t>
  </si>
  <si>
    <t>たかしず</t>
    <phoneticPr fontId="1"/>
  </si>
  <si>
    <t>三農校前</t>
  </si>
  <si>
    <t>さんのうこうまえ</t>
  </si>
  <si>
    <t>古里</t>
  </si>
  <si>
    <t>ふるさと</t>
  </si>
  <si>
    <t>堀切</t>
  </si>
  <si>
    <t>ほりきり</t>
  </si>
  <si>
    <t>七百</t>
  </si>
  <si>
    <t>しちひゃく</t>
  </si>
  <si>
    <t>根古橋</t>
  </si>
  <si>
    <t>ねこはし</t>
    <phoneticPr fontId="1"/>
  </si>
  <si>
    <t>たての台団地入口</t>
  </si>
  <si>
    <t>たてのだいだんちいりぐち</t>
  </si>
  <si>
    <t>柳沢</t>
  </si>
  <si>
    <t>やなぎさわ</t>
  </si>
  <si>
    <t>大曲小学校前</t>
  </si>
  <si>
    <t>おおまがりしょうがっこうまえ</t>
  </si>
  <si>
    <t>大曲試験場</t>
  </si>
  <si>
    <t>おおまがりしけんじょう</t>
  </si>
  <si>
    <t>晴ヶ丘</t>
  </si>
  <si>
    <t>はれがおか</t>
    <phoneticPr fontId="1"/>
  </si>
  <si>
    <t>春日台</t>
  </si>
  <si>
    <t>かすがだい</t>
  </si>
  <si>
    <t>三沢駅</t>
    <phoneticPr fontId="1"/>
  </si>
  <si>
    <t>みさわえき</t>
  </si>
  <si>
    <t>新町（三沢）</t>
    <rPh sb="3" eb="5">
      <t>ミサワ</t>
    </rPh>
    <phoneticPr fontId="1"/>
  </si>
  <si>
    <t>しんちょう</t>
    <phoneticPr fontId="1"/>
  </si>
  <si>
    <t>大町二丁目</t>
  </si>
  <si>
    <t>おおまちにちょうめ</t>
  </si>
  <si>
    <t>中央三丁目</t>
  </si>
  <si>
    <t>ちゅうおうさんちょうめ</t>
  </si>
  <si>
    <t>大通</t>
  </si>
  <si>
    <t>おおどおり</t>
  </si>
  <si>
    <t>アメリカ広場</t>
  </si>
  <si>
    <t>あめりかひろば</t>
  </si>
  <si>
    <t>三沢中央</t>
  </si>
  <si>
    <t>みさわちゅうおう</t>
  </si>
  <si>
    <t>市役所・公会堂前</t>
  </si>
  <si>
    <t>しやくしょこうかいどうまえ</t>
  </si>
  <si>
    <t>中央四丁目</t>
  </si>
  <si>
    <t>ちゅうおうよんちょうめ</t>
  </si>
  <si>
    <t>上下水道庁舎前</t>
  </si>
  <si>
    <t>じょうげすいどうちょうしゃまえ</t>
  </si>
  <si>
    <t>桜町</t>
  </si>
  <si>
    <t>さくらちょう</t>
    <phoneticPr fontId="1"/>
  </si>
  <si>
    <t>高校通（三沢）</t>
  </si>
  <si>
    <t>こうこうどおり</t>
    <phoneticPr fontId="1"/>
  </si>
  <si>
    <t>三沢高校前</t>
  </si>
  <si>
    <t>みさわこうこうまえ</t>
  </si>
  <si>
    <t>三高正門前</t>
  </si>
  <si>
    <t>さんこうせいもんまえ</t>
    <phoneticPr fontId="1"/>
  </si>
  <si>
    <t>三高前</t>
  </si>
  <si>
    <t>さんこうまえ</t>
  </si>
  <si>
    <t>南小学校通</t>
  </si>
  <si>
    <t>みなみしょうがっこうどおり</t>
  </si>
  <si>
    <t>並木</t>
  </si>
  <si>
    <t>なみき</t>
  </si>
  <si>
    <t>三沢商業高校入口</t>
  </si>
  <si>
    <t>みさわしょうぎょうこうこういりぐち</t>
  </si>
  <si>
    <t>六戸高校前</t>
  </si>
  <si>
    <t>ろくのへこうこうまえ</t>
  </si>
  <si>
    <t>吾郷</t>
  </si>
  <si>
    <t>ごごう</t>
  </si>
  <si>
    <t>東吾郷</t>
  </si>
  <si>
    <t>ひがしごごう</t>
  </si>
  <si>
    <t>南小学校前</t>
  </si>
  <si>
    <t>みなみさようがっこうまえ</t>
  </si>
  <si>
    <t>西並木</t>
  </si>
  <si>
    <t>にしなみき</t>
  </si>
  <si>
    <t>三高通</t>
  </si>
  <si>
    <t>さんこうどおり</t>
  </si>
  <si>
    <t>西穂並</t>
  </si>
  <si>
    <t>にしほなみ</t>
  </si>
  <si>
    <t>市役所前（三沢）</t>
  </si>
  <si>
    <t>しやくしょまえ</t>
  </si>
  <si>
    <t>みさわえき</t>
    <phoneticPr fontId="1"/>
  </si>
  <si>
    <t>さんのうこうまえ</t>
    <phoneticPr fontId="1"/>
  </si>
  <si>
    <t>たかしず</t>
  </si>
  <si>
    <t>Namiki</t>
  </si>
  <si>
    <t>Minami Shogakko dori</t>
  </si>
  <si>
    <t>Sanko mae</t>
  </si>
  <si>
    <t>三農校前（校舎前）</t>
  </si>
  <si>
    <t>農協前（三沢）</t>
  </si>
  <si>
    <t>のうきょうまえ</t>
  </si>
  <si>
    <t>西浜三沢</t>
  </si>
  <si>
    <t>にしはまみさわ</t>
  </si>
  <si>
    <t>三沢空港通</t>
  </si>
  <si>
    <t>みさわくうこうどおり</t>
  </si>
  <si>
    <t>岡三沢市営住宅前</t>
  </si>
  <si>
    <t>おかみさわしえいじゅうたくまえ</t>
  </si>
  <si>
    <t>岡三沢</t>
  </si>
  <si>
    <t>おかみさわ</t>
    <phoneticPr fontId="1"/>
  </si>
  <si>
    <t>岡三沢小学校前</t>
  </si>
  <si>
    <t>おかみさわしょうがっこうまえ</t>
  </si>
  <si>
    <t>三沢郵便局前</t>
  </si>
  <si>
    <t>みさわゆうびんきょくまえ</t>
  </si>
  <si>
    <t>馬門温泉</t>
  </si>
  <si>
    <t>まかどおんせん</t>
  </si>
  <si>
    <t>Makado Onsen</t>
  </si>
  <si>
    <t>スキー場前</t>
  </si>
  <si>
    <t>すきーじょうまえ</t>
  </si>
  <si>
    <t>Skijo mae</t>
  </si>
  <si>
    <t>馬門温泉通</t>
  </si>
  <si>
    <t>まかどおんせんどおり</t>
  </si>
  <si>
    <t>Makado Onsen dori</t>
  </si>
  <si>
    <t>馬門温泉入口</t>
  </si>
  <si>
    <t>まかどおんせんいりぐち</t>
  </si>
  <si>
    <t>Makado Onsen Iriguchi</t>
  </si>
  <si>
    <t>柴崎</t>
  </si>
  <si>
    <t>しばさき</t>
  </si>
  <si>
    <t>Shibasaki</t>
  </si>
  <si>
    <t>馬門温泉口</t>
  </si>
  <si>
    <t>まかどおんせんぐち</t>
  </si>
  <si>
    <t>Makado Onsenguchi</t>
  </si>
  <si>
    <t>馬門小学校前</t>
  </si>
  <si>
    <t>まかどしょうがっこうまえ</t>
  </si>
  <si>
    <t>Makado Shogakko mae</t>
  </si>
  <si>
    <t>農協前（野辺地）</t>
  </si>
  <si>
    <t>Nokyo mae (Noheji)</t>
  </si>
  <si>
    <t>馬門</t>
  </si>
  <si>
    <t>まかど</t>
  </si>
  <si>
    <t>Makado</t>
  </si>
  <si>
    <t>港湾前</t>
  </si>
  <si>
    <t>こうわんまえ</t>
  </si>
  <si>
    <t>Kowan mae</t>
  </si>
  <si>
    <t>野辺地案内所</t>
  </si>
  <si>
    <t>のへじあんないしょ</t>
  </si>
  <si>
    <t>Noheji Annaisho</t>
  </si>
  <si>
    <t>馬門道</t>
  </si>
  <si>
    <t>まかどみち</t>
  </si>
  <si>
    <t>Makadomichi</t>
  </si>
  <si>
    <t>裁判所前</t>
  </si>
  <si>
    <t>さいばんしょまえ</t>
  </si>
  <si>
    <t>Saibansho mae</t>
  </si>
  <si>
    <t>新町（野辺地）</t>
  </si>
  <si>
    <t>しんまち</t>
  </si>
  <si>
    <t>Shimmachi (Noheji)</t>
  </si>
  <si>
    <t>新町通</t>
  </si>
  <si>
    <t>しんまちどおり</t>
  </si>
  <si>
    <t>Shimmachi dori</t>
  </si>
  <si>
    <t>野辺地中央</t>
  </si>
  <si>
    <t>のへじちゅうおう</t>
  </si>
  <si>
    <t>Noheji Chuo</t>
  </si>
  <si>
    <t>下町</t>
  </si>
  <si>
    <t>したまち</t>
  </si>
  <si>
    <t>Shitamachi</t>
  </si>
  <si>
    <t>野辺地病院前</t>
  </si>
  <si>
    <t>のへじびょういんまえ</t>
  </si>
  <si>
    <t>Noheji Byoin mae</t>
  </si>
  <si>
    <t>野辺地駅前</t>
  </si>
  <si>
    <t>のへじえきまえ</t>
  </si>
  <si>
    <t>Noheji Eki mae (Station)</t>
  </si>
  <si>
    <t>松ノ木平</t>
  </si>
  <si>
    <t>まつのきたい</t>
    <phoneticPr fontId="1"/>
  </si>
  <si>
    <t>Matsunokitai</t>
  </si>
  <si>
    <t>中屋敷入口</t>
  </si>
  <si>
    <t>なかやしきいりぐち</t>
  </si>
  <si>
    <t>Nakayashiki Iriguchi</t>
  </si>
  <si>
    <t>清水目</t>
  </si>
  <si>
    <t>しみずめ</t>
  </si>
  <si>
    <t>Shimizume</t>
  </si>
  <si>
    <t>石坂</t>
  </si>
  <si>
    <t>いしざか</t>
  </si>
  <si>
    <t>Ishizaka</t>
  </si>
  <si>
    <t>ちびき病院</t>
  </si>
  <si>
    <t>ちびきびょういん</t>
  </si>
  <si>
    <t>Chibiki Byoin</t>
  </si>
  <si>
    <t>千曳</t>
  </si>
  <si>
    <t>ちびき</t>
    <phoneticPr fontId="1"/>
  </si>
  <si>
    <t>Chibiki</t>
  </si>
  <si>
    <t>尾山入口</t>
  </si>
  <si>
    <t>おやまいりぐち</t>
  </si>
  <si>
    <t>Oyama Iriguchi</t>
  </si>
  <si>
    <t>南平入口</t>
  </si>
  <si>
    <t>みなみたいいりぐち</t>
  </si>
  <si>
    <t>Minamitai Iriguchi</t>
  </si>
  <si>
    <t>後平</t>
  </si>
  <si>
    <t>うしろたい</t>
    <phoneticPr fontId="1"/>
  </si>
  <si>
    <t>Ushirotai</t>
  </si>
  <si>
    <t>上坪</t>
  </si>
  <si>
    <t>かみつぼ</t>
  </si>
  <si>
    <t>Kami Tsubo</t>
  </si>
  <si>
    <t>坪</t>
  </si>
  <si>
    <t>つぼ</t>
  </si>
  <si>
    <t>Tsubo</t>
  </si>
  <si>
    <t>黄金</t>
  </si>
  <si>
    <t>こがね</t>
  </si>
  <si>
    <t>Kogane</t>
  </si>
  <si>
    <t>小又入口</t>
  </si>
  <si>
    <t>こまたいりぐち</t>
  </si>
  <si>
    <t>Komata Iriguchi</t>
  </si>
  <si>
    <t>道ノ上</t>
  </si>
  <si>
    <t>みちのかみ</t>
  </si>
  <si>
    <t>Michinokami</t>
  </si>
  <si>
    <t>七戸町役場前</t>
  </si>
  <si>
    <t>しちのへまちやくばまえ</t>
  </si>
  <si>
    <t>Shichinohemachi Yakuba mae</t>
  </si>
  <si>
    <t>長下</t>
  </si>
  <si>
    <t>ながした</t>
  </si>
  <si>
    <t>Nagashita</t>
  </si>
  <si>
    <t>中野</t>
  </si>
  <si>
    <t>なかの</t>
  </si>
  <si>
    <t>Nakano</t>
  </si>
  <si>
    <t>営農大学前</t>
  </si>
  <si>
    <t>えいのうだいがくまえ</t>
  </si>
  <si>
    <t>Eino Daigaku mae</t>
  </si>
  <si>
    <t>七戸町文化村前</t>
  </si>
  <si>
    <t>しちのへまちぶんかむらまえ</t>
  </si>
  <si>
    <t>Shichinohemachi Bunkamura mae</t>
  </si>
  <si>
    <t>七戸十和田駅</t>
  </si>
  <si>
    <t>しちのへとわだえき</t>
  </si>
  <si>
    <t>Shichinohe-Towada Eki (Station)</t>
  </si>
  <si>
    <t>道の駅しちのへ</t>
  </si>
  <si>
    <t>みちのえきしちのへ</t>
  </si>
  <si>
    <t>Michinoeki Shichinohe</t>
  </si>
  <si>
    <t>七戸東栄前</t>
  </si>
  <si>
    <t>しちのへとうえいまえ</t>
    <phoneticPr fontId="1"/>
  </si>
  <si>
    <t>Shichinohe Toei mae</t>
  </si>
  <si>
    <t>変電所前</t>
    <phoneticPr fontId="1"/>
  </si>
  <si>
    <t>へんでんしょまえ</t>
  </si>
  <si>
    <t>Hendensho mae</t>
  </si>
  <si>
    <t>七戸案内所</t>
  </si>
  <si>
    <t>しちのへあんないしょ</t>
  </si>
  <si>
    <t>Shichinohe Annaisho</t>
  </si>
  <si>
    <t>笊田川久保</t>
  </si>
  <si>
    <t>ざるたかわくぼ</t>
  </si>
  <si>
    <t>Zaruta Kwakubo</t>
  </si>
  <si>
    <t>七戸病院前</t>
  </si>
  <si>
    <t>しちのへびょういんまえ</t>
  </si>
  <si>
    <t>Shichinohe Byoin mae</t>
  </si>
  <si>
    <t>七戸公民館</t>
  </si>
  <si>
    <t>しちのへこうみんかん</t>
  </si>
  <si>
    <t>Shichinohe Kominkan</t>
  </si>
  <si>
    <t>七戸中央</t>
  </si>
  <si>
    <t>しちのへちゅうおう</t>
  </si>
  <si>
    <t>Shichinohe Chuo</t>
  </si>
  <si>
    <t>小川町</t>
  </si>
  <si>
    <t>こがわまち</t>
    <phoneticPr fontId="1"/>
  </si>
  <si>
    <t>Kogawamachi</t>
  </si>
  <si>
    <t>川向</t>
  </si>
  <si>
    <t>かわむかい</t>
  </si>
  <si>
    <t>Kawamukai</t>
  </si>
  <si>
    <t>七高前</t>
  </si>
  <si>
    <t>しちこうまえ</t>
  </si>
  <si>
    <t>Shichiko mae</t>
  </si>
  <si>
    <t>川去</t>
  </si>
  <si>
    <t>かわさり</t>
  </si>
  <si>
    <t>Kawasari</t>
  </si>
  <si>
    <t>北野</t>
  </si>
  <si>
    <t>きたの</t>
  </si>
  <si>
    <t>Kitano</t>
  </si>
  <si>
    <t>池ノ平</t>
  </si>
  <si>
    <t>いけのたい</t>
  </si>
  <si>
    <t>Ikenotai</t>
  </si>
  <si>
    <t>洞内</t>
  </si>
  <si>
    <t>ほらない</t>
  </si>
  <si>
    <t>Horanai</t>
  </si>
  <si>
    <t>南洞内</t>
  </si>
  <si>
    <t>みなみほらない</t>
  </si>
  <si>
    <t>Minami Horanai</t>
  </si>
  <si>
    <t>真登地</t>
  </si>
  <si>
    <t>まとち</t>
  </si>
  <si>
    <t>Matochi</t>
  </si>
  <si>
    <t>北井戸頭</t>
  </si>
  <si>
    <t>きたいどがしら</t>
  </si>
  <si>
    <t>Kita Idogashira</t>
  </si>
  <si>
    <t>井戸頭</t>
  </si>
  <si>
    <t>いどがしら</t>
  </si>
  <si>
    <t>Idogashira</t>
  </si>
  <si>
    <t>土手山</t>
  </si>
  <si>
    <t>どてやま</t>
  </si>
  <si>
    <t>Doteyama</t>
  </si>
  <si>
    <t>七郷入口</t>
  </si>
  <si>
    <t>しちごういりぐち</t>
  </si>
  <si>
    <t>Shichigo Iriguchi</t>
  </si>
  <si>
    <t>元町</t>
  </si>
  <si>
    <t>もとまち</t>
    <phoneticPr fontId="1"/>
  </si>
  <si>
    <t>Motomachi</t>
  </si>
  <si>
    <t>十和田市現代美術館前</t>
  </si>
  <si>
    <t>とわだしげんだいびじゅつかん</t>
  </si>
  <si>
    <t>Towadashi Gendai Bijutsukan mae (Towada Art Center)</t>
  </si>
  <si>
    <t>市役所前（十和田）</t>
  </si>
  <si>
    <t>Shiyakusho mae (Towada)</t>
  </si>
  <si>
    <t>中央病院</t>
  </si>
  <si>
    <t>ちゅうおうびょういん</t>
  </si>
  <si>
    <t>Chuo Byoin</t>
  </si>
  <si>
    <t>東五番町</t>
  </si>
  <si>
    <t>ひがしごばんちょう</t>
  </si>
  <si>
    <t>Higashi 5-bancho</t>
  </si>
  <si>
    <t>東十五番町</t>
  </si>
  <si>
    <t>ひがしじゅうごばんちょう</t>
  </si>
  <si>
    <t>Higashi 15-bancho</t>
  </si>
  <si>
    <t>日の出町</t>
  </si>
  <si>
    <t>ひのでちょう</t>
    <phoneticPr fontId="1"/>
  </si>
  <si>
    <t>Hinodecho</t>
    <phoneticPr fontId="1"/>
  </si>
  <si>
    <t>東池ノ平</t>
  </si>
  <si>
    <t>ひがしいけのたい</t>
  </si>
  <si>
    <t>Higasi Ikenotai</t>
  </si>
  <si>
    <t>西芋久保</t>
  </si>
  <si>
    <t>にしいもくぼ</t>
  </si>
  <si>
    <t>Nishi Imokubo</t>
  </si>
  <si>
    <t>芋久保</t>
  </si>
  <si>
    <t>いもくぼ</t>
  </si>
  <si>
    <t>Imokubo</t>
  </si>
  <si>
    <t>大沢田本村</t>
  </si>
  <si>
    <t>おおさわだほんそん</t>
  </si>
  <si>
    <t>Osawada Honson</t>
  </si>
  <si>
    <t>大沢田入口</t>
  </si>
  <si>
    <t>おおさわだいりぐち</t>
  </si>
  <si>
    <t>Osawada Iriguchi</t>
  </si>
  <si>
    <t>洞内本村</t>
  </si>
  <si>
    <t>ほらないほんそん</t>
  </si>
  <si>
    <t>Horanai Honson</t>
  </si>
  <si>
    <t>法身塚通</t>
  </si>
  <si>
    <t>ほうしんづかどおり</t>
  </si>
  <si>
    <t>Hoshinduka dori</t>
  </si>
  <si>
    <t>新青森駅</t>
  </si>
  <si>
    <t>しんあおもりえき</t>
  </si>
  <si>
    <t>Shin-Aomori Eki (Station)</t>
  </si>
  <si>
    <t>新町二丁目（青森）</t>
  </si>
  <si>
    <t>しんまちにちょうめ</t>
  </si>
  <si>
    <t>Shimmachi 2-chome (Aomori)</t>
    <phoneticPr fontId="1"/>
  </si>
  <si>
    <t>県庁通</t>
  </si>
  <si>
    <t>けんちょうどおり</t>
  </si>
  <si>
    <t>Kencho dori</t>
  </si>
  <si>
    <t>青森駅前</t>
  </si>
  <si>
    <t>あおもりえきまえ</t>
  </si>
  <si>
    <t>Aomori Eki mae (Station)</t>
  </si>
  <si>
    <t>市役所前（青森）</t>
  </si>
  <si>
    <t>Shiyakusho mae (Aomori)</t>
  </si>
  <si>
    <t>ＮＴＴ青森支店前</t>
  </si>
  <si>
    <t>えぬてぃてぃあおもりしてんまえ</t>
    <phoneticPr fontId="1"/>
  </si>
  <si>
    <t>NTT Aomori Shiten mae</t>
  </si>
  <si>
    <t>文化会館前</t>
  </si>
  <si>
    <t>ぶんかかいかんまえ</t>
  </si>
  <si>
    <t>Bunka Kaikan mae</t>
  </si>
  <si>
    <t>堤橋</t>
  </si>
  <si>
    <t>つつみばし</t>
  </si>
  <si>
    <t>Tsutsumibashi</t>
  </si>
  <si>
    <t>栄町二丁目</t>
  </si>
  <si>
    <t>さかえまちにちょうめ</t>
  </si>
  <si>
    <t>Sakaemachi 2-chome</t>
  </si>
  <si>
    <t>岡造道一丁目</t>
  </si>
  <si>
    <t>おかつくりみちいっちょうめ</t>
  </si>
  <si>
    <t>Okatukurimichi 1-chome</t>
  </si>
  <si>
    <t>南造道</t>
  </si>
  <si>
    <t>みなみつくりみち</t>
  </si>
  <si>
    <t>Minami Tsukurimichi</t>
  </si>
  <si>
    <t>県病通</t>
  </si>
  <si>
    <t>けんびょうどおり</t>
  </si>
  <si>
    <t>Kembyo dori</t>
  </si>
  <si>
    <t>八重田通り</t>
  </si>
  <si>
    <t>やえだどおり</t>
  </si>
  <si>
    <t>Yaeda dori</t>
  </si>
  <si>
    <t>東跨線橋</t>
  </si>
  <si>
    <t>ひがしこせんきょう</t>
  </si>
  <si>
    <t>Higashi Kosenkyo</t>
  </si>
  <si>
    <t>後萢通</t>
  </si>
  <si>
    <t>うしろやちどおり</t>
  </si>
  <si>
    <t>Ushiroyachi dori</t>
  </si>
  <si>
    <t>農協通り</t>
  </si>
  <si>
    <t>のうきょうどおり</t>
  </si>
  <si>
    <t>Nokyo dori</t>
  </si>
  <si>
    <t>諏訪沢入口</t>
  </si>
  <si>
    <t>すわのさわいりぐち</t>
  </si>
  <si>
    <t>Suwanosawa Iriguchi</t>
  </si>
  <si>
    <t>滝沢入口</t>
  </si>
  <si>
    <t>たきさわいりぐち</t>
  </si>
  <si>
    <t>Takisawa Iriguchi</t>
  </si>
  <si>
    <t>七高入口</t>
  </si>
  <si>
    <t>しちこういりぐち</t>
  </si>
  <si>
    <t>Shichiko Iriguchi</t>
  </si>
  <si>
    <t>Hinodecho</t>
  </si>
  <si>
    <t>駅通</t>
  </si>
  <si>
    <t>えきどおり</t>
  </si>
  <si>
    <t>Ekidori</t>
  </si>
  <si>
    <t>まとち</t>
    <phoneticPr fontId="1"/>
  </si>
  <si>
    <t>さいばんしょまえまえ</t>
  </si>
  <si>
    <t>ぶんかかいかんまえ</t>
    <phoneticPr fontId="4"/>
  </si>
  <si>
    <t>東病院前</t>
  </si>
  <si>
    <t>ひがしびょういん</t>
  </si>
  <si>
    <t>Higashi Byoin mae</t>
  </si>
  <si>
    <t>工場団地</t>
  </si>
  <si>
    <t>こうじょうだんち</t>
  </si>
  <si>
    <t>Kojodanchi</t>
  </si>
  <si>
    <t>稲生団地</t>
  </si>
  <si>
    <t>いなおいだんち</t>
  </si>
  <si>
    <t>Inaoidanchi</t>
  </si>
  <si>
    <t>東中学校前</t>
  </si>
  <si>
    <t>ひがしちゅうがっこうまえ</t>
  </si>
  <si>
    <t>Higashi Chugakko mae</t>
  </si>
  <si>
    <t>北里大学前</t>
  </si>
  <si>
    <t>きたさとだいがくまえ</t>
  </si>
  <si>
    <t>Kitasato Daigaku mae</t>
  </si>
  <si>
    <t>三木野公園前</t>
  </si>
  <si>
    <t>みきのこうえんまえ</t>
  </si>
  <si>
    <t>Mikinokoen mae</t>
  </si>
  <si>
    <t>東十二番町</t>
  </si>
  <si>
    <t>ひがしじゅうにばんちょう</t>
  </si>
  <si>
    <t>Higashi 12-bancho</t>
  </si>
  <si>
    <t>初田</t>
  </si>
  <si>
    <t>はつた</t>
  </si>
  <si>
    <t>Hatsuta</t>
  </si>
  <si>
    <t>東十一番町</t>
  </si>
  <si>
    <t>ひがしじゅういちばんちょう</t>
  </si>
  <si>
    <t>Higashi 11-bancho</t>
  </si>
  <si>
    <t>合同庁舎前</t>
  </si>
  <si>
    <t>ごうどうちょうしゃまえ</t>
  </si>
  <si>
    <t>Godochosha mae</t>
  </si>
  <si>
    <t>北園小学校前</t>
  </si>
  <si>
    <t>きたぞのしょうがっこうまえ</t>
  </si>
  <si>
    <t>Kitazono Shogakko mae</t>
  </si>
  <si>
    <t>北園</t>
  </si>
  <si>
    <t>きたぞの</t>
    <phoneticPr fontId="1"/>
  </si>
  <si>
    <t>Kitazono</t>
  </si>
  <si>
    <t>西北園</t>
  </si>
  <si>
    <t>にしきたぞの</t>
  </si>
  <si>
    <t>Nishi Kitazono</t>
  </si>
  <si>
    <t>長根尻入口</t>
  </si>
  <si>
    <t>ながねじりいりぐち</t>
  </si>
  <si>
    <t>Naganejiri Iriguchi</t>
  </si>
  <si>
    <t>六郷</t>
  </si>
  <si>
    <t>ろくごう</t>
  </si>
  <si>
    <t>Rokugo</t>
  </si>
  <si>
    <t>西小学校</t>
  </si>
  <si>
    <t>にししょうがっこう</t>
  </si>
  <si>
    <t>Nishi Shogakko</t>
  </si>
  <si>
    <t>八郷</t>
  </si>
  <si>
    <t>はちごう</t>
  </si>
  <si>
    <t>Hachigo</t>
  </si>
  <si>
    <t>深持入口</t>
  </si>
  <si>
    <t>ふかもちいりぐち</t>
  </si>
  <si>
    <t>Fukamochi Iriguchi</t>
  </si>
  <si>
    <t>佐井幅</t>
  </si>
  <si>
    <t>さいはば</t>
  </si>
  <si>
    <t>Saihaba</t>
  </si>
  <si>
    <t>中掫</t>
  </si>
  <si>
    <t>ちゅうせり</t>
  </si>
  <si>
    <t>Chuseri</t>
  </si>
  <si>
    <t>西高入口</t>
  </si>
  <si>
    <t>にしこういりぐち</t>
  </si>
  <si>
    <t>Nishiko Iriguchi</t>
  </si>
  <si>
    <t>太田</t>
  </si>
  <si>
    <t>おおた</t>
  </si>
  <si>
    <t>Ota</t>
  </si>
  <si>
    <t>十和田西高前</t>
  </si>
  <si>
    <t>とわだにしこうまえ</t>
  </si>
  <si>
    <t>Towada Nishiko mae</t>
    <phoneticPr fontId="1"/>
  </si>
  <si>
    <t>二ツ家</t>
  </si>
  <si>
    <t>ふたつや</t>
  </si>
  <si>
    <t>Futatsuya</t>
  </si>
  <si>
    <t>沢田</t>
  </si>
  <si>
    <t>さわだ</t>
  </si>
  <si>
    <t>Sawada</t>
  </si>
  <si>
    <t>舘入口</t>
  </si>
  <si>
    <t>たていりぐち</t>
  </si>
  <si>
    <t>Tate Iriguchi</t>
  </si>
  <si>
    <t>和野</t>
  </si>
  <si>
    <t>わの</t>
  </si>
  <si>
    <t>Wano</t>
  </si>
  <si>
    <t>上沢田口</t>
  </si>
  <si>
    <t>かみさわだぐち</t>
  </si>
  <si>
    <t>Kamisawadaguchi</t>
  </si>
  <si>
    <t>中野渡</t>
  </si>
  <si>
    <t>なかのわたり</t>
  </si>
  <si>
    <t>Nakanowatari</t>
  </si>
  <si>
    <t>大堀平</t>
  </si>
  <si>
    <t>おおぼりたい</t>
  </si>
  <si>
    <t>Oboritai</t>
  </si>
  <si>
    <t>奥入瀬ろまんパーク入口</t>
  </si>
  <si>
    <t>おいらせろまんぱーくいりぐち</t>
  </si>
  <si>
    <t>Oirase Roman Park Iriguchi</t>
  </si>
  <si>
    <t>奥入瀬ろまんパーク</t>
  </si>
  <si>
    <t>おいらせろまんぱーく</t>
    <phoneticPr fontId="1"/>
  </si>
  <si>
    <t>Oirase Roman Park</t>
  </si>
  <si>
    <t>ＪＡ十和田湖支店前</t>
  </si>
  <si>
    <t>じぇーえーとわだこしてんまえ</t>
  </si>
  <si>
    <t>JA Towadako Shiten mae</t>
  </si>
  <si>
    <t>十和田市西コミュニティセンター前</t>
  </si>
  <si>
    <t>とわだしにしこみゅにてぃーせんたーまえ</t>
  </si>
  <si>
    <t>Towadashi Community center mae</t>
  </si>
  <si>
    <t>第一中学校</t>
  </si>
  <si>
    <t>だいいちちゅうがっこう</t>
  </si>
  <si>
    <t>Diichi Chugakko</t>
  </si>
  <si>
    <t>小沢口</t>
  </si>
  <si>
    <t>こざわぐち</t>
  </si>
  <si>
    <t>Kozawaguchi</t>
  </si>
  <si>
    <t>奥瀬下川目</t>
  </si>
  <si>
    <t>おくせしたかわめ</t>
  </si>
  <si>
    <t>Okuse Shitakawame</t>
  </si>
  <si>
    <t>法奥小学校前</t>
  </si>
  <si>
    <t>ほうおくしょうがっこうまえ</t>
  </si>
  <si>
    <t>Hooku Shogakko mae</t>
  </si>
  <si>
    <t>新川原</t>
  </si>
  <si>
    <t>しんかわら</t>
  </si>
  <si>
    <t>Shinkawara</t>
  </si>
  <si>
    <t>法量</t>
  </si>
  <si>
    <t>ほうりょう</t>
  </si>
  <si>
    <t>Horyo</t>
  </si>
  <si>
    <t>両泉寺</t>
  </si>
  <si>
    <t>りょうせんじ</t>
  </si>
  <si>
    <t>Ryosenji</t>
  </si>
  <si>
    <t>中川原</t>
  </si>
  <si>
    <t>なかがわら</t>
  </si>
  <si>
    <t>Nakagawara</t>
  </si>
  <si>
    <t>道交</t>
  </si>
  <si>
    <t>みちちがい</t>
    <phoneticPr fontId="1"/>
  </si>
  <si>
    <t>Michichigai</t>
  </si>
  <si>
    <t>百目木橋南口</t>
  </si>
  <si>
    <t>どめきばしみなみぐち</t>
  </si>
  <si>
    <t>Domakibashi Minamiguchi</t>
  </si>
  <si>
    <t>山口</t>
  </si>
  <si>
    <t>やまぐち</t>
  </si>
  <si>
    <t>Yamaguchi</t>
  </si>
  <si>
    <t>漆畑入口</t>
  </si>
  <si>
    <t>うるしはたいりぐち</t>
  </si>
  <si>
    <t>Urushihata Iriguchi</t>
  </si>
  <si>
    <t>冷水入口</t>
  </si>
  <si>
    <t>ひやみずいりぐち</t>
  </si>
  <si>
    <t>Hiyamizu Iriguchi</t>
  </si>
  <si>
    <t>百目木</t>
  </si>
  <si>
    <t>どめき</t>
  </si>
  <si>
    <t>Domaeki</t>
  </si>
  <si>
    <t>立石</t>
  </si>
  <si>
    <t>たていし</t>
  </si>
  <si>
    <t>Tateishi</t>
  </si>
  <si>
    <t>十二里</t>
  </si>
  <si>
    <t>じゅうにさと</t>
  </si>
  <si>
    <t>Junisato</t>
  </si>
  <si>
    <t>夏間沢</t>
  </si>
  <si>
    <t>なつまざわ</t>
  </si>
  <si>
    <t>Natsumazawa</t>
  </si>
  <si>
    <t>片貝沢本村</t>
  </si>
  <si>
    <t>かたかいざわほんそん</t>
  </si>
  <si>
    <t>Katakaizawa Honson</t>
  </si>
  <si>
    <t>片貝沢</t>
  </si>
  <si>
    <t>かたかいざわ</t>
  </si>
  <si>
    <t>Katakaizawa</t>
  </si>
  <si>
    <t>渕沢</t>
  </si>
  <si>
    <t>ふちさわ</t>
    <phoneticPr fontId="1"/>
  </si>
  <si>
    <t>Fuchisawa</t>
  </si>
  <si>
    <t>焼山団地前</t>
    <rPh sb="4" eb="5">
      <t>マエ</t>
    </rPh>
    <phoneticPr fontId="1"/>
  </si>
  <si>
    <t>やけやまだんちまえ</t>
    <phoneticPr fontId="1"/>
  </si>
  <si>
    <t>Yakeyamadanchi mae</t>
  </si>
  <si>
    <t>桂月橋</t>
  </si>
  <si>
    <t>けいげつばし</t>
  </si>
  <si>
    <t>Keigetsubashi</t>
  </si>
  <si>
    <t>奥入瀬渓流温泉</t>
  </si>
  <si>
    <t>おいらせけいりゅうおんせん</t>
  </si>
  <si>
    <t>Oirasekeiryu Onsen</t>
  </si>
  <si>
    <t>蔦温泉入口</t>
  </si>
  <si>
    <t>つたおんせんいりぐち</t>
  </si>
  <si>
    <t>Tsuta Onsen Iriguchi</t>
  </si>
  <si>
    <t>焼山</t>
  </si>
  <si>
    <t>やけやま</t>
  </si>
  <si>
    <t>Yakeyama</t>
  </si>
  <si>
    <t>渓流館前</t>
  </si>
  <si>
    <t>けいりゅうかんまえ</t>
  </si>
  <si>
    <t>Keiryukan mae</t>
  </si>
  <si>
    <t>きたぞの</t>
  </si>
  <si>
    <t>はつた</t>
    <phoneticPr fontId="1"/>
  </si>
  <si>
    <t>町立体育館前</t>
  </si>
  <si>
    <t>ちょうりつたいいくかんまえ</t>
    <phoneticPr fontId="1"/>
  </si>
  <si>
    <t>Choritsu Taiikukan mae</t>
  </si>
  <si>
    <t>もみのき学園</t>
  </si>
  <si>
    <t>もみのきがくえん</t>
  </si>
  <si>
    <t>Mominoki Gakuen</t>
  </si>
  <si>
    <t>蛇坂</t>
  </si>
  <si>
    <t>へびさか</t>
  </si>
  <si>
    <t>Hebisaka</t>
  </si>
  <si>
    <t>七戸小学校</t>
  </si>
  <si>
    <t>しちのへしょうがっこう</t>
  </si>
  <si>
    <t>Shichinohe Shogakko</t>
  </si>
  <si>
    <t>変電所前</t>
  </si>
  <si>
    <t>乙供</t>
  </si>
  <si>
    <t>おっとも</t>
  </si>
  <si>
    <t>Ottomo</t>
  </si>
  <si>
    <t>乙供元町</t>
  </si>
  <si>
    <t>おっとももとまち</t>
  </si>
  <si>
    <t>Ottomo Motomachi</t>
  </si>
  <si>
    <t>馬込</t>
  </si>
  <si>
    <t>まごめ</t>
  </si>
  <si>
    <t>Magome</t>
  </si>
  <si>
    <t>朝日団地</t>
  </si>
  <si>
    <t>あさひだんち</t>
  </si>
  <si>
    <t>Asahidanchi</t>
  </si>
  <si>
    <t>石沢</t>
  </si>
  <si>
    <t>いしざわ</t>
  </si>
  <si>
    <t>Ishizawa</t>
  </si>
  <si>
    <t>舟場向川久保</t>
  </si>
  <si>
    <t>ふなばむかいかわくぼ</t>
    <phoneticPr fontId="1"/>
  </si>
  <si>
    <t>Funabamukaikawakubo</t>
  </si>
  <si>
    <t>北一本木</t>
  </si>
  <si>
    <t>きたいっぽんぎ</t>
  </si>
  <si>
    <t>Kita Ippongi</t>
  </si>
  <si>
    <t>一本木</t>
  </si>
  <si>
    <t>いっぽんぎ</t>
  </si>
  <si>
    <t>Ippongi</t>
  </si>
  <si>
    <t>東天間</t>
  </si>
  <si>
    <t>ひがしてんま</t>
  </si>
  <si>
    <t>Higashi Temma</t>
  </si>
  <si>
    <t>天間</t>
  </si>
  <si>
    <t>てんま</t>
  </si>
  <si>
    <t>Temma</t>
  </si>
  <si>
    <t>西天間</t>
  </si>
  <si>
    <t>にしてんま</t>
  </si>
  <si>
    <t>Nishi Temma</t>
  </si>
  <si>
    <t>十字路</t>
  </si>
  <si>
    <t>じゅうじろ</t>
  </si>
  <si>
    <t>Jujiro</t>
  </si>
  <si>
    <t>桜木</t>
  </si>
  <si>
    <t>さくらぎ</t>
    <phoneticPr fontId="1"/>
  </si>
  <si>
    <t>Sakuragi</t>
  </si>
  <si>
    <t>団地前</t>
  </si>
  <si>
    <t>だんちまえ</t>
  </si>
  <si>
    <t>Danchi mae</t>
  </si>
  <si>
    <t>天間林小学校前</t>
  </si>
  <si>
    <t>てんまはやししょうがっこうまえ</t>
  </si>
  <si>
    <t>Temmabayashi Shogakko mae</t>
  </si>
  <si>
    <t>東榎林</t>
  </si>
  <si>
    <t>ひがしえのきはやし</t>
  </si>
  <si>
    <t>Higashi Enokihayashi</t>
  </si>
  <si>
    <t>榎林</t>
  </si>
  <si>
    <t>えのきはやし</t>
  </si>
  <si>
    <t>Enokihayashi</t>
  </si>
  <si>
    <t>西榎林</t>
  </si>
  <si>
    <t>にしえのきはやし</t>
  </si>
  <si>
    <t>Nishi Enokihayashi</t>
  </si>
  <si>
    <t>花松</t>
  </si>
  <si>
    <t>はなまつ</t>
  </si>
  <si>
    <t>Hanamatsu</t>
  </si>
  <si>
    <t>野崎</t>
  </si>
  <si>
    <t>のざき</t>
  </si>
  <si>
    <t>Nozaki</t>
  </si>
  <si>
    <t>長沢</t>
  </si>
  <si>
    <t>ながさわ</t>
  </si>
  <si>
    <t>Nagasawa</t>
  </si>
  <si>
    <t>美土里荘前</t>
    <phoneticPr fontId="1"/>
  </si>
  <si>
    <t>みどりそうまえ</t>
    <phoneticPr fontId="1"/>
  </si>
  <si>
    <t>Midoriso mae</t>
  </si>
  <si>
    <t>膝森</t>
  </si>
  <si>
    <t>ひざもり</t>
  </si>
  <si>
    <t>Hizamori</t>
  </si>
  <si>
    <t>福祉センター入口</t>
  </si>
  <si>
    <t>ふくしせんたーいりぐち</t>
  </si>
  <si>
    <t>Fukushicenter Iriguchi</t>
  </si>
  <si>
    <t>西高見</t>
  </si>
  <si>
    <t>にしたかみ</t>
  </si>
  <si>
    <t>舘野公園前</t>
  </si>
  <si>
    <t>たてのこうえんまえ</t>
  </si>
  <si>
    <t>大深内中学校前</t>
  </si>
  <si>
    <t>おおふかないちゅうがっこうまえ</t>
    <phoneticPr fontId="1"/>
  </si>
  <si>
    <t>立崎</t>
  </si>
  <si>
    <t>たちざき</t>
  </si>
  <si>
    <t>牛鍵</t>
  </si>
  <si>
    <t>うしかぎ</t>
  </si>
  <si>
    <t>早坂入口</t>
  </si>
  <si>
    <t>はやさかいりぐち</t>
  </si>
  <si>
    <t>大洞入口</t>
  </si>
  <si>
    <t>おおほらいりぐち</t>
  </si>
  <si>
    <t>新山</t>
  </si>
  <si>
    <t>にいやま</t>
  </si>
  <si>
    <t>北新山</t>
  </si>
  <si>
    <t>きたにいやま</t>
  </si>
  <si>
    <t>上北小前</t>
  </si>
  <si>
    <t>かみきたしょうまえ</t>
  </si>
  <si>
    <t>上北屋内練習場前</t>
  </si>
  <si>
    <t>かみきたおくないれんしゅうじょうまえ</t>
  </si>
  <si>
    <t>東北町役場通</t>
  </si>
  <si>
    <t>とうほくまちやくばどおり</t>
  </si>
  <si>
    <t>病院通</t>
  </si>
  <si>
    <t>びょういんどおり</t>
  </si>
  <si>
    <t>上北町駅</t>
  </si>
  <si>
    <t>かみきたちょうえき</t>
    <phoneticPr fontId="1"/>
  </si>
  <si>
    <t>上北駅通</t>
  </si>
  <si>
    <t>かみきたえきどおり</t>
  </si>
  <si>
    <t>旭町</t>
  </si>
  <si>
    <t>あさひちょう</t>
    <phoneticPr fontId="1"/>
  </si>
  <si>
    <t>小川原湖通</t>
  </si>
  <si>
    <t>おがわらこどおり</t>
  </si>
  <si>
    <t>湖畔桟橋前</t>
  </si>
  <si>
    <t>こはんさんばしまえ</t>
  </si>
  <si>
    <t>下川向</t>
  </si>
  <si>
    <t>したかわむかい</t>
  </si>
  <si>
    <t>Shita Kawamukai</t>
  </si>
  <si>
    <t>小稲</t>
  </si>
  <si>
    <t>こいな</t>
  </si>
  <si>
    <t>十和田中入口</t>
  </si>
  <si>
    <t>とわだちゅういりぐち</t>
  </si>
  <si>
    <t>北小林</t>
  </si>
  <si>
    <t>きたこばやし</t>
  </si>
  <si>
    <t>南小林</t>
  </si>
  <si>
    <t>みなみこばやし</t>
  </si>
  <si>
    <t>小林</t>
  </si>
  <si>
    <t>こばやし</t>
  </si>
  <si>
    <t>藤坂小学校前</t>
  </si>
  <si>
    <t>ふじさかしょうがっこうまえ</t>
  </si>
  <si>
    <t>相坂変電所前</t>
    <phoneticPr fontId="1"/>
  </si>
  <si>
    <t>おうさかへんでんしょまえ</t>
    <phoneticPr fontId="1"/>
  </si>
  <si>
    <t>相坂会館前</t>
  </si>
  <si>
    <t>おうさかかいかんまえ</t>
    <phoneticPr fontId="1"/>
  </si>
  <si>
    <t>農事試験場前</t>
  </si>
  <si>
    <t>のうじしけんじょうまえ</t>
    <phoneticPr fontId="1"/>
  </si>
  <si>
    <t>大和入口</t>
  </si>
  <si>
    <t>やまといりぐち</t>
  </si>
  <si>
    <t>大和</t>
  </si>
  <si>
    <t>やまと</t>
    <phoneticPr fontId="1"/>
  </si>
  <si>
    <t>大和北</t>
  </si>
  <si>
    <t>やまときた</t>
  </si>
  <si>
    <t>イオンスーパーセンター十和田店</t>
  </si>
  <si>
    <t>いおんすーぱーせんたーとわだてん</t>
  </si>
  <si>
    <t>やまと</t>
  </si>
  <si>
    <t>大和田養魚場前</t>
  </si>
  <si>
    <t>おおわだようぎょじょうまえ</t>
  </si>
  <si>
    <t>六日町入口</t>
  </si>
  <si>
    <t>むいかまちいりぐち</t>
  </si>
  <si>
    <t>六日町</t>
  </si>
  <si>
    <t>むいかまち</t>
    <phoneticPr fontId="1"/>
  </si>
  <si>
    <t>喜多美町</t>
  </si>
  <si>
    <t>きたみちょう</t>
  </si>
  <si>
    <t>むいかまち</t>
  </si>
  <si>
    <t>相坂変電所前</t>
  </si>
  <si>
    <t>中村</t>
  </si>
  <si>
    <t>なかむら</t>
  </si>
  <si>
    <t>Nakamura</t>
  </si>
  <si>
    <t>水喰</t>
  </si>
  <si>
    <t>みずはみ</t>
    <phoneticPr fontId="1"/>
  </si>
  <si>
    <t>Mizuhami</t>
  </si>
  <si>
    <t>南水喰</t>
  </si>
  <si>
    <t>みなみみずはみ</t>
    <phoneticPr fontId="1"/>
  </si>
  <si>
    <t>Minami Mizuhami</t>
  </si>
  <si>
    <t>南野田頭</t>
  </si>
  <si>
    <t>みなみのだがしら</t>
  </si>
  <si>
    <t>Minami Nodagashira</t>
  </si>
  <si>
    <t>豊栄</t>
  </si>
  <si>
    <t>とよさかえ</t>
  </si>
  <si>
    <t>Toyosakae</t>
  </si>
  <si>
    <t>滝沢</t>
  </si>
  <si>
    <t>たきさわ</t>
  </si>
  <si>
    <t>Takisawa</t>
  </si>
  <si>
    <t>巴蘭</t>
  </si>
  <si>
    <t>ぱーらん</t>
    <phoneticPr fontId="1"/>
  </si>
  <si>
    <t>Paran</t>
  </si>
  <si>
    <t>南巴蘭</t>
  </si>
  <si>
    <t>みなみぱーらん</t>
    <phoneticPr fontId="1"/>
  </si>
  <si>
    <t>Minami Paran</t>
  </si>
  <si>
    <t>漆玉入口</t>
  </si>
  <si>
    <t>しったまいりぐち</t>
  </si>
  <si>
    <t>Shittama Iriguchi</t>
  </si>
  <si>
    <t>北甲地</t>
  </si>
  <si>
    <t>きたかっち</t>
  </si>
  <si>
    <t>Kita Kacchi</t>
  </si>
  <si>
    <t>甲地</t>
  </si>
  <si>
    <t>かっち</t>
  </si>
  <si>
    <t>Kacchi</t>
  </si>
  <si>
    <t>南甲地</t>
  </si>
  <si>
    <t>みなみかっち</t>
  </si>
  <si>
    <t>長久保入口</t>
  </si>
  <si>
    <t>ながくぼいりぐち</t>
  </si>
  <si>
    <t>鳥口橋</t>
  </si>
  <si>
    <t>とりぐちばし</t>
  </si>
  <si>
    <t>甲地入口</t>
  </si>
  <si>
    <t>かっちいりぐち</t>
  </si>
  <si>
    <t>花向橋</t>
  </si>
  <si>
    <t>はなむかいばし</t>
  </si>
  <si>
    <t>上北町駅南口</t>
  </si>
  <si>
    <t>かみきたちょうえきみなみぐち</t>
    <phoneticPr fontId="1"/>
  </si>
  <si>
    <t>菩提寺</t>
  </si>
  <si>
    <t>ぼだいじ</t>
  </si>
  <si>
    <t>虫神</t>
  </si>
  <si>
    <t>むしがみ</t>
  </si>
  <si>
    <t>岡沼</t>
  </si>
  <si>
    <t>おかぬま</t>
  </si>
  <si>
    <t>沖山</t>
  </si>
  <si>
    <t>おきやま</t>
  </si>
  <si>
    <t>鳥口橋</t>
    <rPh sb="0" eb="1">
      <t>トリ</t>
    </rPh>
    <rPh sb="1" eb="2">
      <t>クチ</t>
    </rPh>
    <rPh sb="2" eb="3">
      <t>バシ</t>
    </rPh>
    <phoneticPr fontId="1"/>
  </si>
  <si>
    <t>とりぐちばし</t>
    <phoneticPr fontId="1"/>
  </si>
  <si>
    <t>しったまいりくち</t>
  </si>
  <si>
    <t>みなみぱーらん</t>
  </si>
  <si>
    <t>ぱーらん</t>
  </si>
  <si>
    <t>相坂</t>
  </si>
  <si>
    <t>おうさか</t>
    <phoneticPr fontId="1"/>
  </si>
  <si>
    <t>藤島</t>
  </si>
  <si>
    <t>ふじしま</t>
  </si>
  <si>
    <t>和島入口</t>
  </si>
  <si>
    <t>わしまいりぐち</t>
  </si>
  <si>
    <t>野月</t>
  </si>
  <si>
    <t>のづき</t>
  </si>
  <si>
    <t>石倉</t>
  </si>
  <si>
    <t>いしくら</t>
  </si>
  <si>
    <t>下米田</t>
  </si>
  <si>
    <t>しもまいた</t>
    <phoneticPr fontId="1"/>
  </si>
  <si>
    <t>四和小・中学校</t>
  </si>
  <si>
    <t>しわしょう・ちゅうがっこう</t>
  </si>
  <si>
    <t>米田</t>
  </si>
  <si>
    <t>米田</t>
    <rPh sb="0" eb="2">
      <t>マイタ</t>
    </rPh>
    <phoneticPr fontId="1"/>
  </si>
  <si>
    <t>北野（米田）</t>
  </si>
  <si>
    <t>万内</t>
  </si>
  <si>
    <t>まんない</t>
    <phoneticPr fontId="1"/>
  </si>
  <si>
    <t>下平</t>
  </si>
  <si>
    <t>しもたい</t>
    <phoneticPr fontId="1"/>
  </si>
  <si>
    <t>清瀬</t>
  </si>
  <si>
    <t>きよせ</t>
  </si>
  <si>
    <t>大不動</t>
  </si>
  <si>
    <t>おおふどう</t>
  </si>
  <si>
    <t>川尻</t>
  </si>
  <si>
    <t>かわしり</t>
    <phoneticPr fontId="1"/>
  </si>
  <si>
    <t>杉ノ木</t>
  </si>
  <si>
    <t>すぎのき</t>
  </si>
  <si>
    <t>明戸</t>
  </si>
  <si>
    <t>あけど</t>
  </si>
  <si>
    <t>あけぼの学園</t>
  </si>
  <si>
    <t>あけぼのがくえん</t>
  </si>
  <si>
    <t>平山</t>
  </si>
  <si>
    <t>たいらやま</t>
    <phoneticPr fontId="1"/>
  </si>
  <si>
    <t>柏木</t>
  </si>
  <si>
    <t>かしわぎ</t>
  </si>
  <si>
    <t>笊畑</t>
  </si>
  <si>
    <t>ざるはた</t>
  </si>
  <si>
    <t>長下入口</t>
  </si>
  <si>
    <t>ながしたいりぐち</t>
    <phoneticPr fontId="1"/>
  </si>
  <si>
    <t>森ノ越</t>
  </si>
  <si>
    <t>もりのこし</t>
  </si>
  <si>
    <t>コゲ畑</t>
  </si>
  <si>
    <t>こげはた</t>
  </si>
  <si>
    <t>長下集会所前</t>
  </si>
  <si>
    <t>ながしたしゅうかいじょまえ</t>
    <phoneticPr fontId="1"/>
  </si>
  <si>
    <t>長下南口</t>
  </si>
  <si>
    <t>ながしたみなみぐち</t>
    <phoneticPr fontId="1"/>
  </si>
  <si>
    <t>指久保</t>
  </si>
  <si>
    <t>さしくぼ</t>
  </si>
  <si>
    <t>わしまいりぐち</t>
    <phoneticPr fontId="1"/>
  </si>
  <si>
    <t>おうさか</t>
  </si>
  <si>
    <t>せいかしじょうまえ</t>
    <phoneticPr fontId="1"/>
  </si>
  <si>
    <t>にしほなみ</t>
    <phoneticPr fontId="1"/>
  </si>
  <si>
    <t>さんこうどおり</t>
    <phoneticPr fontId="1"/>
  </si>
  <si>
    <t>みなみしょうがっこうまえ</t>
  </si>
  <si>
    <t>西吾郷</t>
  </si>
  <si>
    <t>にしごごう</t>
  </si>
  <si>
    <t>赤沼入口</t>
  </si>
  <si>
    <t>あかぬまいりぐち</t>
  </si>
  <si>
    <t>赤沼</t>
  </si>
  <si>
    <t>あかぬま</t>
    <phoneticPr fontId="1"/>
  </si>
  <si>
    <t>上川原</t>
  </si>
  <si>
    <t>かみかわら</t>
    <phoneticPr fontId="1"/>
  </si>
  <si>
    <t>三日市川原</t>
  </si>
  <si>
    <t>みっかいちかわら</t>
  </si>
  <si>
    <t>三日市</t>
  </si>
  <si>
    <t>みっかいち</t>
  </si>
  <si>
    <t>新屋敷</t>
  </si>
  <si>
    <t>あらやしき</t>
  </si>
  <si>
    <t>下洗</t>
  </si>
  <si>
    <t>しもあらい</t>
  </si>
  <si>
    <t>西高通</t>
  </si>
  <si>
    <t>にしこうどおり</t>
    <phoneticPr fontId="1"/>
  </si>
  <si>
    <t>かみさわだぐち</t>
    <phoneticPr fontId="1"/>
  </si>
  <si>
    <t>てんまばやししょうがっこうまえ</t>
  </si>
  <si>
    <t xml:space="preserve">ふなばむかいかわくぼ </t>
  </si>
  <si>
    <t>まごめ</t>
    <phoneticPr fontId="1"/>
  </si>
  <si>
    <t>上笹橋</t>
  </si>
  <si>
    <t>かみささばし</t>
  </si>
  <si>
    <t>Kamisasabashi</t>
  </si>
  <si>
    <t>坂下町</t>
  </si>
  <si>
    <t>さかしたちょう</t>
    <phoneticPr fontId="1"/>
  </si>
  <si>
    <t>Sakashitacho</t>
  </si>
  <si>
    <t>東北町支所前</t>
  </si>
  <si>
    <t>とうほくまちししょまえ</t>
  </si>
  <si>
    <t>Tohokumachi Shisho mae</t>
  </si>
  <si>
    <t>東北小学校前</t>
  </si>
  <si>
    <t>とうほくしょうがっこうまえ</t>
  </si>
  <si>
    <t>Tohoku Shogakko mae</t>
  </si>
  <si>
    <t>外蛯沢</t>
  </si>
  <si>
    <t>そとえびさわ</t>
  </si>
  <si>
    <t>Sotoebisawa</t>
  </si>
  <si>
    <t>運動公園通</t>
  </si>
  <si>
    <t>うんどうこうえんどおり</t>
    <phoneticPr fontId="1"/>
  </si>
  <si>
    <t>Undo Koen dori</t>
  </si>
  <si>
    <t>運動公園入口</t>
  </si>
  <si>
    <t>うんどうこうえんいりぐち</t>
  </si>
  <si>
    <t>Undo Koen Iriguchi</t>
  </si>
  <si>
    <t>長崎</t>
  </si>
  <si>
    <t>ながさき</t>
  </si>
  <si>
    <t>Nagasaki</t>
  </si>
  <si>
    <t>蒼前</t>
  </si>
  <si>
    <t>そうぜん</t>
  </si>
  <si>
    <t>Sozen</t>
  </si>
  <si>
    <t>ながさき</t>
    <phoneticPr fontId="1"/>
  </si>
  <si>
    <t>Hendensho mae</t>
    <phoneticPr fontId="1"/>
  </si>
  <si>
    <t>美土里荘前</t>
    <rPh sb="4" eb="5">
      <t>マエ</t>
    </rPh>
    <phoneticPr fontId="1"/>
  </si>
  <si>
    <t>はなまつ</t>
    <phoneticPr fontId="1"/>
  </si>
  <si>
    <t>にしえのきはやし</t>
    <phoneticPr fontId="1"/>
  </si>
  <si>
    <t>えのきはやし</t>
    <phoneticPr fontId="1"/>
  </si>
  <si>
    <t>ひがしえのきはやし</t>
    <phoneticPr fontId="1"/>
  </si>
  <si>
    <t>昭和</t>
  </si>
  <si>
    <t>しょうわ</t>
  </si>
  <si>
    <t>蛯沢中央</t>
  </si>
  <si>
    <t>えびさわちゅうおう</t>
  </si>
  <si>
    <t>西保戸沢</t>
  </si>
  <si>
    <t>にしほどさわ</t>
  </si>
  <si>
    <t>保戸沢</t>
  </si>
  <si>
    <t>ほどさわ</t>
  </si>
  <si>
    <t>乙部</t>
  </si>
  <si>
    <t>おとべ</t>
  </si>
  <si>
    <t>野田頭</t>
  </si>
  <si>
    <t>のだがしら</t>
  </si>
  <si>
    <t>甲地小学校前</t>
  </si>
  <si>
    <t>かっちしょうがっこうまえ</t>
  </si>
  <si>
    <t>長久保東口</t>
  </si>
  <si>
    <t>ながくぼひがしぐち</t>
  </si>
  <si>
    <t>蓼内入口</t>
  </si>
  <si>
    <t>たでないいりぐち</t>
  </si>
  <si>
    <t>土橋</t>
  </si>
  <si>
    <t>つちはし</t>
  </si>
  <si>
    <t>徳万舘</t>
  </si>
  <si>
    <t>とくまんだて</t>
  </si>
  <si>
    <t>舟ヶ沢</t>
  </si>
  <si>
    <t>ふながさわ. </t>
    <phoneticPr fontId="1"/>
  </si>
  <si>
    <t>鶴ヶ崎</t>
  </si>
  <si>
    <t>つるがさき</t>
  </si>
  <si>
    <t>三沢案内所</t>
  </si>
  <si>
    <t>みさわあんないしょ</t>
  </si>
  <si>
    <t>小松ヶ丘西口</t>
  </si>
  <si>
    <t>こまつがおかにしぐち</t>
  </si>
  <si>
    <t>公園前</t>
  </si>
  <si>
    <t>こうえんまえ</t>
  </si>
  <si>
    <t>小松ヶ丘中央</t>
  </si>
  <si>
    <t>こまつがおかちゅうおう</t>
  </si>
  <si>
    <t>小松ヶ丘南</t>
  </si>
  <si>
    <t>こまつがおかみなみ</t>
  </si>
  <si>
    <t>小松ヶ丘入口</t>
  </si>
  <si>
    <t>こまつがおかいりぐち</t>
  </si>
  <si>
    <t>変電所前（三沢）</t>
  </si>
  <si>
    <t>清水町</t>
  </si>
  <si>
    <t>しみずちょう</t>
    <phoneticPr fontId="1"/>
  </si>
  <si>
    <t>東駒沢</t>
  </si>
  <si>
    <t>ひがしこまさわ</t>
    <phoneticPr fontId="1"/>
  </si>
  <si>
    <t>西駒沢</t>
  </si>
  <si>
    <t>にしこまさわ</t>
    <phoneticPr fontId="1"/>
  </si>
  <si>
    <t>平畑</t>
  </si>
  <si>
    <t>ひらはた</t>
  </si>
  <si>
    <t>姉沼</t>
  </si>
  <si>
    <t>あねぬま</t>
  </si>
  <si>
    <t>南小川原</t>
  </si>
  <si>
    <t>みなみこがわら</t>
    <phoneticPr fontId="1"/>
  </si>
  <si>
    <t>小川原駅</t>
  </si>
  <si>
    <t>こがわらえき</t>
    <phoneticPr fontId="1"/>
  </si>
  <si>
    <t>下沼崎</t>
  </si>
  <si>
    <t>しもぬまさき</t>
    <phoneticPr fontId="1"/>
  </si>
  <si>
    <t>湖水口</t>
  </si>
  <si>
    <t>こすいぐち</t>
  </si>
  <si>
    <t>道の駅おがわら湖</t>
  </si>
  <si>
    <t>みちのえきおがわらこ</t>
  </si>
  <si>
    <t>下旭町</t>
  </si>
  <si>
    <t>しもあさちょう</t>
    <phoneticPr fontId="1"/>
  </si>
  <si>
    <t>東上野</t>
  </si>
  <si>
    <t>ひがしうわの</t>
    <phoneticPr fontId="1"/>
  </si>
  <si>
    <t>上野</t>
  </si>
  <si>
    <t>うわの</t>
    <phoneticPr fontId="1"/>
  </si>
  <si>
    <t>上野保育園前</t>
  </si>
  <si>
    <t>うわのほいくえんまえ</t>
    <phoneticPr fontId="1"/>
  </si>
  <si>
    <t>西上野</t>
  </si>
  <si>
    <t>にしうわの</t>
    <phoneticPr fontId="1"/>
  </si>
  <si>
    <t>堺ノ沢</t>
  </si>
  <si>
    <t>さかいのさわ</t>
  </si>
  <si>
    <t>才市田</t>
  </si>
  <si>
    <t>さいちだ</t>
  </si>
  <si>
    <t>東徳万才</t>
  </si>
  <si>
    <t>ひがしとくまんざい</t>
  </si>
  <si>
    <t>徳万才</t>
  </si>
  <si>
    <t>とくまんざい</t>
  </si>
  <si>
    <t>東大浦</t>
  </si>
  <si>
    <t>ひがしおおうら</t>
  </si>
  <si>
    <t>大浦</t>
  </si>
  <si>
    <t>おおうら</t>
  </si>
  <si>
    <t>西大浦</t>
  </si>
  <si>
    <t>にしおおうら</t>
  </si>
  <si>
    <t>大浦入口</t>
  </si>
  <si>
    <t>おおうらいりぐち</t>
  </si>
  <si>
    <t>赤平</t>
  </si>
  <si>
    <t>あかひら</t>
  </si>
  <si>
    <t>八幡（東北町）</t>
  </si>
  <si>
    <t>やわた</t>
    <phoneticPr fontId="1"/>
  </si>
  <si>
    <t>戸舘</t>
  </si>
  <si>
    <t>とだて</t>
  </si>
  <si>
    <t>新舘</t>
  </si>
  <si>
    <t>にいだて</t>
    <phoneticPr fontId="1"/>
  </si>
  <si>
    <t>あすなろ温泉前</t>
  </si>
  <si>
    <t>あすならおんせんまえ</t>
  </si>
  <si>
    <t>笊田</t>
  </si>
  <si>
    <t>ざるた</t>
  </si>
  <si>
    <t>しもあさひちょう</t>
    <phoneticPr fontId="1"/>
  </si>
  <si>
    <t>公園通</t>
  </si>
  <si>
    <t>こうえんどおり</t>
    <phoneticPr fontId="1"/>
  </si>
  <si>
    <t>幸町一丁目</t>
  </si>
  <si>
    <t>さいわいちょういっちょうめ</t>
    <phoneticPr fontId="1"/>
  </si>
  <si>
    <t>おかみさわ</t>
  </si>
  <si>
    <t>浜三沢</t>
  </si>
  <si>
    <t>はまみさわ</t>
  </si>
  <si>
    <t>東浜三沢</t>
  </si>
  <si>
    <t>ひがしはまみさわ</t>
  </si>
  <si>
    <t>二中前</t>
  </si>
  <si>
    <t>にちゅうまえ</t>
  </si>
  <si>
    <t>大津三丁目</t>
  </si>
  <si>
    <t>おおつさんちょうめ</t>
  </si>
  <si>
    <t>大津四丁目</t>
  </si>
  <si>
    <t>おおつよんちょうめ</t>
  </si>
  <si>
    <t>鹿中</t>
  </si>
  <si>
    <t>しかなか</t>
  </si>
  <si>
    <t>南鹿中</t>
  </si>
  <si>
    <t>みなみしかなか</t>
  </si>
  <si>
    <t>三川目小学校前</t>
  </si>
  <si>
    <t>みかわめしょうがっこうまえ</t>
  </si>
  <si>
    <t>三沢漁港入口</t>
  </si>
  <si>
    <t>みさわぎょこういりぐち</t>
  </si>
  <si>
    <t>三川目</t>
  </si>
  <si>
    <t>みかわめ</t>
  </si>
  <si>
    <t>北二川目</t>
  </si>
  <si>
    <t>きたふたかわめ</t>
    <phoneticPr fontId="1"/>
  </si>
  <si>
    <t>二川目</t>
  </si>
  <si>
    <t>ふたかわめ</t>
  </si>
  <si>
    <t>二川目局前</t>
  </si>
  <si>
    <t>ふたかわめきょくまえ</t>
  </si>
  <si>
    <t>南二川目</t>
  </si>
  <si>
    <t>みなみふたかわめ</t>
  </si>
  <si>
    <t>甲洋小学校</t>
  </si>
  <si>
    <t>こうようしょうがっこう</t>
  </si>
  <si>
    <t>北一川目</t>
  </si>
  <si>
    <t>きたひとかわめ</t>
  </si>
  <si>
    <t>一川目</t>
  </si>
  <si>
    <t>ひとかわめ</t>
  </si>
  <si>
    <t>南一川目</t>
  </si>
  <si>
    <t>みなみひとかわめ</t>
  </si>
  <si>
    <t>豊栄入口</t>
  </si>
  <si>
    <t>とよさかえいりぐち</t>
  </si>
  <si>
    <t>百石中学校前</t>
  </si>
  <si>
    <t>ももいしちゅうがっこうまえ</t>
  </si>
  <si>
    <t>黒坂団地</t>
  </si>
  <si>
    <t>くろさかだんち</t>
  </si>
  <si>
    <t>洋光台北口</t>
  </si>
  <si>
    <t>ようこうだいきたぐち</t>
  </si>
  <si>
    <t>洋光台中央</t>
  </si>
  <si>
    <t>ようこうだいちゅうおう</t>
  </si>
  <si>
    <t>洋光台南口</t>
  </si>
  <si>
    <t>ようこうだいみなみぐち</t>
  </si>
  <si>
    <t>日ヶ久保</t>
  </si>
  <si>
    <t>ひがくぼ</t>
  </si>
  <si>
    <t>保健福祉センター</t>
  </si>
  <si>
    <t>ほけんふくしせんたー</t>
    <phoneticPr fontId="1"/>
  </si>
  <si>
    <t>石田温泉病院前</t>
  </si>
  <si>
    <t>いしだおんせんびょういんまえ</t>
  </si>
  <si>
    <t>いおんもーるしもだまえ</t>
    <phoneticPr fontId="1"/>
  </si>
  <si>
    <t>きたふたかわめ</t>
  </si>
  <si>
    <t>市立病院</t>
  </si>
  <si>
    <t>しりつびょういん</t>
  </si>
  <si>
    <t>泉町東</t>
  </si>
  <si>
    <t>いずみちょうひがし</t>
    <phoneticPr fontId="1"/>
  </si>
  <si>
    <t>雇用促進住宅前</t>
  </si>
  <si>
    <t>こようそくしんじゅうたくまえ</t>
  </si>
  <si>
    <t>木崎野小前</t>
  </si>
  <si>
    <t>きざきのしょうまえ</t>
  </si>
  <si>
    <t>松園公園前</t>
  </si>
  <si>
    <t>まつぞのこうえんまえ</t>
  </si>
  <si>
    <t>Ｂバリ通り</t>
  </si>
  <si>
    <t>Ｂばりとおり</t>
    <phoneticPr fontId="1"/>
  </si>
  <si>
    <t>淋代</t>
  </si>
  <si>
    <t>さびしろ</t>
  </si>
  <si>
    <t>淋代局前</t>
  </si>
  <si>
    <t>さびしろきょくまえ</t>
  </si>
  <si>
    <t>淋代海岸</t>
  </si>
  <si>
    <t>さびしろかいがん</t>
    <phoneticPr fontId="1"/>
  </si>
  <si>
    <t>細谷</t>
  </si>
  <si>
    <t>ほそや</t>
  </si>
  <si>
    <t>南六川目</t>
  </si>
  <si>
    <t>みなみむかわめ</t>
  </si>
  <si>
    <t>六川目</t>
  </si>
  <si>
    <t>むかわめ</t>
  </si>
  <si>
    <t>北六川目</t>
  </si>
  <si>
    <t>きたむかわめ</t>
  </si>
  <si>
    <t>はまなす団体活動センター前</t>
  </si>
  <si>
    <t>はまなすだんたいかつどうせんたーまえ</t>
  </si>
  <si>
    <t>新森入口</t>
  </si>
  <si>
    <t>しんもりいりぐち</t>
  </si>
  <si>
    <t>新森一丁目</t>
  </si>
  <si>
    <t>しんもりいっちょうめ</t>
  </si>
  <si>
    <t>新森集会施設前</t>
  </si>
  <si>
    <t>しんもりしゅうかいしせつまえ</t>
  </si>
  <si>
    <t>新森二丁目</t>
  </si>
  <si>
    <t>しんもりにちょうめ</t>
  </si>
  <si>
    <t>織笠</t>
  </si>
  <si>
    <t>おりかさ</t>
  </si>
  <si>
    <t>北織笠</t>
  </si>
  <si>
    <t>きたおりかさ</t>
  </si>
  <si>
    <t>南塩釜</t>
  </si>
  <si>
    <t>みなみしおがま</t>
  </si>
  <si>
    <t>塩釜</t>
  </si>
  <si>
    <t>しおがま</t>
  </si>
  <si>
    <t>砂森入口</t>
  </si>
  <si>
    <t>すなもりいりぐち</t>
  </si>
  <si>
    <t>天ヶ森入口</t>
  </si>
  <si>
    <t>あまがもりいりぐち</t>
  </si>
  <si>
    <t>公営住宅前</t>
  </si>
  <si>
    <t>こうえいじゅうたくまえ</t>
  </si>
  <si>
    <t>南倉内</t>
  </si>
  <si>
    <t>みなみくらうち</t>
  </si>
  <si>
    <t>倉内</t>
  </si>
  <si>
    <t>くらうち</t>
  </si>
  <si>
    <t>北倉内</t>
  </si>
  <si>
    <t>きたくらうち</t>
  </si>
  <si>
    <t>南平沼</t>
  </si>
  <si>
    <t>みなみひらぬま</t>
  </si>
  <si>
    <t>平沼入口</t>
  </si>
  <si>
    <t>ひらぬまいりぐち</t>
  </si>
  <si>
    <t>Hiranuma Iriguchi</t>
  </si>
  <si>
    <t>平沼</t>
  </si>
  <si>
    <t>ひらぬま</t>
  </si>
  <si>
    <t>Hiranuma</t>
  </si>
  <si>
    <t>北平沼</t>
  </si>
  <si>
    <t>きたひらぬま</t>
  </si>
  <si>
    <t>Kita Hiranuma</t>
  </si>
  <si>
    <t>追舘</t>
  </si>
  <si>
    <t>おったて</t>
  </si>
  <si>
    <t>Ottate</t>
  </si>
  <si>
    <t>八幡（三沢）</t>
  </si>
  <si>
    <t>越下</t>
  </si>
  <si>
    <t>こしした</t>
  </si>
  <si>
    <t>富崎</t>
  </si>
  <si>
    <t>とみさき</t>
  </si>
  <si>
    <t>谷地頭</t>
  </si>
  <si>
    <t>やちがらし</t>
  </si>
  <si>
    <t>斗南藩記念観光村</t>
  </si>
  <si>
    <t>となみはんきねんかんこうそん</t>
  </si>
  <si>
    <t>南谷地頭</t>
  </si>
  <si>
    <t>みなみやちがらし</t>
  </si>
  <si>
    <t>高ノ沢</t>
  </si>
  <si>
    <t>たかのさわ</t>
  </si>
  <si>
    <t>朝日</t>
  </si>
  <si>
    <t>あさひ</t>
  </si>
  <si>
    <t>根井</t>
  </si>
  <si>
    <t>ねい</t>
  </si>
  <si>
    <t>さびしろかいがん</t>
  </si>
  <si>
    <t>Ｂばりどおり</t>
    <phoneticPr fontId="1"/>
  </si>
  <si>
    <t>古間木小学校前</t>
  </si>
  <si>
    <t>ふるまぎしょうがっこうまえ</t>
  </si>
  <si>
    <t>ファミリーショップフルタ</t>
  </si>
  <si>
    <t>ふぁみりーしょっぷふるた</t>
  </si>
  <si>
    <t>春日台三丁目</t>
  </si>
  <si>
    <t>かすがだいさんちょうめ</t>
  </si>
  <si>
    <t>小松ヶ丘通り</t>
  </si>
  <si>
    <t>こまつがおかどおり</t>
    <phoneticPr fontId="1"/>
  </si>
  <si>
    <t>小松ヶ丘四丁目</t>
  </si>
  <si>
    <t>こまつがおかよんちょうめ</t>
  </si>
  <si>
    <t>新町二丁目（三沢）</t>
  </si>
  <si>
    <t>しんちょうにちょうめ</t>
    <phoneticPr fontId="1"/>
  </si>
  <si>
    <t>三沢公園</t>
  </si>
  <si>
    <t>みさわこうえん</t>
  </si>
  <si>
    <t>滝の沢公園</t>
  </si>
  <si>
    <t>たきのさわこうえん</t>
  </si>
  <si>
    <t>サンマル通り</t>
  </si>
  <si>
    <t>さんまるどおり</t>
    <phoneticPr fontId="1"/>
  </si>
  <si>
    <t>ミス．ビードルドーム</t>
  </si>
  <si>
    <t>みす．びーどるどーむ</t>
    <phoneticPr fontId="1"/>
  </si>
  <si>
    <t>工場団地通</t>
  </si>
  <si>
    <t>こうじょうだんちどおり</t>
    <phoneticPr fontId="1"/>
  </si>
  <si>
    <t>日の出三丁目</t>
  </si>
  <si>
    <t>ひのでさんちょうめ</t>
  </si>
  <si>
    <t>深谷</t>
  </si>
  <si>
    <t>ふかや</t>
  </si>
  <si>
    <t>さつきヶ丘団地</t>
  </si>
  <si>
    <t>さつきがおかだんち</t>
  </si>
  <si>
    <t>国際交流センター前</t>
  </si>
  <si>
    <t>こくさいこうりゅうせんたーまえ</t>
  </si>
  <si>
    <t>老人ホーム前</t>
  </si>
  <si>
    <t>ろうじんほーむまえ</t>
  </si>
  <si>
    <t>大津四川目</t>
  </si>
  <si>
    <t>おおつよかわめ</t>
    <phoneticPr fontId="1"/>
  </si>
  <si>
    <t>三川目（みーばす専用）</t>
  </si>
  <si>
    <t>大津南</t>
  </si>
  <si>
    <t>おおつみなみ</t>
  </si>
  <si>
    <t>前平入口</t>
  </si>
  <si>
    <t>まえたいいりぐち</t>
  </si>
  <si>
    <t>前平一丁目</t>
  </si>
  <si>
    <t>まえたいいっちょうめ</t>
  </si>
  <si>
    <t>前平南</t>
  </si>
  <si>
    <t>まえたいみなみ</t>
  </si>
  <si>
    <t>大雄寺前</t>
  </si>
  <si>
    <t>だいゆうじまえ</t>
  </si>
  <si>
    <t>こうじょうだんちとおり</t>
  </si>
  <si>
    <t>こまつがおよんちょうめ</t>
  </si>
  <si>
    <t>古間木交流センター</t>
  </si>
  <si>
    <t>ふるまぎこうりゅうせんたー</t>
  </si>
  <si>
    <t>敦平団地前</t>
  </si>
  <si>
    <t>つるひらだんちまえ</t>
  </si>
  <si>
    <t>Tsuruhiradanchi mar</t>
  </si>
  <si>
    <t>切明団地入口</t>
  </si>
  <si>
    <t>きりあけだんちいりぐち</t>
  </si>
  <si>
    <t>Kiriakedanchi Iriguchi</t>
  </si>
  <si>
    <t>野辺地駅通</t>
  </si>
  <si>
    <t>のへじえきどおり</t>
    <phoneticPr fontId="1"/>
  </si>
  <si>
    <t>Noheji Eki dori</t>
  </si>
  <si>
    <t>高校通（野辺地）</t>
  </si>
  <si>
    <t>Koko dori (Noheji)</t>
  </si>
  <si>
    <t>試験場通</t>
  </si>
  <si>
    <t>しけんじょうどおり</t>
    <phoneticPr fontId="1"/>
  </si>
  <si>
    <t>Shikenjo dori</t>
  </si>
  <si>
    <t>畜産試験場前</t>
  </si>
  <si>
    <t>ちくさんしけんじょうまえ</t>
    <phoneticPr fontId="1"/>
  </si>
  <si>
    <t>Chikusan Shikenjo mae</t>
  </si>
  <si>
    <t>牧場通</t>
  </si>
  <si>
    <t>ぼくじょうどおり</t>
    <phoneticPr fontId="1"/>
  </si>
  <si>
    <t>Bokujo dori</t>
  </si>
  <si>
    <t>病院南口通</t>
  </si>
  <si>
    <t>びょういんみなみぐちどおり</t>
    <phoneticPr fontId="1"/>
  </si>
  <si>
    <t>二本木</t>
  </si>
  <si>
    <t>にほんぎ</t>
    <phoneticPr fontId="1"/>
  </si>
  <si>
    <t>Nihongi</t>
  </si>
  <si>
    <t>野辺地前平</t>
  </si>
  <si>
    <t>のへじまえひら</t>
    <phoneticPr fontId="1"/>
  </si>
  <si>
    <t>Noheji Maehira</t>
  </si>
  <si>
    <t>野辺地駅入口</t>
  </si>
  <si>
    <t>のへじえきいりぐち</t>
  </si>
  <si>
    <t>Noheji Eki Iriguchi</t>
  </si>
  <si>
    <t>体育館前</t>
  </si>
  <si>
    <t>たいいくかんまえ</t>
  </si>
  <si>
    <t>Taiikukan mae</t>
  </si>
  <si>
    <t>老人福祉センター前</t>
  </si>
  <si>
    <t>ろうじんふくしせんたーまえ</t>
  </si>
  <si>
    <t>Rojin Fukushi center mae</t>
  </si>
  <si>
    <t>野辺地警察署前</t>
    <rPh sb="0" eb="3">
      <t>ノヘジ</t>
    </rPh>
    <rPh sb="3" eb="6">
      <t>ケイサツショ</t>
    </rPh>
    <phoneticPr fontId="1"/>
  </si>
  <si>
    <t>けいさつしょまえ</t>
    <phoneticPr fontId="1"/>
  </si>
  <si>
    <t>Noheji Keisatsusho mae</t>
  </si>
  <si>
    <t>野辺地小学校前</t>
    <rPh sb="4" eb="6">
      <t>ガッコウ</t>
    </rPh>
    <phoneticPr fontId="1"/>
  </si>
  <si>
    <t>のへじしょうがっこうまえ</t>
    <phoneticPr fontId="1"/>
  </si>
  <si>
    <t>Noheji Shogakko mae</t>
  </si>
  <si>
    <t>石神裏</t>
  </si>
  <si>
    <t>いしがみうら</t>
  </si>
  <si>
    <t>Isigamiura</t>
  </si>
  <si>
    <t>下袋中央</t>
  </si>
  <si>
    <t>しもふくろちゅうおう</t>
  </si>
  <si>
    <t>Shimohukuro Chuo</t>
  </si>
  <si>
    <t>青少年ホーム前</t>
  </si>
  <si>
    <t>せいしょうねんほーむまえ</t>
  </si>
  <si>
    <t>Seishonen Home mae</t>
  </si>
  <si>
    <t>大月平</t>
  </si>
  <si>
    <t>おおつきたい</t>
  </si>
  <si>
    <t>Otsukitai</t>
  </si>
  <si>
    <t>干草橋</t>
  </si>
  <si>
    <t>ひぐさばし</t>
    <phoneticPr fontId="1"/>
  </si>
  <si>
    <t>Higusabashi</t>
  </si>
  <si>
    <t>木明</t>
  </si>
  <si>
    <t>きみょう</t>
  </si>
  <si>
    <t>Kimyo</t>
  </si>
  <si>
    <t>鳥井平</t>
  </si>
  <si>
    <t>とりいたい</t>
  </si>
  <si>
    <t>Toriitai</t>
  </si>
  <si>
    <t>太田新田</t>
  </si>
  <si>
    <t>おおたしんでん</t>
  </si>
  <si>
    <t>Otashinden</t>
  </si>
  <si>
    <t>淋代入口</t>
  </si>
  <si>
    <t>さびしろいりぐち</t>
  </si>
  <si>
    <t>Sabishiro Iriguchi</t>
  </si>
  <si>
    <t>美須々入口</t>
  </si>
  <si>
    <t>みすずいりぐち</t>
  </si>
  <si>
    <t>Misuzu Iriguchi</t>
  </si>
  <si>
    <t>豊瀬</t>
  </si>
  <si>
    <t>とよせ</t>
  </si>
  <si>
    <t>Toyose</t>
  </si>
  <si>
    <t>千歳中学校前</t>
  </si>
  <si>
    <t>ちとせちゅうがっこうまえ</t>
  </si>
  <si>
    <t>Chitose Chugakko mae</t>
  </si>
  <si>
    <t>北千歳</t>
  </si>
  <si>
    <t>きたちとせ</t>
  </si>
  <si>
    <t>Kita Chitose</t>
  </si>
  <si>
    <t>六ヶ所高校前</t>
  </si>
  <si>
    <t>ろっかしょこうこうまえ</t>
  </si>
  <si>
    <t>Rokkasho Koko mae</t>
  </si>
  <si>
    <t>千歳小学校前</t>
  </si>
  <si>
    <t>ちとせしょうがっこうまえ</t>
  </si>
  <si>
    <t>Chitose Shogakko mae</t>
  </si>
  <si>
    <t>西千歳</t>
  </si>
  <si>
    <t>にしちとせ</t>
  </si>
  <si>
    <t>Nishi Chitose</t>
  </si>
  <si>
    <t>千歳</t>
  </si>
  <si>
    <t>ちとせ</t>
  </si>
  <si>
    <t>Chitose</t>
  </si>
  <si>
    <t>東千歳</t>
  </si>
  <si>
    <t>ひがしちとせ</t>
  </si>
  <si>
    <t>Higashi Chitose</t>
  </si>
  <si>
    <t>庄内</t>
  </si>
  <si>
    <t>しょうない</t>
    <phoneticPr fontId="1"/>
  </si>
  <si>
    <t>Shonai</t>
  </si>
  <si>
    <t>芋ヶ崎</t>
  </si>
  <si>
    <t>いもがさき</t>
  </si>
  <si>
    <t>Imogasaki</t>
  </si>
  <si>
    <t>六原</t>
  </si>
  <si>
    <t>ろくはら</t>
  </si>
  <si>
    <t>Rokuhara</t>
  </si>
  <si>
    <t>新城平</t>
  </si>
  <si>
    <t>しんじょうたいら</t>
  </si>
  <si>
    <t>Shinjotaira</t>
  </si>
  <si>
    <t>北新納屋</t>
  </si>
  <si>
    <t>きたしんなや</t>
  </si>
  <si>
    <t>Kita Shinnaya</t>
  </si>
  <si>
    <t>尾駮</t>
  </si>
  <si>
    <t>おぶち</t>
  </si>
  <si>
    <t>Obuchi</t>
  </si>
  <si>
    <t>尾駮中央</t>
  </si>
  <si>
    <t>おぶちちゅうおう</t>
  </si>
  <si>
    <t>Obuchi Chuo</t>
  </si>
  <si>
    <t>六ヶ所村役場前</t>
    <rPh sb="3" eb="4">
      <t>ムラ</t>
    </rPh>
    <rPh sb="4" eb="6">
      <t>ヤクバ</t>
    </rPh>
    <phoneticPr fontId="1"/>
  </si>
  <si>
    <t>ろっかしょむらやくばまえ</t>
    <phoneticPr fontId="1"/>
  </si>
  <si>
    <t>Rokkashomura Yakuba mae</t>
  </si>
  <si>
    <t>六ヶ所村医療センター</t>
  </si>
  <si>
    <t>ろっかしょむらいりょうせんたー</t>
  </si>
  <si>
    <t>Rokkashomura Iryo center</t>
  </si>
  <si>
    <t>ろっかしょこうこうまえ</t>
    <phoneticPr fontId="1"/>
  </si>
  <si>
    <t>ぼくじょうどおり</t>
  </si>
  <si>
    <t>野辺地警察署前</t>
    <rPh sb="0" eb="3">
      <t>ノヘジ</t>
    </rPh>
    <phoneticPr fontId="1"/>
  </si>
  <si>
    <t>のへじけいさつしょまえ</t>
    <phoneticPr fontId="1"/>
  </si>
  <si>
    <t>三沢駅東口</t>
  </si>
  <si>
    <t>みさわえきひがしぐち</t>
  </si>
  <si>
    <t>千代田町</t>
  </si>
  <si>
    <t>ちよだちょう</t>
    <phoneticPr fontId="1"/>
  </si>
  <si>
    <t>栄町（三沢）</t>
  </si>
  <si>
    <t>さかえちょう</t>
    <phoneticPr fontId="1"/>
  </si>
  <si>
    <t>月光通り</t>
  </si>
  <si>
    <t>げっこうとおり</t>
  </si>
  <si>
    <t>泉町西</t>
  </si>
  <si>
    <t>いずみちょうにし</t>
    <phoneticPr fontId="1"/>
  </si>
  <si>
    <t>アイスアリーナ前</t>
  </si>
  <si>
    <t>あいすありーなまえ</t>
  </si>
  <si>
    <t>ウィング三沢前</t>
  </si>
  <si>
    <t>うぃんぐみさわまえ</t>
  </si>
  <si>
    <t>堀口中学校前</t>
  </si>
  <si>
    <t>ほりぐちちゅうがっこうまえ</t>
  </si>
  <si>
    <t>こがね公園</t>
  </si>
  <si>
    <t>こがねこうえん</t>
  </si>
  <si>
    <t>堀口三丁目</t>
  </si>
  <si>
    <t>ほりぐちさんちょうめ</t>
  </si>
  <si>
    <t>東岡三沢三丁目</t>
  </si>
  <si>
    <t>ひがしおかみさわさんちょうめ</t>
  </si>
  <si>
    <t>三沢空港温泉前</t>
  </si>
  <si>
    <t>みさわくうこうおんせんまえ</t>
  </si>
  <si>
    <t>岡三沢七丁目</t>
  </si>
  <si>
    <t>おかみさわななちょうめ</t>
  </si>
  <si>
    <t>岡三沢二丁目</t>
  </si>
  <si>
    <t>おかみさわにちょうめ</t>
  </si>
  <si>
    <t>緑町（三沢）</t>
  </si>
  <si>
    <t>前平二丁目</t>
  </si>
  <si>
    <t>まえたいにちょうめ</t>
  </si>
  <si>
    <t>イオンモール下田</t>
  </si>
  <si>
    <t>いおんもーるしもだ</t>
  </si>
  <si>
    <t>十和田市現代美術館前</t>
    <rPh sb="0" eb="10">
      <t>トワダシゲンダイビジュツカンマエ</t>
    </rPh>
    <phoneticPr fontId="4"/>
  </si>
  <si>
    <t>中央病院</t>
    <rPh sb="0" eb="4">
      <t>チュウオウビョウイン</t>
    </rPh>
    <phoneticPr fontId="4"/>
  </si>
  <si>
    <t>官庁街通</t>
    <rPh sb="0" eb="3">
      <t>カンチョウガイ</t>
    </rPh>
    <rPh sb="3" eb="4">
      <t>ドオリ</t>
    </rPh>
    <phoneticPr fontId="4"/>
  </si>
  <si>
    <t>十丁目</t>
    <rPh sb="0" eb="3">
      <t>ジュッチョウメ</t>
    </rPh>
    <phoneticPr fontId="15"/>
  </si>
  <si>
    <t>元町</t>
    <rPh sb="0" eb="2">
      <t>モトマチ</t>
    </rPh>
    <phoneticPr fontId="15"/>
  </si>
  <si>
    <t>七高入口</t>
    <rPh sb="0" eb="1">
      <t>シチ</t>
    </rPh>
    <rPh sb="1" eb="2">
      <t>タカ</t>
    </rPh>
    <rPh sb="2" eb="4">
      <t>イリグチ</t>
    </rPh>
    <phoneticPr fontId="15"/>
  </si>
  <si>
    <t>七戸町文化村前</t>
    <rPh sb="0" eb="3">
      <t>シチノヘマチ</t>
    </rPh>
    <rPh sb="3" eb="5">
      <t>ブンカ</t>
    </rPh>
    <rPh sb="5" eb="7">
      <t>ムラマエ</t>
    </rPh>
    <phoneticPr fontId="15"/>
  </si>
  <si>
    <t>七戸十和田駅</t>
    <rPh sb="0" eb="2">
      <t>シチノヘ</t>
    </rPh>
    <rPh sb="2" eb="5">
      <t>トワダ</t>
    </rPh>
    <rPh sb="5" eb="6">
      <t>エキ</t>
    </rPh>
    <phoneticPr fontId="4"/>
  </si>
  <si>
    <t>七戸町役場前</t>
    <rPh sb="0" eb="3">
      <t>シチノヘマチ</t>
    </rPh>
    <rPh sb="3" eb="5">
      <t>ヤクバ</t>
    </rPh>
    <rPh sb="5" eb="6">
      <t>マエ</t>
    </rPh>
    <phoneticPr fontId="4"/>
  </si>
  <si>
    <t>滝沢入口</t>
    <rPh sb="0" eb="2">
      <t>タキサワ</t>
    </rPh>
    <rPh sb="2" eb="4">
      <t>イリグチ</t>
    </rPh>
    <phoneticPr fontId="15"/>
  </si>
  <si>
    <t>諏訪沢入口</t>
    <rPh sb="0" eb="2">
      <t>スワ</t>
    </rPh>
    <rPh sb="2" eb="3">
      <t>サワ</t>
    </rPh>
    <rPh sb="3" eb="4">
      <t>イ</t>
    </rPh>
    <rPh sb="4" eb="5">
      <t>クチ</t>
    </rPh>
    <phoneticPr fontId="15"/>
  </si>
  <si>
    <t>農協通り</t>
    <rPh sb="0" eb="2">
      <t>ノウキョウ</t>
    </rPh>
    <rPh sb="2" eb="3">
      <t>トオ</t>
    </rPh>
    <phoneticPr fontId="15"/>
  </si>
  <si>
    <t>後萢通</t>
    <rPh sb="0" eb="1">
      <t>ウシロ</t>
    </rPh>
    <rPh sb="1" eb="2">
      <t>ヤチ</t>
    </rPh>
    <rPh sb="2" eb="3">
      <t>トオ</t>
    </rPh>
    <phoneticPr fontId="15"/>
  </si>
  <si>
    <t>東跨線橋</t>
    <rPh sb="0" eb="1">
      <t>ヒガシ</t>
    </rPh>
    <rPh sb="1" eb="2">
      <t>コ</t>
    </rPh>
    <rPh sb="2" eb="3">
      <t>セン</t>
    </rPh>
    <rPh sb="3" eb="4">
      <t>ハシ</t>
    </rPh>
    <phoneticPr fontId="15"/>
  </si>
  <si>
    <t>八重田通り</t>
    <rPh sb="0" eb="2">
      <t>ヤエ</t>
    </rPh>
    <rPh sb="2" eb="3">
      <t>タ</t>
    </rPh>
    <rPh sb="3" eb="4">
      <t>トオ</t>
    </rPh>
    <phoneticPr fontId="15"/>
  </si>
  <si>
    <t>南造道</t>
    <rPh sb="0" eb="1">
      <t>ミナミ</t>
    </rPh>
    <rPh sb="1" eb="2">
      <t>ツク</t>
    </rPh>
    <rPh sb="2" eb="3">
      <t>ミチ</t>
    </rPh>
    <phoneticPr fontId="15"/>
  </si>
  <si>
    <t>岡造道一丁目</t>
    <rPh sb="0" eb="1">
      <t>オカ</t>
    </rPh>
    <rPh sb="1" eb="2">
      <t>ツク</t>
    </rPh>
    <rPh sb="2" eb="3">
      <t>ミチ</t>
    </rPh>
    <rPh sb="3" eb="4">
      <t>イッ</t>
    </rPh>
    <rPh sb="4" eb="6">
      <t>チョウメ</t>
    </rPh>
    <phoneticPr fontId="15"/>
  </si>
  <si>
    <t>ＮＴＴ青森支店前</t>
    <rPh sb="3" eb="5">
      <t>アオモリ</t>
    </rPh>
    <rPh sb="5" eb="7">
      <t>シテン</t>
    </rPh>
    <rPh sb="7" eb="8">
      <t>マエ</t>
    </rPh>
    <phoneticPr fontId="15"/>
  </si>
  <si>
    <t>県庁通</t>
    <rPh sb="0" eb="2">
      <t>ケンチョウ</t>
    </rPh>
    <rPh sb="2" eb="3">
      <t>ドオ</t>
    </rPh>
    <phoneticPr fontId="4"/>
  </si>
  <si>
    <t>新青森駅</t>
    <rPh sb="0" eb="1">
      <t>シン</t>
    </rPh>
    <rPh sb="1" eb="3">
      <t>アオモリ</t>
    </rPh>
    <rPh sb="3" eb="4">
      <t>エキ</t>
    </rPh>
    <phoneticPr fontId="15"/>
  </si>
  <si>
    <t>↓</t>
  </si>
  <si>
    <t>2　平日</t>
  </si>
  <si>
    <t>1.青森線(往路)</t>
  </si>
  <si>
    <t>1.青森線(往路)</t>
    <rPh sb="6" eb="8">
      <t>オウロ</t>
    </rPh>
    <phoneticPr fontId="1"/>
  </si>
  <si>
    <t>三本木営業所</t>
    <phoneticPr fontId="1"/>
  </si>
  <si>
    <t>往</t>
    <phoneticPr fontId="1"/>
  </si>
  <si>
    <t>1.青森線(復路)</t>
  </si>
  <si>
    <t>発</t>
  </si>
  <si>
    <t>着</t>
  </si>
  <si>
    <t>七戸十和田駅</t>
    <phoneticPr fontId="1"/>
  </si>
  <si>
    <t>青森駅前</t>
    <phoneticPr fontId="1"/>
  </si>
  <si>
    <t>05:59</t>
  </si>
  <si>
    <t>06:19</t>
  </si>
  <si>
    <t>06:20</t>
  </si>
  <si>
    <t>06:23</t>
  </si>
  <si>
    <t>06:25</t>
  </si>
  <si>
    <t>06:26</t>
  </si>
  <si>
    <t>06:27</t>
  </si>
  <si>
    <t>06:29</t>
  </si>
  <si>
    <t>06:30</t>
  </si>
  <si>
    <t>06:31</t>
  </si>
  <si>
    <t>06:32</t>
  </si>
  <si>
    <t>06:33</t>
  </si>
  <si>
    <t>06:35</t>
  </si>
  <si>
    <t>06:36</t>
  </si>
  <si>
    <t>06:37</t>
  </si>
  <si>
    <t>06:38</t>
  </si>
  <si>
    <t>06:39</t>
  </si>
  <si>
    <t>06:40</t>
  </si>
  <si>
    <t>06:42</t>
  </si>
  <si>
    <t>06:43</t>
  </si>
  <si>
    <t>06:48</t>
  </si>
  <si>
    <t>07:19</t>
  </si>
  <si>
    <t>07:25</t>
  </si>
  <si>
    <t>07:28</t>
  </si>
  <si>
    <t>07:29</t>
  </si>
  <si>
    <t>07:30</t>
  </si>
  <si>
    <t>07:32</t>
  </si>
  <si>
    <t>07:34</t>
  </si>
  <si>
    <t>07:42</t>
  </si>
  <si>
    <t>07:45</t>
  </si>
  <si>
    <t>07:48</t>
  </si>
  <si>
    <t>07:50</t>
  </si>
  <si>
    <t>07:52</t>
  </si>
  <si>
    <t>07:53</t>
  </si>
  <si>
    <t>07:55</t>
  </si>
  <si>
    <t>07:56</t>
  </si>
  <si>
    <t>07:58</t>
  </si>
  <si>
    <t>08:02</t>
  </si>
  <si>
    <t>12:59</t>
  </si>
  <si>
    <t>13:20</t>
  </si>
  <si>
    <t>13:21</t>
  </si>
  <si>
    <t>13:24</t>
  </si>
  <si>
    <t>13:26</t>
  </si>
  <si>
    <t>13:29</t>
  </si>
  <si>
    <t>13:30</t>
  </si>
  <si>
    <t>13:33</t>
  </si>
  <si>
    <t>13:34</t>
  </si>
  <si>
    <t>13:36</t>
  </si>
  <si>
    <t>13:38</t>
  </si>
  <si>
    <t>13:40</t>
  </si>
  <si>
    <t>13:42</t>
  </si>
  <si>
    <t>13:43</t>
  </si>
  <si>
    <t>13:44</t>
  </si>
  <si>
    <t>13:45</t>
  </si>
  <si>
    <t>13:46</t>
  </si>
  <si>
    <t>13:47</t>
  </si>
  <si>
    <t>13:48</t>
  </si>
  <si>
    <t>13:49</t>
  </si>
  <si>
    <t>13:53</t>
  </si>
  <si>
    <t>14:25</t>
  </si>
  <si>
    <t>14:31</t>
  </si>
  <si>
    <t>14:34</t>
  </si>
  <si>
    <t>14:35</t>
  </si>
  <si>
    <t>14:37</t>
  </si>
  <si>
    <t>14:40</t>
  </si>
  <si>
    <t>14:42</t>
  </si>
  <si>
    <t>14:44</t>
  </si>
  <si>
    <t>14:52</t>
  </si>
  <si>
    <t>14:55</t>
  </si>
  <si>
    <t>14:58</t>
  </si>
  <si>
    <t>15:00</t>
  </si>
  <si>
    <t>15:02</t>
  </si>
  <si>
    <t>15:03</t>
  </si>
  <si>
    <t>15:04</t>
  </si>
  <si>
    <t>15:05</t>
  </si>
  <si>
    <t>15:06</t>
  </si>
  <si>
    <t>15:07</t>
  </si>
  <si>
    <t>15:10</t>
  </si>
  <si>
    <t>15:12</t>
  </si>
  <si>
    <t>15:13</t>
  </si>
  <si>
    <t>15:15</t>
  </si>
  <si>
    <t>15:19</t>
  </si>
  <si>
    <t>17:49</t>
  </si>
  <si>
    <t>18:05</t>
  </si>
  <si>
    <t>18:06</t>
  </si>
  <si>
    <t>18:09</t>
  </si>
  <si>
    <t>18:16</t>
  </si>
  <si>
    <t>18:19</t>
  </si>
  <si>
    <t>18:20</t>
  </si>
  <si>
    <t>18:23</t>
  </si>
  <si>
    <t>18:24</t>
  </si>
  <si>
    <t>18:26</t>
  </si>
  <si>
    <t>18:28</t>
  </si>
  <si>
    <t>18:30</t>
  </si>
  <si>
    <t>18:32</t>
  </si>
  <si>
    <t>18:33</t>
  </si>
  <si>
    <t>18:34</t>
  </si>
  <si>
    <t>18:35</t>
  </si>
  <si>
    <t>18:36</t>
  </si>
  <si>
    <t>18:37</t>
  </si>
  <si>
    <t>18:38</t>
  </si>
  <si>
    <t>18:39</t>
  </si>
  <si>
    <t>18:43</t>
  </si>
  <si>
    <t>19:15</t>
  </si>
  <si>
    <t>19:21</t>
  </si>
  <si>
    <t>19:24</t>
  </si>
  <si>
    <t>19:25</t>
  </si>
  <si>
    <t>19:27</t>
  </si>
  <si>
    <t>19:32</t>
  </si>
  <si>
    <t>19:35</t>
  </si>
  <si>
    <t>19:37</t>
  </si>
  <si>
    <t>19:39</t>
  </si>
  <si>
    <t>19:47</t>
  </si>
  <si>
    <t>19:50</t>
  </si>
  <si>
    <t>19:53</t>
  </si>
  <si>
    <t>19:55</t>
  </si>
  <si>
    <t>19:57</t>
  </si>
  <si>
    <t>19:58</t>
  </si>
  <si>
    <t>19:59</t>
  </si>
  <si>
    <t>20:00</t>
  </si>
  <si>
    <t>20:01</t>
  </si>
  <si>
    <t>20:02</t>
  </si>
  <si>
    <t>20:05</t>
  </si>
  <si>
    <t>20:07</t>
  </si>
  <si>
    <t>20:08</t>
  </si>
  <si>
    <t>20:10</t>
  </si>
  <si>
    <t>20:14</t>
  </si>
  <si>
    <t>06:18</t>
  </si>
  <si>
    <t>06:21</t>
  </si>
  <si>
    <t>06:24</t>
  </si>
  <si>
    <t>06:28</t>
  </si>
  <si>
    <t>06:45</t>
  </si>
  <si>
    <t>06:50</t>
  </si>
  <si>
    <t>06:51</t>
  </si>
  <si>
    <t>06:52</t>
  </si>
  <si>
    <t>06:55</t>
  </si>
  <si>
    <t>06:58</t>
  </si>
  <si>
    <t>07:33</t>
  </si>
  <si>
    <t>07:35</t>
  </si>
  <si>
    <t>07:36</t>
  </si>
  <si>
    <t>07:38</t>
  </si>
  <si>
    <t>07:39</t>
  </si>
  <si>
    <t>07:40</t>
  </si>
  <si>
    <t>07:41</t>
  </si>
  <si>
    <t>07:43</t>
  </si>
  <si>
    <t>07:46</t>
  </si>
  <si>
    <t>07:47</t>
  </si>
  <si>
    <t>07:51</t>
  </si>
  <si>
    <t>08:17</t>
  </si>
  <si>
    <t>09:41</t>
  </si>
  <si>
    <t>09:44</t>
  </si>
  <si>
    <t>09:47</t>
  </si>
  <si>
    <t>09:48</t>
  </si>
  <si>
    <t>09:50</t>
  </si>
  <si>
    <t>09:53</t>
  </si>
  <si>
    <t>09:54</t>
  </si>
  <si>
    <t>09:55</t>
  </si>
  <si>
    <t>09:56</t>
  </si>
  <si>
    <t>09:57</t>
  </si>
  <si>
    <t>09:58</t>
  </si>
  <si>
    <t>10:00</t>
  </si>
  <si>
    <t>10:02</t>
  </si>
  <si>
    <t>10:05</t>
  </si>
  <si>
    <t>10:08</t>
  </si>
  <si>
    <t>10:15</t>
  </si>
  <si>
    <t>10:18</t>
  </si>
  <si>
    <t>10:20</t>
  </si>
  <si>
    <t>10:21</t>
  </si>
  <si>
    <t>10:23</t>
  </si>
  <si>
    <t>10:26</t>
  </si>
  <si>
    <t>10:29</t>
  </si>
  <si>
    <t>10:32</t>
  </si>
  <si>
    <t>11:03</t>
  </si>
  <si>
    <t>11:07</t>
  </si>
  <si>
    <t>11:08</t>
  </si>
  <si>
    <t>11:09</t>
  </si>
  <si>
    <t>11:10</t>
  </si>
  <si>
    <t>11:12</t>
  </si>
  <si>
    <t>11:13</t>
  </si>
  <si>
    <t>11:14</t>
  </si>
  <si>
    <t>11:15</t>
  </si>
  <si>
    <t>11:17</t>
  </si>
  <si>
    <t>11:19</t>
  </si>
  <si>
    <t>11:20</t>
  </si>
  <si>
    <t>11:21</t>
  </si>
  <si>
    <t>11:22</t>
  </si>
  <si>
    <t>11:24</t>
  </si>
  <si>
    <t>11:25</t>
  </si>
  <si>
    <t>11:27</t>
  </si>
  <si>
    <t>11:29</t>
  </si>
  <si>
    <t>11:30</t>
  </si>
  <si>
    <t>11:51</t>
  </si>
  <si>
    <t>17:41</t>
  </si>
  <si>
    <t>17:44</t>
  </si>
  <si>
    <t>17:47</t>
  </si>
  <si>
    <t>17:48</t>
  </si>
  <si>
    <t>17:50</t>
  </si>
  <si>
    <t>17:53</t>
  </si>
  <si>
    <t>17:54</t>
  </si>
  <si>
    <t>17:55</t>
  </si>
  <si>
    <t>17:56</t>
  </si>
  <si>
    <t>17:57</t>
  </si>
  <si>
    <t>17:58</t>
  </si>
  <si>
    <t>18:00</t>
  </si>
  <si>
    <t>18:02</t>
  </si>
  <si>
    <t>18:08</t>
  </si>
  <si>
    <t>18:15</t>
  </si>
  <si>
    <t>18:18</t>
  </si>
  <si>
    <t>18:21</t>
  </si>
  <si>
    <t>18:29</t>
  </si>
  <si>
    <t>19:03</t>
  </si>
  <si>
    <t>19:07</t>
  </si>
  <si>
    <t>19:08</t>
  </si>
  <si>
    <t>19:09</t>
  </si>
  <si>
    <t>19:10</t>
  </si>
  <si>
    <t>19:12</t>
  </si>
  <si>
    <t>19:13</t>
  </si>
  <si>
    <t>19:14</t>
  </si>
  <si>
    <t>19:17</t>
  </si>
  <si>
    <t>19:19</t>
  </si>
  <si>
    <t>19:20</t>
  </si>
  <si>
    <t>19:22</t>
  </si>
  <si>
    <t>19:29</t>
  </si>
  <si>
    <t>19:30</t>
  </si>
  <si>
    <t>19:51</t>
  </si>
  <si>
    <t>1</t>
    <phoneticPr fontId="1"/>
  </si>
  <si>
    <r>
      <t xml:space="preserve">1-2 </t>
    </r>
    <r>
      <rPr>
        <sz val="7"/>
        <color rgb="FF000000"/>
        <rFont val="ＭＳ 明朝"/>
        <family val="1"/>
        <charset val="128"/>
      </rPr>
      <t>青森市→(みちのく有料道路)→十和田市方面</t>
    </r>
    <phoneticPr fontId="1"/>
  </si>
  <si>
    <r>
      <t xml:space="preserve">1-1 </t>
    </r>
    <r>
      <rPr>
        <sz val="7"/>
        <color rgb="FF000000"/>
        <rFont val="ＭＳ 明朝"/>
        <family val="1"/>
        <charset val="128"/>
      </rPr>
      <t>十和田市→(みちのく有料道路)→青森市方面</t>
    </r>
    <phoneticPr fontId="1"/>
  </si>
  <si>
    <t>10101</t>
    <phoneticPr fontId="1"/>
  </si>
  <si>
    <t>10102</t>
    <phoneticPr fontId="1"/>
  </si>
  <si>
    <t>10201</t>
    <phoneticPr fontId="1"/>
  </si>
  <si>
    <t>10202</t>
    <phoneticPr fontId="1"/>
  </si>
  <si>
    <t>新青森駅</t>
    <phoneticPr fontId="1"/>
  </si>
  <si>
    <t>102</t>
    <phoneticPr fontId="1"/>
  </si>
  <si>
    <t>1　全日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</si>
</sst>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#,##0.0_ "/>
    <numFmt numFmtId="177" formatCode="h:mm;@"/>
    <numFmt numFmtId="178" formatCode="0_);[Red]\(0\)"/>
    <numFmt numFmtId="179" formatCode="yyyy/m/d;@"/>
  </numFmts>
  <fonts count="40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2"/>
      <name val="ＭＳ 明朝"/>
      <family val="1"/>
      <charset val="128"/>
    </font>
    <font>
      <sz val="14"/>
      <name val="ＭＳ 明朝"/>
      <family val="1"/>
      <charset val="128"/>
    </font>
    <font>
      <u/>
      <sz val="11"/>
      <color theme="10"/>
      <name val="ＭＳ Ｐ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11"/>
      <color theme="1" tint="0.34998626667073579"/>
      <name val="ＭＳ Ｐゴシック"/>
      <family val="2"/>
      <charset val="128"/>
      <scheme val="minor"/>
    </font>
    <font>
      <sz val="9"/>
      <color theme="1"/>
      <name val="ＭＳ Ｐゴシック"/>
      <family val="3"/>
      <charset val="128"/>
      <scheme val="minor"/>
    </font>
    <font>
      <sz val="14"/>
      <color theme="1"/>
      <name val="ＭＳ Ｐゴシック"/>
      <family val="2"/>
      <charset val="128"/>
      <scheme val="minor"/>
    </font>
    <font>
      <sz val="14"/>
      <color theme="1"/>
      <name val="ＭＳ Ｐゴシック"/>
      <family val="3"/>
      <charset val="128"/>
      <scheme val="minor"/>
    </font>
    <font>
      <b/>
      <sz val="11"/>
      <color theme="8" tint="-0.249977111117893"/>
      <name val="ＭＳ Ｐゴシック"/>
      <family val="3"/>
      <charset val="128"/>
      <scheme val="minor"/>
    </font>
    <font>
      <b/>
      <sz val="11"/>
      <color theme="3" tint="0.39997558519241921"/>
      <name val="ＭＳ Ｐゴシック"/>
      <family val="3"/>
      <charset val="128"/>
      <scheme val="minor"/>
    </font>
    <font>
      <b/>
      <sz val="9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color theme="9" tint="-0.249977111117893"/>
      <name val="ＭＳ Ｐゴシック"/>
      <family val="3"/>
      <charset val="128"/>
      <scheme val="minor"/>
    </font>
    <font>
      <sz val="11"/>
      <color theme="9" tint="-0.249977111117893"/>
      <name val="ＭＳ Ｐゴシック"/>
      <family val="2"/>
      <charset val="128"/>
      <scheme val="minor"/>
    </font>
    <font>
      <sz val="11"/>
      <color theme="9" tint="-0.249977111117893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b/>
      <sz val="9"/>
      <color rgb="FFFF0000"/>
      <name val="ＭＳ Ｐゴシック"/>
      <family val="3"/>
      <charset val="128"/>
      <scheme val="minor"/>
    </font>
    <font>
      <b/>
      <i/>
      <sz val="11"/>
      <color theme="1"/>
      <name val="ＭＳ Ｐゴシック"/>
      <family val="3"/>
      <charset val="128"/>
      <scheme val="minor"/>
    </font>
    <font>
      <sz val="9"/>
      <color indexed="81"/>
      <name val="ＭＳ Ｐゴシック"/>
      <family val="3"/>
      <charset val="128"/>
    </font>
    <font>
      <sz val="20"/>
      <color theme="1"/>
      <name val="ＭＳ Ｐゴシック"/>
      <family val="2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i/>
      <sz val="11"/>
      <color theme="1"/>
      <name val="ＭＳ Ｐゴシック"/>
      <family val="3"/>
      <charset val="128"/>
      <scheme val="minor"/>
    </font>
    <font>
      <sz val="9"/>
      <color theme="1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1"/>
      <color rgb="FFF7EFFF"/>
      <name val="ＭＳ Ｐゴシック"/>
      <family val="3"/>
      <charset val="128"/>
      <scheme val="minor"/>
    </font>
    <font>
      <sz val="10.5"/>
      <color rgb="FF000000"/>
      <name val="ＭＳ ゴシック"/>
      <family val="3"/>
      <charset val="128"/>
    </font>
    <font>
      <sz val="11"/>
      <color indexed="8"/>
      <name val="ＭＳ Ｐゴシック"/>
      <family val="3"/>
      <charset val="128"/>
      <scheme val="minor"/>
    </font>
    <font>
      <sz val="7"/>
      <color rgb="FF000000"/>
      <name val="Roboto"/>
    </font>
    <font>
      <sz val="7"/>
      <color rgb="FF000000"/>
      <name val="ＭＳ 明朝"/>
      <family val="1"/>
      <charset val="128"/>
    </font>
  </fonts>
  <fills count="1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gray125">
        <bgColor auto="1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E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2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/>
      <diagonal style="thin">
        <color auto="1"/>
      </diagonal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 diagonalDown="1">
      <left style="thin">
        <color indexed="64"/>
      </left>
      <right style="thin">
        <color indexed="64"/>
      </right>
      <top/>
      <bottom/>
      <diagonal style="thin">
        <color indexed="64"/>
      </diagonal>
    </border>
  </borders>
  <cellStyleXfs count="7">
    <xf numFmtId="0" fontId="0" fillId="0" borderId="0">
      <alignment vertical="center"/>
    </xf>
    <xf numFmtId="0" fontId="2" fillId="0" borderId="0">
      <alignment vertical="center"/>
    </xf>
    <xf numFmtId="38" fontId="3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5" fillId="0" borderId="0">
      <alignment vertical="center"/>
    </xf>
    <xf numFmtId="0" fontId="6" fillId="0" borderId="0" applyNumberFormat="0" applyFill="0" applyBorder="0" applyAlignment="0" applyProtection="0">
      <alignment vertical="top"/>
      <protection locked="0"/>
    </xf>
  </cellStyleXfs>
  <cellXfs count="222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vertical="center" shrinkToFit="1"/>
    </xf>
    <xf numFmtId="0" fontId="0" fillId="2" borderId="1" xfId="0" applyFill="1" applyBorder="1" applyAlignment="1">
      <alignment horizontal="center" vertical="center" shrinkToFit="1"/>
    </xf>
    <xf numFmtId="0" fontId="0" fillId="0" borderId="1" xfId="0" applyBorder="1" applyAlignment="1">
      <alignment vertical="center" shrinkToFit="1"/>
    </xf>
    <xf numFmtId="177" fontId="0" fillId="0" borderId="1" xfId="0" applyNumberFormat="1" applyBorder="1" applyAlignment="1">
      <alignment vertical="center" shrinkToFit="1"/>
    </xf>
    <xf numFmtId="0" fontId="6" fillId="0" borderId="1" xfId="6" applyBorder="1" applyAlignment="1" applyProtection="1">
      <alignment vertical="center" shrinkToFit="1"/>
    </xf>
    <xf numFmtId="0" fontId="0" fillId="3" borderId="1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10" fillId="0" borderId="1" xfId="0" applyFont="1" applyBorder="1" applyAlignment="1">
      <alignment vertical="center" shrinkToFit="1"/>
    </xf>
    <xf numFmtId="0" fontId="0" fillId="4" borderId="1" xfId="0" applyFill="1" applyBorder="1" applyAlignment="1">
      <alignment vertical="center" shrinkToFit="1"/>
    </xf>
    <xf numFmtId="0" fontId="0" fillId="4" borderId="1" xfId="0" applyFill="1" applyBorder="1" applyAlignment="1">
      <alignment horizontal="right" vertical="center" shrinkToFit="1"/>
    </xf>
    <xf numFmtId="0" fontId="0" fillId="2" borderId="3" xfId="0" applyFill="1" applyBorder="1" applyAlignment="1">
      <alignment horizontal="center" vertical="center" shrinkToFit="1"/>
    </xf>
    <xf numFmtId="177" fontId="0" fillId="0" borderId="3" xfId="0" applyNumberFormat="1" applyBorder="1" applyAlignment="1">
      <alignment vertical="center" shrinkToFit="1"/>
    </xf>
    <xf numFmtId="0" fontId="0" fillId="2" borderId="4" xfId="0" applyFill="1" applyBorder="1" applyAlignment="1">
      <alignment horizontal="center" vertical="center" shrinkToFit="1"/>
    </xf>
    <xf numFmtId="176" fontId="0" fillId="4" borderId="4" xfId="0" applyNumberFormat="1" applyFill="1" applyBorder="1" applyAlignment="1">
      <alignment vertical="center" shrinkToFit="1"/>
    </xf>
    <xf numFmtId="176" fontId="0" fillId="0" borderId="4" xfId="0" applyNumberFormat="1" applyBorder="1" applyAlignment="1">
      <alignment vertical="center" shrinkToFit="1"/>
    </xf>
    <xf numFmtId="0" fontId="0" fillId="2" borderId="5" xfId="0" applyFill="1" applyBorder="1" applyAlignment="1">
      <alignment horizontal="center" vertical="center" shrinkToFit="1"/>
    </xf>
    <xf numFmtId="0" fontId="6" fillId="5" borderId="6" xfId="6" applyFill="1" applyBorder="1" applyAlignment="1">
      <alignment horizontal="center" vertical="center"/>
      <protection locked="0"/>
    </xf>
    <xf numFmtId="0" fontId="11" fillId="6" borderId="0" xfId="0" applyFont="1" applyFill="1" applyProtection="1">
      <alignment vertical="center"/>
      <protection locked="0"/>
    </xf>
    <xf numFmtId="0" fontId="0" fillId="6" borderId="0" xfId="0" applyFill="1" applyProtection="1">
      <alignment vertical="center"/>
      <protection locked="0"/>
    </xf>
    <xf numFmtId="0" fontId="0" fillId="6" borderId="0" xfId="0" applyFill="1">
      <alignment vertical="center"/>
    </xf>
    <xf numFmtId="0" fontId="0" fillId="6" borderId="0" xfId="0" applyFill="1" applyAlignment="1" applyProtection="1">
      <alignment horizontal="right" vertical="center"/>
      <protection locked="0"/>
    </xf>
    <xf numFmtId="0" fontId="12" fillId="0" borderId="6" xfId="0" applyFont="1" applyBorder="1" applyProtection="1">
      <alignment vertical="center"/>
      <protection locked="0"/>
    </xf>
    <xf numFmtId="0" fontId="14" fillId="6" borderId="0" xfId="0" applyFont="1" applyFill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15" fillId="6" borderId="0" xfId="0" applyFont="1" applyFill="1" applyAlignment="1" applyProtection="1">
      <alignment horizontal="left" vertical="center"/>
      <protection locked="0"/>
    </xf>
    <xf numFmtId="0" fontId="16" fillId="6" borderId="0" xfId="0" applyFont="1" applyFill="1" applyAlignment="1" applyProtection="1">
      <alignment horizontal="left" vertical="center" wrapText="1"/>
      <protection locked="0"/>
    </xf>
    <xf numFmtId="0" fontId="17" fillId="6" borderId="0" xfId="0" applyFont="1" applyFill="1" applyAlignment="1" applyProtection="1">
      <alignment horizontal="left" vertical="center" wrapText="1"/>
      <protection locked="0"/>
    </xf>
    <xf numFmtId="0" fontId="17" fillId="6" borderId="0" xfId="0" applyFont="1" applyFill="1" applyAlignment="1">
      <alignment horizontal="left" vertical="center" wrapText="1"/>
    </xf>
    <xf numFmtId="0" fontId="18" fillId="6" borderId="0" xfId="0" applyFont="1" applyFill="1" applyProtection="1">
      <alignment vertical="center"/>
      <protection locked="0"/>
    </xf>
    <xf numFmtId="0" fontId="15" fillId="6" borderId="10" xfId="0" applyFont="1" applyFill="1" applyBorder="1" applyAlignment="1" applyProtection="1">
      <alignment horizontal="left" vertical="center"/>
      <protection locked="0"/>
    </xf>
    <xf numFmtId="0" fontId="8" fillId="6" borderId="0" xfId="0" applyFont="1" applyFill="1" applyProtection="1">
      <alignment vertical="center"/>
      <protection locked="0"/>
    </xf>
    <xf numFmtId="0" fontId="6" fillId="5" borderId="0" xfId="6" applyFill="1" applyAlignment="1" applyProtection="1">
      <alignment vertical="center"/>
    </xf>
    <xf numFmtId="0" fontId="19" fillId="6" borderId="0" xfId="0" applyFont="1" applyFill="1" applyProtection="1">
      <alignment vertical="center"/>
      <protection locked="0"/>
    </xf>
    <xf numFmtId="0" fontId="17" fillId="3" borderId="11" xfId="0" applyFont="1" applyFill="1" applyBorder="1" applyAlignment="1" applyProtection="1">
      <alignment horizontal="center" vertical="center" wrapText="1"/>
      <protection locked="0"/>
    </xf>
    <xf numFmtId="0" fontId="11" fillId="3" borderId="11" xfId="0" applyFont="1" applyFill="1" applyBorder="1" applyAlignment="1" applyProtection="1">
      <alignment horizontal="center" vertical="center" wrapText="1"/>
      <protection locked="0"/>
    </xf>
    <xf numFmtId="0" fontId="0" fillId="3" borderId="11" xfId="0" applyFill="1" applyBorder="1" applyAlignment="1" applyProtection="1">
      <alignment horizontal="center" vertical="center" wrapText="1"/>
      <protection locked="0"/>
    </xf>
    <xf numFmtId="0" fontId="0" fillId="3" borderId="11" xfId="0" applyFill="1" applyBorder="1" applyAlignment="1">
      <alignment horizontal="center" vertical="center" wrapText="1"/>
    </xf>
    <xf numFmtId="0" fontId="0" fillId="3" borderId="11" xfId="0" applyFill="1" applyBorder="1" applyProtection="1">
      <alignment vertical="center"/>
      <protection locked="0"/>
    </xf>
    <xf numFmtId="0" fontId="0" fillId="3" borderId="9" xfId="0" applyFill="1" applyBorder="1" applyAlignment="1" applyProtection="1">
      <alignment horizontal="center" vertical="center"/>
      <protection locked="0"/>
    </xf>
    <xf numFmtId="0" fontId="0" fillId="3" borderId="6" xfId="0" applyFill="1" applyBorder="1" applyAlignment="1" applyProtection="1">
      <alignment horizontal="center" vertical="center"/>
      <protection locked="0"/>
    </xf>
    <xf numFmtId="0" fontId="17" fillId="3" borderId="12" xfId="0" applyFont="1" applyFill="1" applyBorder="1" applyAlignment="1" applyProtection="1">
      <alignment horizontal="center" vertical="center" wrapText="1"/>
      <protection locked="0"/>
    </xf>
    <xf numFmtId="0" fontId="11" fillId="3" borderId="12" xfId="0" applyFont="1" applyFill="1" applyBorder="1" applyAlignment="1" applyProtection="1">
      <alignment horizontal="center" vertical="center" wrapText="1"/>
      <protection locked="0"/>
    </xf>
    <xf numFmtId="0" fontId="0" fillId="3" borderId="12" xfId="0" applyFill="1" applyBorder="1" applyAlignment="1" applyProtection="1">
      <alignment horizontal="center" vertical="center" wrapText="1"/>
      <protection locked="0"/>
    </xf>
    <xf numFmtId="0" fontId="0" fillId="3" borderId="12" xfId="0" applyFill="1" applyBorder="1" applyAlignment="1">
      <alignment horizontal="center" vertical="center" wrapText="1"/>
    </xf>
    <xf numFmtId="49" fontId="9" fillId="0" borderId="6" xfId="0" applyNumberFormat="1" applyFont="1" applyBorder="1" applyAlignment="1" applyProtection="1">
      <alignment horizontal="center" vertical="center"/>
      <protection locked="0"/>
    </xf>
    <xf numFmtId="0" fontId="22" fillId="3" borderId="12" xfId="0" applyFont="1" applyFill="1" applyBorder="1" applyAlignment="1" applyProtection="1">
      <alignment horizontal="right" vertical="center"/>
      <protection locked="0"/>
    </xf>
    <xf numFmtId="0" fontId="23" fillId="3" borderId="12" xfId="0" applyFont="1" applyFill="1" applyBorder="1" applyAlignment="1" applyProtection="1">
      <alignment horizontal="right" vertical="center"/>
      <protection locked="0"/>
    </xf>
    <xf numFmtId="0" fontId="21" fillId="3" borderId="12" xfId="0" applyFont="1" applyFill="1" applyBorder="1" applyAlignment="1" applyProtection="1">
      <alignment horizontal="right" vertical="center"/>
      <protection locked="0"/>
    </xf>
    <xf numFmtId="0" fontId="21" fillId="3" borderId="12" xfId="0" applyFont="1" applyFill="1" applyBorder="1" applyAlignment="1">
      <alignment horizontal="right" vertical="center"/>
    </xf>
    <xf numFmtId="49" fontId="9" fillId="0" borderId="12" xfId="0" applyNumberFormat="1" applyFont="1" applyBorder="1" applyAlignment="1" applyProtection="1">
      <alignment horizontal="right" vertical="center"/>
      <protection locked="0"/>
    </xf>
    <xf numFmtId="49" fontId="7" fillId="0" borderId="12" xfId="0" applyNumberFormat="1" applyFont="1" applyBorder="1" applyAlignment="1" applyProtection="1">
      <alignment horizontal="right" vertical="center"/>
      <protection locked="0"/>
    </xf>
    <xf numFmtId="0" fontId="16" fillId="3" borderId="6" xfId="0" applyFont="1" applyFill="1" applyBorder="1" applyAlignment="1" applyProtection="1">
      <alignment vertical="center" wrapText="1"/>
      <protection locked="0"/>
    </xf>
    <xf numFmtId="0" fontId="17" fillId="3" borderId="6" xfId="0" applyFont="1" applyFill="1" applyBorder="1" applyProtection="1">
      <alignment vertical="center"/>
      <protection locked="0"/>
    </xf>
    <xf numFmtId="0" fontId="24" fillId="7" borderId="6" xfId="0" applyFont="1" applyFill="1" applyBorder="1" applyAlignment="1">
      <alignment vertical="center" wrapText="1"/>
    </xf>
    <xf numFmtId="0" fontId="2" fillId="3" borderId="6" xfId="0" applyFont="1" applyFill="1" applyBorder="1" applyAlignment="1" applyProtection="1">
      <alignment vertical="center" wrapText="1"/>
      <protection locked="0"/>
    </xf>
    <xf numFmtId="0" fontId="0" fillId="0" borderId="11" xfId="0" applyBorder="1" applyAlignment="1" applyProtection="1">
      <alignment vertical="center" wrapText="1"/>
      <protection locked="0"/>
    </xf>
    <xf numFmtId="0" fontId="0" fillId="0" borderId="12" xfId="0" applyBorder="1" applyProtection="1">
      <alignment vertical="center"/>
      <protection locked="0"/>
    </xf>
    <xf numFmtId="0" fontId="11" fillId="0" borderId="11" xfId="0" applyFont="1" applyBorder="1" applyProtection="1">
      <alignment vertical="center"/>
      <protection locked="0"/>
    </xf>
    <xf numFmtId="0" fontId="0" fillId="0" borderId="11" xfId="0" applyBorder="1" applyProtection="1">
      <alignment vertical="center"/>
      <protection locked="0"/>
    </xf>
    <xf numFmtId="0" fontId="0" fillId="7" borderId="11" xfId="0" applyFill="1" applyBorder="1" applyAlignment="1">
      <alignment horizontal="right" vertical="center"/>
    </xf>
    <xf numFmtId="0" fontId="0" fillId="7" borderId="12" xfId="0" applyFill="1" applyBorder="1">
      <alignment vertical="center"/>
    </xf>
    <xf numFmtId="49" fontId="0" fillId="0" borderId="13" xfId="0" applyNumberFormat="1" applyBorder="1" applyAlignment="1" applyProtection="1">
      <alignment horizontal="right" vertical="center"/>
      <protection locked="0"/>
    </xf>
    <xf numFmtId="49" fontId="0" fillId="0" borderId="14" xfId="0" applyNumberFormat="1" applyBorder="1" applyAlignment="1" applyProtection="1">
      <alignment horizontal="right" vertical="center"/>
      <protection locked="0"/>
    </xf>
    <xf numFmtId="0" fontId="11" fillId="0" borderId="12" xfId="0" applyFont="1" applyBorder="1" applyProtection="1">
      <alignment vertical="center"/>
      <protection locked="0"/>
    </xf>
    <xf numFmtId="0" fontId="0" fillId="8" borderId="12" xfId="0" applyFill="1" applyBorder="1" applyProtection="1">
      <alignment vertical="center"/>
      <protection locked="0"/>
    </xf>
    <xf numFmtId="0" fontId="0" fillId="7" borderId="12" xfId="0" applyFill="1" applyBorder="1" applyAlignment="1">
      <alignment horizontal="right" vertical="center"/>
    </xf>
    <xf numFmtId="49" fontId="0" fillId="0" borderId="10" xfId="0" applyNumberFormat="1" applyBorder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right"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7" borderId="15" xfId="0" applyFill="1" applyBorder="1" applyAlignment="1">
      <alignment horizontal="right" vertical="center"/>
    </xf>
    <xf numFmtId="0" fontId="0" fillId="7" borderId="15" xfId="0" applyFill="1" applyBorder="1">
      <alignment vertical="center"/>
    </xf>
    <xf numFmtId="0" fontId="0" fillId="6" borderId="0" xfId="0" applyFill="1" applyAlignment="1" applyProtection="1">
      <alignment horizontal="center" vertical="center"/>
      <protection locked="0"/>
    </xf>
    <xf numFmtId="0" fontId="11" fillId="6" borderId="0" xfId="0" applyFont="1" applyFill="1" applyAlignment="1" applyProtection="1">
      <alignment horizontal="center" vertical="center"/>
      <protection locked="0"/>
    </xf>
    <xf numFmtId="0" fontId="0" fillId="6" borderId="0" xfId="0" applyFill="1" applyAlignment="1">
      <alignment horizontal="center" vertical="center"/>
    </xf>
    <xf numFmtId="0" fontId="17" fillId="10" borderId="11" xfId="0" applyFont="1" applyFill="1" applyBorder="1" applyAlignment="1" applyProtection="1">
      <alignment horizontal="center" vertical="center" wrapText="1"/>
      <protection locked="0"/>
    </xf>
    <xf numFmtId="0" fontId="11" fillId="10" borderId="11" xfId="0" applyFont="1" applyFill="1" applyBorder="1" applyAlignment="1" applyProtection="1">
      <alignment horizontal="center" vertical="center" wrapText="1"/>
      <protection locked="0"/>
    </xf>
    <xf numFmtId="0" fontId="0" fillId="10" borderId="11" xfId="0" applyFill="1" applyBorder="1" applyAlignment="1" applyProtection="1">
      <alignment horizontal="center" vertical="center" wrapText="1"/>
      <protection locked="0"/>
    </xf>
    <xf numFmtId="0" fontId="0" fillId="10" borderId="11" xfId="0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9" xfId="0" applyFill="1" applyBorder="1" applyAlignment="1" applyProtection="1">
      <alignment horizontal="center" vertical="center"/>
      <protection locked="0"/>
    </xf>
    <xf numFmtId="0" fontId="17" fillId="10" borderId="12" xfId="0" applyFont="1" applyFill="1" applyBorder="1" applyAlignment="1" applyProtection="1">
      <alignment horizontal="center" vertical="center" wrapText="1"/>
      <protection locked="0"/>
    </xf>
    <xf numFmtId="0" fontId="11" fillId="10" borderId="12" xfId="0" applyFont="1" applyFill="1" applyBorder="1" applyAlignment="1" applyProtection="1">
      <alignment horizontal="center" vertical="center" wrapText="1"/>
      <protection locked="0"/>
    </xf>
    <xf numFmtId="0" fontId="0" fillId="10" borderId="12" xfId="0" applyFill="1" applyBorder="1" applyAlignment="1" applyProtection="1">
      <alignment horizontal="center" vertical="center" wrapText="1"/>
      <protection locked="0"/>
    </xf>
    <xf numFmtId="0" fontId="0" fillId="10" borderId="12" xfId="0" applyFill="1" applyBorder="1" applyAlignment="1">
      <alignment horizontal="center" vertical="center" wrapText="1"/>
    </xf>
    <xf numFmtId="0" fontId="21" fillId="10" borderId="12" xfId="0" applyFont="1" applyFill="1" applyBorder="1" applyAlignment="1" applyProtection="1">
      <alignment horizontal="right" vertical="center"/>
      <protection locked="0"/>
    </xf>
    <xf numFmtId="0" fontId="22" fillId="10" borderId="12" xfId="0" applyFont="1" applyFill="1" applyBorder="1" applyAlignment="1" applyProtection="1">
      <alignment horizontal="right" vertical="center"/>
      <protection locked="0"/>
    </xf>
    <xf numFmtId="0" fontId="23" fillId="10" borderId="12" xfId="0" applyFont="1" applyFill="1" applyBorder="1" applyAlignment="1" applyProtection="1">
      <alignment horizontal="right" vertical="center"/>
      <protection locked="0"/>
    </xf>
    <xf numFmtId="0" fontId="21" fillId="10" borderId="12" xfId="0" applyFont="1" applyFill="1" applyBorder="1" applyAlignment="1">
      <alignment horizontal="right" vertical="center"/>
    </xf>
    <xf numFmtId="0" fontId="17" fillId="10" borderId="6" xfId="0" applyFont="1" applyFill="1" applyBorder="1" applyAlignment="1" applyProtection="1">
      <alignment horizontal="center" vertical="center"/>
      <protection locked="0"/>
    </xf>
    <xf numFmtId="0" fontId="16" fillId="10" borderId="6" xfId="0" applyFont="1" applyFill="1" applyBorder="1" applyAlignment="1" applyProtection="1">
      <alignment vertical="center" wrapText="1"/>
      <protection locked="0"/>
    </xf>
    <xf numFmtId="0" fontId="17" fillId="10" borderId="6" xfId="0" applyFont="1" applyFill="1" applyBorder="1" applyProtection="1">
      <alignment vertical="center"/>
      <protection locked="0"/>
    </xf>
    <xf numFmtId="0" fontId="2" fillId="10" borderId="6" xfId="0" applyFont="1" applyFill="1" applyBorder="1" applyAlignment="1" applyProtection="1">
      <alignment vertical="center" wrapText="1"/>
      <protection locked="0"/>
    </xf>
    <xf numFmtId="0" fontId="11" fillId="0" borderId="0" xfId="0" applyFont="1" applyProtection="1">
      <alignment vertical="center"/>
      <protection locked="0"/>
    </xf>
    <xf numFmtId="0" fontId="13" fillId="6" borderId="0" xfId="0" applyFont="1" applyFill="1">
      <alignment vertical="center"/>
    </xf>
    <xf numFmtId="0" fontId="11" fillId="0" borderId="15" xfId="0" applyFont="1" applyBorder="1" applyProtection="1">
      <alignment vertical="center"/>
      <protection locked="0"/>
    </xf>
    <xf numFmtId="49" fontId="0" fillId="0" borderId="16" xfId="0" applyNumberFormat="1" applyBorder="1" applyAlignment="1" applyProtection="1">
      <alignment horizontal="right" vertical="center"/>
      <protection locked="0"/>
    </xf>
    <xf numFmtId="49" fontId="0" fillId="0" borderId="17" xfId="0" applyNumberFormat="1" applyBorder="1" applyAlignment="1" applyProtection="1">
      <alignment horizontal="right" vertical="center"/>
      <protection locked="0"/>
    </xf>
    <xf numFmtId="0" fontId="27" fillId="6" borderId="0" xfId="0" applyFont="1" applyFill="1">
      <alignment vertical="center"/>
    </xf>
    <xf numFmtId="0" fontId="0" fillId="7" borderId="9" xfId="0" applyFill="1" applyBorder="1" applyAlignment="1" applyProtection="1">
      <alignment horizontal="center" vertical="center"/>
      <protection locked="0"/>
    </xf>
    <xf numFmtId="0" fontId="0" fillId="7" borderId="6" xfId="0" applyFill="1" applyBorder="1" applyAlignment="1" applyProtection="1">
      <alignment horizontal="center" vertical="center"/>
      <protection locked="0"/>
    </xf>
    <xf numFmtId="0" fontId="8" fillId="3" borderId="12" xfId="0" applyFont="1" applyFill="1" applyBorder="1" applyProtection="1">
      <alignment vertical="center"/>
      <protection locked="0"/>
    </xf>
    <xf numFmtId="0" fontId="8" fillId="10" borderId="12" xfId="0" applyFont="1" applyFill="1" applyBorder="1" applyProtection="1">
      <alignment vertical="center"/>
      <protection locked="0"/>
    </xf>
    <xf numFmtId="0" fontId="9" fillId="0" borderId="1" xfId="0" applyFont="1" applyBorder="1" applyAlignment="1">
      <alignment vertical="center" shrinkToFit="1"/>
    </xf>
    <xf numFmtId="0" fontId="17" fillId="6" borderId="0" xfId="0" applyFont="1" applyFill="1">
      <alignment vertical="center"/>
    </xf>
    <xf numFmtId="0" fontId="17" fillId="11" borderId="18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 shrinkToFit="1"/>
    </xf>
    <xf numFmtId="0" fontId="7" fillId="0" borderId="1" xfId="0" applyFont="1" applyBorder="1" applyAlignment="1">
      <alignment vertical="center" shrinkToFit="1"/>
    </xf>
    <xf numFmtId="0" fontId="7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 shrinkToFit="1"/>
    </xf>
    <xf numFmtId="0" fontId="7" fillId="0" borderId="5" xfId="0" applyFont="1" applyBorder="1" applyAlignment="1">
      <alignment vertical="center" shrinkToFit="1"/>
    </xf>
    <xf numFmtId="0" fontId="0" fillId="0" borderId="19" xfId="0" applyBorder="1" applyProtection="1">
      <alignment vertical="center"/>
      <protection locked="0"/>
    </xf>
    <xf numFmtId="0" fontId="0" fillId="5" borderId="1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30" fillId="12" borderId="1" xfId="0" applyFont="1" applyFill="1" applyBorder="1" applyAlignment="1">
      <alignment horizontal="center" vertical="center"/>
    </xf>
    <xf numFmtId="0" fontId="29" fillId="12" borderId="1" xfId="0" applyFont="1" applyFill="1" applyBorder="1" applyAlignment="1">
      <alignment vertical="center" shrinkToFit="1"/>
    </xf>
    <xf numFmtId="0" fontId="30" fillId="12" borderId="1" xfId="0" applyFont="1" applyFill="1" applyBorder="1" applyAlignment="1">
      <alignment horizontal="center" vertical="center" shrinkToFit="1"/>
    </xf>
    <xf numFmtId="0" fontId="0" fillId="13" borderId="1" xfId="0" applyFill="1" applyBorder="1" applyAlignment="1">
      <alignment horizontal="center" vertical="center" shrinkToFit="1"/>
    </xf>
    <xf numFmtId="0" fontId="31" fillId="14" borderId="1" xfId="0" applyFont="1" applyFill="1" applyBorder="1" applyAlignment="1">
      <alignment horizontal="center" vertical="center" shrinkToFit="1"/>
    </xf>
    <xf numFmtId="0" fontId="30" fillId="12" borderId="2" xfId="0" applyFont="1" applyFill="1" applyBorder="1" applyAlignment="1">
      <alignment horizontal="center" vertical="center" shrinkToFit="1"/>
    </xf>
    <xf numFmtId="0" fontId="0" fillId="5" borderId="1" xfId="0" applyFill="1" applyBorder="1" applyAlignment="1">
      <alignment horizontal="center" vertical="center" shrinkToFit="1"/>
    </xf>
    <xf numFmtId="0" fontId="29" fillId="12" borderId="1" xfId="0" applyFont="1" applyFill="1" applyBorder="1" applyAlignment="1">
      <alignment horizontal="center" vertical="center" shrinkToFit="1"/>
    </xf>
    <xf numFmtId="0" fontId="30" fillId="12" borderId="2" xfId="0" applyFont="1" applyFill="1" applyBorder="1" applyAlignment="1">
      <alignment horizontal="center" vertical="center" wrapText="1" shrinkToFit="1"/>
    </xf>
    <xf numFmtId="0" fontId="0" fillId="2" borderId="2" xfId="0" applyFill="1" applyBorder="1" applyAlignment="1">
      <alignment horizontal="center" vertical="center" wrapText="1" shrinkToFit="1"/>
    </xf>
    <xf numFmtId="0" fontId="0" fillId="2" borderId="2" xfId="0" applyFill="1" applyBorder="1" applyAlignment="1">
      <alignment horizontal="center" vertical="center" shrinkToFit="1"/>
    </xf>
    <xf numFmtId="179" fontId="0" fillId="0" borderId="1" xfId="0" applyNumberFormat="1" applyBorder="1" applyAlignment="1">
      <alignment vertical="center" shrinkToFit="1"/>
    </xf>
    <xf numFmtId="179" fontId="9" fillId="0" borderId="1" xfId="0" applyNumberFormat="1" applyFont="1" applyBorder="1" applyAlignment="1">
      <alignment vertical="center" shrinkToFit="1"/>
    </xf>
    <xf numFmtId="0" fontId="32" fillId="6" borderId="0" xfId="0" applyFont="1" applyFill="1" applyAlignment="1">
      <alignment horizontal="right" vertical="center"/>
    </xf>
    <xf numFmtId="0" fontId="31" fillId="14" borderId="1" xfId="0" applyFont="1" applyFill="1" applyBorder="1" applyAlignment="1">
      <alignment horizontal="center" vertical="center" wrapText="1" shrinkToFit="1"/>
    </xf>
    <xf numFmtId="14" fontId="0" fillId="5" borderId="1" xfId="0" applyNumberFormat="1" applyFill="1" applyBorder="1" applyAlignment="1">
      <alignment horizontal="center" vertical="center"/>
    </xf>
    <xf numFmtId="14" fontId="0" fillId="0" borderId="0" xfId="0" applyNumberFormat="1">
      <alignment vertical="center"/>
    </xf>
    <xf numFmtId="14" fontId="29" fillId="12" borderId="1" xfId="0" applyNumberFormat="1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center" shrinkToFit="1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 shrinkToFit="1"/>
    </xf>
    <xf numFmtId="0" fontId="9" fillId="0" borderId="1" xfId="0" applyFont="1" applyBorder="1" applyAlignment="1">
      <alignment horizontal="center" vertical="center" shrinkToFit="1"/>
    </xf>
    <xf numFmtId="49" fontId="0" fillId="0" borderId="3" xfId="0" applyNumberFormat="1" applyBorder="1" applyAlignment="1">
      <alignment vertical="center" shrinkToFit="1"/>
    </xf>
    <xf numFmtId="49" fontId="0" fillId="0" borderId="1" xfId="0" applyNumberFormat="1" applyBorder="1" applyAlignment="1">
      <alignment vertical="center" shrinkToFit="1"/>
    </xf>
    <xf numFmtId="0" fontId="8" fillId="6" borderId="0" xfId="0" applyFont="1" applyFill="1">
      <alignment vertical="center"/>
    </xf>
    <xf numFmtId="49" fontId="0" fillId="0" borderId="1" xfId="0" applyNumberFormat="1" applyBorder="1">
      <alignment vertical="center"/>
    </xf>
    <xf numFmtId="0" fontId="0" fillId="10" borderId="0" xfId="0" applyFill="1">
      <alignment vertical="center"/>
    </xf>
    <xf numFmtId="14" fontId="7" fillId="0" borderId="1" xfId="0" applyNumberFormat="1" applyFont="1" applyBorder="1" applyAlignment="1">
      <alignment vertical="center" shrinkToFit="1"/>
    </xf>
    <xf numFmtId="0" fontId="7" fillId="0" borderId="0" xfId="0" applyFont="1" applyAlignment="1">
      <alignment vertical="center" shrinkToFit="1"/>
    </xf>
    <xf numFmtId="14" fontId="0" fillId="0" borderId="1" xfId="0" applyNumberFormat="1" applyBorder="1" applyAlignment="1">
      <alignment vertical="center" shrinkToFit="1"/>
    </xf>
    <xf numFmtId="0" fontId="8" fillId="0" borderId="0" xfId="0" applyFont="1">
      <alignment vertical="center"/>
    </xf>
    <xf numFmtId="14" fontId="17" fillId="11" borderId="18" xfId="0" applyNumberFormat="1" applyFont="1" applyFill="1" applyBorder="1" applyAlignment="1">
      <alignment horizontal="center" vertical="center"/>
    </xf>
    <xf numFmtId="0" fontId="2" fillId="6" borderId="0" xfId="0" applyFont="1" applyFill="1">
      <alignment vertical="center"/>
    </xf>
    <xf numFmtId="0" fontId="9" fillId="0" borderId="1" xfId="0" applyFont="1" applyBorder="1">
      <alignment vertical="center"/>
    </xf>
    <xf numFmtId="0" fontId="6" fillId="0" borderId="1" xfId="6" applyBorder="1" applyAlignment="1" applyProtection="1">
      <alignment vertical="center"/>
    </xf>
    <xf numFmtId="0" fontId="0" fillId="0" borderId="0" xfId="0" applyAlignment="1">
      <alignment vertical="center" wrapText="1"/>
    </xf>
    <xf numFmtId="0" fontId="0" fillId="15" borderId="0" xfId="0" applyFill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 shrinkToFit="1"/>
    </xf>
    <xf numFmtId="49" fontId="0" fillId="0" borderId="0" xfId="0" applyNumberFormat="1" applyAlignment="1">
      <alignment horizontal="left" vertical="center"/>
    </xf>
    <xf numFmtId="49" fontId="30" fillId="12" borderId="1" xfId="0" applyNumberFormat="1" applyFont="1" applyFill="1" applyBorder="1" applyAlignment="1">
      <alignment horizontal="center" vertical="center" shrinkToFit="1"/>
    </xf>
    <xf numFmtId="49" fontId="0" fillId="0" borderId="0" xfId="0" applyNumberFormat="1">
      <alignment vertical="center"/>
    </xf>
    <xf numFmtId="49" fontId="7" fillId="0" borderId="0" xfId="0" applyNumberFormat="1" applyFont="1">
      <alignment vertical="center"/>
    </xf>
    <xf numFmtId="178" fontId="7" fillId="0" borderId="1" xfId="0" applyNumberFormat="1" applyFont="1" applyFill="1" applyBorder="1" applyAlignment="1">
      <alignment vertical="center" shrinkToFit="1"/>
    </xf>
    <xf numFmtId="0" fontId="7" fillId="0" borderId="1" xfId="0" applyFont="1" applyFill="1" applyBorder="1" applyAlignment="1">
      <alignment vertical="center" shrinkToFit="1"/>
    </xf>
    <xf numFmtId="49" fontId="7" fillId="0" borderId="1" xfId="0" applyNumberFormat="1" applyFont="1" applyFill="1" applyBorder="1" applyAlignment="1">
      <alignment horizontal="left" vertical="center" shrinkToFit="1"/>
    </xf>
    <xf numFmtId="0" fontId="7" fillId="5" borderId="1" xfId="0" applyFont="1" applyFill="1" applyBorder="1" applyAlignment="1">
      <alignment horizontal="center" vertical="center" shrinkToFit="1"/>
    </xf>
    <xf numFmtId="49" fontId="31" fillId="14" borderId="1" xfId="0" applyNumberFormat="1" applyFont="1" applyFill="1" applyBorder="1" applyAlignment="1">
      <alignment horizontal="center" vertical="center" shrinkToFit="1"/>
    </xf>
    <xf numFmtId="0" fontId="0" fillId="0" borderId="20" xfId="0" applyBorder="1" applyAlignment="1" applyProtection="1">
      <alignment vertical="center" shrinkToFit="1"/>
      <protection locked="0"/>
    </xf>
    <xf numFmtId="0" fontId="0" fillId="0" borderId="1" xfId="0" applyBorder="1" applyAlignment="1" applyProtection="1">
      <alignment vertical="center" shrinkToFit="1"/>
      <protection locked="0"/>
    </xf>
    <xf numFmtId="0" fontId="0" fillId="2" borderId="1" xfId="0" applyFill="1" applyBorder="1" applyAlignment="1" applyProtection="1">
      <alignment horizontal="center" vertical="center" shrinkToFit="1"/>
    </xf>
    <xf numFmtId="0" fontId="0" fillId="2" borderId="1" xfId="0" applyFill="1" applyBorder="1" applyAlignment="1" applyProtection="1">
      <alignment horizontal="center" vertical="center" wrapText="1"/>
    </xf>
    <xf numFmtId="0" fontId="24" fillId="7" borderId="1" xfId="0" applyFont="1" applyFill="1" applyBorder="1" applyAlignment="1" applyProtection="1">
      <alignment vertical="center" wrapText="1"/>
    </xf>
    <xf numFmtId="0" fontId="0" fillId="0" borderId="20" xfId="0" applyBorder="1" applyAlignment="1" applyProtection="1">
      <alignment vertical="center" shrinkToFit="1"/>
    </xf>
    <xf numFmtId="0" fontId="0" fillId="0" borderId="0" xfId="0" applyProtection="1">
      <alignment vertical="center"/>
    </xf>
    <xf numFmtId="22" fontId="0" fillId="6" borderId="0" xfId="0" applyNumberFormat="1" applyFill="1">
      <alignment vertical="center"/>
    </xf>
    <xf numFmtId="0" fontId="21" fillId="3" borderId="6" xfId="0" applyFont="1" applyFill="1" applyBorder="1" applyAlignment="1" applyProtection="1">
      <alignment horizontal="right" vertical="center"/>
      <protection locked="0"/>
    </xf>
    <xf numFmtId="0" fontId="0" fillId="3" borderId="12" xfId="0" applyFill="1" applyBorder="1" applyProtection="1">
      <alignment vertical="center"/>
      <protection locked="0"/>
    </xf>
    <xf numFmtId="0" fontId="0" fillId="3" borderId="15" xfId="0" applyFill="1" applyBorder="1" applyProtection="1">
      <alignment vertical="center"/>
      <protection locked="0"/>
    </xf>
    <xf numFmtId="0" fontId="34" fillId="3" borderId="6" xfId="0" applyFont="1" applyFill="1" applyBorder="1" applyAlignment="1" applyProtection="1">
      <alignment horizontal="center" vertical="center"/>
      <protection locked="0"/>
    </xf>
    <xf numFmtId="0" fontId="34" fillId="3" borderId="11" xfId="0" applyFont="1" applyFill="1" applyBorder="1" applyProtection="1">
      <alignment vertical="center"/>
      <protection locked="0"/>
    </xf>
    <xf numFmtId="0" fontId="34" fillId="10" borderId="6" xfId="0" applyFont="1" applyFill="1" applyBorder="1" applyAlignment="1" applyProtection="1">
      <alignment horizontal="center" vertical="center"/>
      <protection locked="0"/>
    </xf>
    <xf numFmtId="0" fontId="21" fillId="10" borderId="6" xfId="0" applyFont="1" applyFill="1" applyBorder="1" applyAlignment="1" applyProtection="1">
      <alignment horizontal="right" vertical="center"/>
      <protection locked="0"/>
    </xf>
    <xf numFmtId="0" fontId="34" fillId="10" borderId="11" xfId="0" applyFont="1" applyFill="1" applyBorder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5" xfId="0" applyFill="1" applyBorder="1" applyProtection="1">
      <alignment vertical="center"/>
      <protection locked="0"/>
    </xf>
    <xf numFmtId="49" fontId="35" fillId="0" borderId="1" xfId="0" applyNumberFormat="1" applyFont="1" applyFill="1" applyBorder="1" applyAlignment="1">
      <alignment vertical="center" shrinkToFit="1"/>
    </xf>
    <xf numFmtId="0" fontId="0" fillId="0" borderId="0" xfId="0" applyAlignment="1" applyProtection="1">
      <alignment vertical="center" shrinkToFit="1"/>
      <protection locked="0"/>
    </xf>
    <xf numFmtId="0" fontId="0" fillId="3" borderId="6" xfId="0" applyFill="1" applyBorder="1" applyAlignment="1" applyProtection="1">
      <alignment horizontal="left" vertical="center" shrinkToFit="1"/>
      <protection locked="0"/>
    </xf>
    <xf numFmtId="0" fontId="7" fillId="3" borderId="6" xfId="0" applyFont="1" applyFill="1" applyBorder="1" applyAlignment="1" applyProtection="1">
      <alignment horizontal="left" vertical="center" shrinkToFit="1"/>
      <protection locked="0"/>
    </xf>
    <xf numFmtId="0" fontId="0" fillId="0" borderId="6" xfId="0" applyBorder="1" applyAlignment="1" applyProtection="1">
      <alignment vertical="center" shrinkToFit="1"/>
      <protection locked="0"/>
    </xf>
    <xf numFmtId="0" fontId="0" fillId="6" borderId="0" xfId="0" applyFill="1" applyAlignment="1" applyProtection="1">
      <alignment vertical="center" shrinkToFit="1"/>
      <protection locked="0"/>
    </xf>
    <xf numFmtId="0" fontId="0" fillId="10" borderId="6" xfId="0" applyFill="1" applyBorder="1" applyAlignment="1" applyProtection="1">
      <alignment horizontal="left" vertical="center" shrinkToFit="1"/>
      <protection locked="0"/>
    </xf>
    <xf numFmtId="0" fontId="7" fillId="10" borderId="6" xfId="0" applyFont="1" applyFill="1" applyBorder="1" applyAlignment="1" applyProtection="1">
      <alignment horizontal="left" vertical="center" shrinkToFit="1"/>
      <protection locked="0"/>
    </xf>
    <xf numFmtId="49" fontId="7" fillId="0" borderId="1" xfId="0" applyNumberFormat="1" applyFont="1" applyFill="1" applyBorder="1" applyAlignment="1">
      <alignment vertical="center" shrinkToFit="1"/>
    </xf>
    <xf numFmtId="0" fontId="33" fillId="0" borderId="1" xfId="0" applyFont="1" applyBorder="1" applyAlignment="1">
      <alignment vertical="center" shrinkToFit="1"/>
    </xf>
    <xf numFmtId="0" fontId="33" fillId="16" borderId="1" xfId="0" applyFont="1" applyFill="1" applyBorder="1" applyAlignment="1">
      <alignment vertical="center" shrinkToFit="1"/>
    </xf>
    <xf numFmtId="0" fontId="7" fillId="17" borderId="1" xfId="0" applyFont="1" applyFill="1" applyBorder="1" applyAlignment="1">
      <alignment vertical="center" shrinkToFit="1"/>
    </xf>
    <xf numFmtId="0" fontId="0" fillId="16" borderId="0" xfId="0" applyFill="1">
      <alignment vertical="center"/>
    </xf>
    <xf numFmtId="0" fontId="7" fillId="16" borderId="5" xfId="0" applyFont="1" applyFill="1" applyBorder="1" applyAlignment="1">
      <alignment vertical="center" shrinkToFit="1"/>
    </xf>
    <xf numFmtId="0" fontId="30" fillId="18" borderId="1" xfId="0" applyFont="1" applyFill="1" applyBorder="1" applyAlignment="1">
      <alignment vertical="center" shrinkToFit="1"/>
    </xf>
    <xf numFmtId="0" fontId="8" fillId="16" borderId="1" xfId="0" applyFont="1" applyFill="1" applyBorder="1" applyAlignment="1">
      <alignment vertical="center" shrinkToFit="1"/>
    </xf>
    <xf numFmtId="0" fontId="7" fillId="16" borderId="1" xfId="0" applyFont="1" applyFill="1" applyBorder="1" applyAlignment="1">
      <alignment vertical="center" shrinkToFit="1"/>
    </xf>
    <xf numFmtId="0" fontId="36" fillId="0" borderId="0" xfId="0" applyFont="1" applyAlignment="1">
      <alignment vertical="center" wrapText="1"/>
    </xf>
    <xf numFmtId="0" fontId="8" fillId="16" borderId="0" xfId="0" applyFont="1" applyFill="1">
      <alignment vertical="center"/>
    </xf>
    <xf numFmtId="0" fontId="33" fillId="16" borderId="0" xfId="0" applyFont="1" applyFill="1">
      <alignment vertical="center"/>
    </xf>
    <xf numFmtId="0" fontId="33" fillId="0" borderId="0" xfId="0" applyFont="1">
      <alignment vertical="center"/>
    </xf>
    <xf numFmtId="0" fontId="26" fillId="6" borderId="0" xfId="0" applyFont="1" applyFill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13" fillId="0" borderId="7" xfId="0" applyFont="1" applyBorder="1" applyAlignment="1" applyProtection="1">
      <alignment horizontal="left" vertical="center"/>
      <protection locked="0"/>
    </xf>
    <xf numFmtId="0" fontId="13" fillId="0" borderId="8" xfId="0" applyFont="1" applyBorder="1" applyAlignment="1" applyProtection="1">
      <alignment horizontal="left" vertical="center"/>
      <protection locked="0"/>
    </xf>
    <xf numFmtId="0" fontId="13" fillId="0" borderId="9" xfId="0" applyFont="1" applyBorder="1" applyAlignment="1" applyProtection="1">
      <alignment horizontal="left" vertical="center"/>
      <protection locked="0"/>
    </xf>
    <xf numFmtId="0" fontId="0" fillId="0" borderId="11" xfId="0" applyNumberFormat="1" applyBorder="1" applyProtection="1">
      <alignment vertical="center"/>
      <protection locked="0"/>
    </xf>
    <xf numFmtId="0" fontId="0" fillId="0" borderId="12" xfId="0" applyNumberFormat="1" applyBorder="1" applyProtection="1">
      <alignment vertical="center"/>
      <protection locked="0"/>
    </xf>
    <xf numFmtId="49" fontId="37" fillId="0" borderId="1" xfId="0" applyNumberFormat="1" applyFont="1" applyFill="1" applyBorder="1" applyAlignment="1">
      <alignment horizontal="left" vertical="center" shrinkToFit="1"/>
    </xf>
    <xf numFmtId="0" fontId="37" fillId="0" borderId="1" xfId="0" applyFont="1" applyFill="1" applyBorder="1" applyAlignment="1">
      <alignment vertical="center" shrinkToFit="1"/>
    </xf>
    <xf numFmtId="0" fontId="38" fillId="0" borderId="0" xfId="0" applyFont="1">
      <alignment vertical="center"/>
    </xf>
    <xf numFmtId="0" fontId="11" fillId="8" borderId="12" xfId="0" applyFont="1" applyFill="1" applyBorder="1" applyProtection="1">
      <alignment vertical="center"/>
      <protection locked="0"/>
    </xf>
    <xf numFmtId="49" fontId="0" fillId="8" borderId="10" xfId="0" applyNumberFormat="1" applyFill="1" applyBorder="1" applyAlignment="1" applyProtection="1">
      <alignment horizontal="right" vertical="center"/>
      <protection locked="0"/>
    </xf>
    <xf numFmtId="49" fontId="0" fillId="8" borderId="0" xfId="0" applyNumberFormat="1" applyFill="1" applyAlignment="1" applyProtection="1">
      <alignment horizontal="right" vertical="center"/>
      <protection locked="0"/>
    </xf>
    <xf numFmtId="0" fontId="0" fillId="8" borderId="0" xfId="0" applyFill="1" applyProtection="1">
      <alignment vertical="center"/>
      <protection locked="0"/>
    </xf>
    <xf numFmtId="0" fontId="11" fillId="9" borderId="12" xfId="0" applyFont="1" applyFill="1" applyBorder="1" applyProtection="1">
      <alignment vertical="center"/>
      <protection locked="0"/>
    </xf>
    <xf numFmtId="0" fontId="0" fillId="9" borderId="21" xfId="0" applyFill="1" applyBorder="1" applyProtection="1">
      <alignment vertical="center"/>
      <protection locked="0"/>
    </xf>
    <xf numFmtId="49" fontId="0" fillId="9" borderId="10" xfId="0" applyNumberFormat="1" applyFill="1" applyBorder="1" applyAlignment="1" applyProtection="1">
      <alignment horizontal="right" vertical="center"/>
      <protection locked="0"/>
    </xf>
    <xf numFmtId="49" fontId="0" fillId="9" borderId="0" xfId="0" applyNumberFormat="1" applyFill="1" applyAlignment="1" applyProtection="1">
      <alignment horizontal="right" vertical="center"/>
      <protection locked="0"/>
    </xf>
    <xf numFmtId="0" fontId="0" fillId="9" borderId="0" xfId="0" applyFill="1" applyProtection="1">
      <alignment vertical="center"/>
      <protection locked="0"/>
    </xf>
  </cellXfs>
  <cellStyles count="7">
    <cellStyle name="ハイパーリンク" xfId="6" builtinId="8"/>
    <cellStyle name="桁区切り 2" xfId="2" xr:uid="{00000000-0005-0000-0000-000001000000}"/>
    <cellStyle name="標準" xfId="0" builtinId="0"/>
    <cellStyle name="標準 2" xfId="1" xr:uid="{00000000-0005-0000-0000-000003000000}"/>
    <cellStyle name="標準 3" xfId="3" xr:uid="{00000000-0005-0000-0000-000004000000}"/>
    <cellStyle name="標準 4" xfId="4" xr:uid="{00000000-0005-0000-0000-000005000000}"/>
    <cellStyle name="未定義" xfId="5" xr:uid="{00000000-0005-0000-0000-000006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E1"/>
      <color rgb="FF006600"/>
      <color rgb="FFCCECFF"/>
      <color rgb="FF66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247650</xdr:colOff>
          <xdr:row>43</xdr:row>
          <xdr:rowOff>38100</xdr:rowOff>
        </xdr:from>
        <xdr:to>
          <xdr:col>10</xdr:col>
          <xdr:colOff>69850</xdr:colOff>
          <xdr:row>45</xdr:row>
          <xdr:rowOff>38100</xdr:rowOff>
        </xdr:to>
        <xdr:sp macro="" textlink="">
          <xdr:nvSpPr>
            <xdr:cNvPr id="73729" name="btnMTimetable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1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系統別時刻シートを作成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51</xdr:row>
          <xdr:rowOff>76200</xdr:rowOff>
        </xdr:from>
        <xdr:to>
          <xdr:col>10</xdr:col>
          <xdr:colOff>69850</xdr:colOff>
          <xdr:row>53</xdr:row>
          <xdr:rowOff>107950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1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運賃入力ファイルを作成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76</xdr:row>
          <xdr:rowOff>95250</xdr:rowOff>
        </xdr:from>
        <xdr:to>
          <xdr:col>10</xdr:col>
          <xdr:colOff>69850</xdr:colOff>
          <xdr:row>78</xdr:row>
          <xdr:rowOff>133350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1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運賃入力ファイルからその筋屋読み込み用運賃ファイルを作成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247650</xdr:colOff>
          <xdr:row>18</xdr:row>
          <xdr:rowOff>69850</xdr:rowOff>
        </xdr:from>
        <xdr:to>
          <xdr:col>10</xdr:col>
          <xdr:colOff>69850</xdr:colOff>
          <xdr:row>20</xdr:row>
          <xdr:rowOff>69850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1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停留所ID自動セット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63</xdr:row>
          <xdr:rowOff>95250</xdr:rowOff>
        </xdr:from>
        <xdr:to>
          <xdr:col>10</xdr:col>
          <xdr:colOff>69850</xdr:colOff>
          <xdr:row>65</xdr:row>
          <xdr:rowOff>133350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1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GTFS-JPデータを作成（系統統合形式）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298450</xdr:colOff>
          <xdr:row>89</xdr:row>
          <xdr:rowOff>31750</xdr:rowOff>
        </xdr:from>
        <xdr:to>
          <xdr:col>10</xdr:col>
          <xdr:colOff>38100</xdr:colOff>
          <xdr:row>91</xdr:row>
          <xdr:rowOff>38100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1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取り込みを実行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56</xdr:row>
          <xdr:rowOff>76200</xdr:rowOff>
        </xdr:from>
        <xdr:to>
          <xdr:col>10</xdr:col>
          <xdr:colOff>69850</xdr:colOff>
          <xdr:row>58</xdr:row>
          <xdr:rowOff>107950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1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運賃に空欄があるかどうかチェック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457200</xdr:colOff>
          <xdr:row>66</xdr:row>
          <xdr:rowOff>171450</xdr:rowOff>
        </xdr:from>
        <xdr:to>
          <xdr:col>10</xdr:col>
          <xdr:colOff>317500</xdr:colOff>
          <xdr:row>68</xdr:row>
          <xdr:rowOff>38100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1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解説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476250</xdr:colOff>
          <xdr:row>68</xdr:row>
          <xdr:rowOff>171450</xdr:rowOff>
        </xdr:from>
        <xdr:to>
          <xdr:col>11</xdr:col>
          <xdr:colOff>285750</xdr:colOff>
          <xdr:row>70</xdr:row>
          <xdr:rowOff>38100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1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解説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70</xdr:row>
          <xdr:rowOff>133350</xdr:rowOff>
        </xdr:from>
        <xdr:to>
          <xdr:col>4</xdr:col>
          <xdr:colOff>857250</xdr:colOff>
          <xdr:row>72</xdr:row>
          <xdr:rowOff>19050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1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GTFS Validator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70</xdr:row>
          <xdr:rowOff>133350</xdr:rowOff>
        </xdr:from>
        <xdr:to>
          <xdr:col>8</xdr:col>
          <xdr:colOff>171450</xdr:colOff>
          <xdr:row>72</xdr:row>
          <xdr:rowOff>19050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1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GTFS TestViewer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146050</xdr:colOff>
          <xdr:row>63</xdr:row>
          <xdr:rowOff>127000</xdr:rowOff>
        </xdr:from>
        <xdr:to>
          <xdr:col>16</xdr:col>
          <xdr:colOff>488950</xdr:colOff>
          <xdr:row>65</xdr:row>
          <xdr:rowOff>76200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1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従来形式のGTFS-JPデータを作成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581025</xdr:colOff>
      <xdr:row>60</xdr:row>
      <xdr:rowOff>12700</xdr:rowOff>
    </xdr:from>
    <xdr:to>
      <xdr:col>11</xdr:col>
      <xdr:colOff>1104900</xdr:colOff>
      <xdr:row>63</xdr:row>
      <xdr:rowOff>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4340225" y="10242550"/>
          <a:ext cx="2352675" cy="48260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Ver2.4</a:t>
          </a:r>
          <a:r>
            <a:rPr kumimoji="1" lang="ja-JP" altLang="en-US" sz="1100"/>
            <a:t>から　系統統合形式の</a:t>
          </a:r>
          <a:r>
            <a:rPr kumimoji="1" lang="en-US" altLang="ja-JP" sz="1100"/>
            <a:t>GTFS-JP</a:t>
          </a:r>
          <a:r>
            <a:rPr kumimoji="1" lang="ja-JP" altLang="en-US" sz="1100"/>
            <a:t>データを出力できるようになりました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10</xdr:row>
          <xdr:rowOff>50800</xdr:rowOff>
        </xdr:from>
        <xdr:to>
          <xdr:col>4</xdr:col>
          <xdr:colOff>184150</xdr:colOff>
          <xdr:row>10</xdr:row>
          <xdr:rowOff>393700</xdr:rowOff>
        </xdr:to>
        <xdr:sp macro="" textlink="">
          <xdr:nvSpPr>
            <xdr:cNvPr id="93185" name="Button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04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法人番号を調べる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12</xdr:row>
          <xdr:rowOff>165100</xdr:rowOff>
        </xdr:from>
        <xdr:to>
          <xdr:col>4</xdr:col>
          <xdr:colOff>736600</xdr:colOff>
          <xdr:row>15</xdr:row>
          <xdr:rowOff>12700</xdr:rowOff>
        </xdr:to>
        <xdr:sp macro="" textlink="">
          <xdr:nvSpPr>
            <xdr:cNvPr id="93186" name="btnAgencyCopy" hidden="1">
              <a:extLst>
                <a:ext uri="{63B3BB69-23CF-44E3-9099-C40C66FF867C}">
                  <a14:compatExt spid="_x0000_s93186"/>
                </a:ext>
                <a:ext uri="{FF2B5EF4-FFF2-40B4-BE49-F238E27FC236}">
                  <a16:creationId xmlns:a16="http://schemas.microsoft.com/office/drawing/2014/main" id="{00000000-0008-0000-0400-000002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事業者・自治体名、URLをコピー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1400175</xdr:colOff>
      <xdr:row>18</xdr:row>
      <xdr:rowOff>133350</xdr:rowOff>
    </xdr:from>
    <xdr:to>
      <xdr:col>1</xdr:col>
      <xdr:colOff>2066925</xdr:colOff>
      <xdr:row>26</xdr:row>
      <xdr:rowOff>28575</xdr:rowOff>
    </xdr:to>
    <xdr:sp macro="" textlink="">
      <xdr:nvSpPr>
        <xdr:cNvPr id="4" name="円形吹き出し 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400175" y="3486150"/>
          <a:ext cx="2552700" cy="1266825"/>
        </a:xfrm>
        <a:prstGeom prst="wedgeEllipseCallou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rgbClr val="FF0000"/>
              </a:solidFill>
            </a:rPr>
            <a:t>「</a:t>
          </a:r>
          <a:r>
            <a:rPr kumimoji="1" lang="en-US" altLang="ja-JP" sz="1100">
              <a:solidFill>
                <a:srgbClr val="FF0000"/>
              </a:solidFill>
            </a:rPr>
            <a:t>02</a:t>
          </a:r>
          <a:r>
            <a:rPr kumimoji="1" lang="ja-JP" altLang="en-US" sz="1100">
              <a:solidFill>
                <a:srgbClr val="FF0000"/>
              </a:solidFill>
            </a:rPr>
            <a:t>自治体」シートは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en-US" altLang="ja-JP" sz="1100">
              <a:solidFill>
                <a:srgbClr val="FF0000"/>
              </a:solidFill>
            </a:rPr>
            <a:t>ver2.4</a:t>
          </a:r>
          <a:r>
            <a:rPr kumimoji="1" lang="ja-JP" altLang="en-US" sz="1100">
              <a:solidFill>
                <a:srgbClr val="FF0000"/>
              </a:solidFill>
            </a:rPr>
            <a:t>から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ja-JP" altLang="en-US" sz="1100">
              <a:solidFill>
                <a:srgbClr val="FF0000"/>
              </a:solidFill>
            </a:rPr>
            <a:t>「</a:t>
          </a:r>
          <a:r>
            <a:rPr kumimoji="1" lang="en-US" altLang="ja-JP" sz="1100">
              <a:solidFill>
                <a:srgbClr val="FF0000"/>
              </a:solidFill>
            </a:rPr>
            <a:t>02</a:t>
          </a:r>
          <a:r>
            <a:rPr kumimoji="1" lang="ja-JP" altLang="en-US" sz="1100">
              <a:solidFill>
                <a:srgbClr val="FF0000"/>
              </a:solidFill>
            </a:rPr>
            <a:t>基本情報」シートに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ja-JP" altLang="en-US" sz="1100">
              <a:solidFill>
                <a:srgbClr val="FF0000"/>
              </a:solidFill>
            </a:rPr>
            <a:t>名称が変更となりました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10</xdr:row>
          <xdr:rowOff>50800</xdr:rowOff>
        </xdr:from>
        <xdr:to>
          <xdr:col>7</xdr:col>
          <xdr:colOff>755650</xdr:colOff>
          <xdr:row>10</xdr:row>
          <xdr:rowOff>393700</xdr:rowOff>
        </xdr:to>
        <xdr:sp macro="" textlink="">
          <xdr:nvSpPr>
            <xdr:cNvPr id="93187" name="Button 3" hidden="1">
              <a:extLst>
                <a:ext uri="{63B3BB69-23CF-44E3-9099-C40C66FF867C}">
                  <a14:compatExt spid="_x0000_s93187"/>
                </a:ext>
                <a:ext uri="{FF2B5EF4-FFF2-40B4-BE49-F238E27FC236}">
                  <a16:creationId xmlns:a16="http://schemas.microsoft.com/office/drawing/2014/main" id="{00000000-0008-0000-0400-000003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法人番号の後ろにE+12と表示される場合に表記を修正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657225</xdr:colOff>
      <xdr:row>14</xdr:row>
      <xdr:rowOff>9525</xdr:rowOff>
    </xdr:from>
    <xdr:to>
      <xdr:col>3</xdr:col>
      <xdr:colOff>962025</xdr:colOff>
      <xdr:row>21</xdr:row>
      <xdr:rowOff>76200</xdr:rowOff>
    </xdr:to>
    <xdr:sp macro="" textlink="">
      <xdr:nvSpPr>
        <xdr:cNvPr id="2" name="円形吹き出し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23925" y="2409825"/>
          <a:ext cx="2552700" cy="1266825"/>
        </a:xfrm>
        <a:prstGeom prst="wedgeEllipseCallou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en-US" altLang="ja-JP" sz="1100">
              <a:solidFill>
                <a:srgbClr val="FF0000"/>
              </a:solidFill>
            </a:rPr>
            <a:t>GTFS-JP</a:t>
          </a:r>
          <a:r>
            <a:rPr kumimoji="1" lang="ja-JP" altLang="en-US" sz="1100">
              <a:solidFill>
                <a:srgbClr val="FF0000"/>
              </a:solidFill>
            </a:rPr>
            <a:t>出力の場合は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ja-JP" altLang="en-US" sz="1100">
              <a:solidFill>
                <a:srgbClr val="FF0000"/>
              </a:solidFill>
            </a:rPr>
            <a:t>このシートは現在使用していません。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ja-JP" altLang="en-US" sz="1100">
              <a:solidFill>
                <a:srgbClr val="FF0000"/>
              </a:solidFill>
            </a:rPr>
            <a:t>入力省略可能です。</a:t>
          </a:r>
        </a:p>
      </xdr:txBody>
    </xdr:sp>
    <xdr:clientData/>
  </xdr:twoCellAnchor>
  <xdr:twoCellAnchor>
    <xdr:from>
      <xdr:col>4</xdr:col>
      <xdr:colOff>0</xdr:colOff>
      <xdr:row>14</xdr:row>
      <xdr:rowOff>66675</xdr:rowOff>
    </xdr:from>
    <xdr:to>
      <xdr:col>5</xdr:col>
      <xdr:colOff>1428750</xdr:colOff>
      <xdr:row>21</xdr:row>
      <xdr:rowOff>133350</xdr:rowOff>
    </xdr:to>
    <xdr:sp macro="" textlink="">
      <xdr:nvSpPr>
        <xdr:cNvPr id="3" name="円形吹き出し 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019550" y="2466975"/>
          <a:ext cx="2552700" cy="1266825"/>
        </a:xfrm>
        <a:prstGeom prst="wedgeEllipseCallou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rgbClr val="FF0000"/>
              </a:solidFill>
            </a:rPr>
            <a:t>「</a:t>
          </a:r>
          <a:r>
            <a:rPr kumimoji="1" lang="en-US" altLang="ja-JP" sz="1100">
              <a:solidFill>
                <a:srgbClr val="FF0000"/>
              </a:solidFill>
            </a:rPr>
            <a:t>03</a:t>
          </a:r>
          <a:r>
            <a:rPr kumimoji="1" lang="ja-JP" altLang="en-US" sz="1100">
              <a:solidFill>
                <a:srgbClr val="FF0000"/>
              </a:solidFill>
            </a:rPr>
            <a:t>事業者」シートは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en-US" altLang="ja-JP" sz="1100">
              <a:solidFill>
                <a:srgbClr val="FF0000"/>
              </a:solidFill>
            </a:rPr>
            <a:t>ver2.4</a:t>
          </a:r>
          <a:r>
            <a:rPr kumimoji="1" lang="ja-JP" altLang="en-US" sz="1100">
              <a:solidFill>
                <a:srgbClr val="FF0000"/>
              </a:solidFill>
            </a:rPr>
            <a:t>から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ja-JP" altLang="en-US" sz="1100">
              <a:solidFill>
                <a:srgbClr val="FF0000"/>
              </a:solidFill>
            </a:rPr>
            <a:t>「</a:t>
          </a:r>
          <a:r>
            <a:rPr kumimoji="1" lang="en-US" altLang="ja-JP" sz="1100">
              <a:solidFill>
                <a:srgbClr val="FF0000"/>
              </a:solidFill>
            </a:rPr>
            <a:t>03</a:t>
          </a:r>
          <a:r>
            <a:rPr kumimoji="1" lang="ja-JP" altLang="en-US" sz="1100">
              <a:solidFill>
                <a:srgbClr val="FF0000"/>
              </a:solidFill>
            </a:rPr>
            <a:t>営業所」シートに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ja-JP" altLang="en-US" sz="1100">
              <a:solidFill>
                <a:srgbClr val="FF0000"/>
              </a:solidFill>
            </a:rPr>
            <a:t>名称が変更となりました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144779</xdr:colOff>
      <xdr:row>6</xdr:row>
      <xdr:rowOff>114300</xdr:rowOff>
    </xdr:from>
    <xdr:to>
      <xdr:col>12</xdr:col>
      <xdr:colOff>36830</xdr:colOff>
      <xdr:row>14</xdr:row>
      <xdr:rowOff>32385</xdr:rowOff>
    </xdr:to>
    <xdr:sp macro="" textlink="">
      <xdr:nvSpPr>
        <xdr:cNvPr id="2" name="円形吹き出し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554479" y="1310640"/>
          <a:ext cx="5988051" cy="1259205"/>
        </a:xfrm>
        <a:prstGeom prst="wedgeEllipseCallou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en-US" altLang="ja-JP" sz="1100">
              <a:solidFill>
                <a:srgbClr val="FF0000"/>
              </a:solidFill>
            </a:rPr>
            <a:t>GTFS-JP</a:t>
          </a:r>
          <a:r>
            <a:rPr kumimoji="1" lang="ja-JP" altLang="en-US" sz="1100">
              <a:solidFill>
                <a:srgbClr val="FF0000"/>
              </a:solidFill>
            </a:rPr>
            <a:t>では必須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ja-JP" altLang="en-US" sz="1100">
              <a:solidFill>
                <a:srgbClr val="FF0000"/>
              </a:solidFill>
            </a:rPr>
            <a:t>毎年１回見直しを行ってください。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ja-JP" altLang="en-US" sz="1100">
              <a:solidFill>
                <a:srgbClr val="FF0000"/>
              </a:solidFill>
            </a:rPr>
            <a:t>内閣府　国民の祝日について　毎年２月の官報で翌年分を公表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en-US" altLang="ja-JP" sz="1100">
              <a:solidFill>
                <a:srgbClr val="FF0000"/>
              </a:solidFill>
            </a:rPr>
            <a:t>https://www8.cao.go.jp/chosei/shukujitsu/gaiyou.html</a:t>
          </a:r>
        </a:p>
        <a:p>
          <a:pPr algn="ctr"/>
          <a:endParaRPr kumimoji="1" lang="ja-JP" altLang="en-US" sz="11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50800</xdr:colOff>
          <xdr:row>0</xdr:row>
          <xdr:rowOff>31750</xdr:rowOff>
        </xdr:from>
        <xdr:to>
          <xdr:col>9</xdr:col>
          <xdr:colOff>590550</xdr:colOff>
          <xdr:row>0</xdr:row>
          <xdr:rowOff>323850</xdr:rowOff>
        </xdr:to>
        <xdr:sp macro="" textlink="">
          <xdr:nvSpPr>
            <xdr:cNvPr id="86017" name="Button 1" hidden="1">
              <a:extLst>
                <a:ext uri="{63B3BB69-23CF-44E3-9099-C40C66FF867C}">
                  <a14:compatExt spid="_x0000_s86017"/>
                </a:ext>
                <a:ext uri="{FF2B5EF4-FFF2-40B4-BE49-F238E27FC236}">
                  <a16:creationId xmlns:a16="http://schemas.microsoft.com/office/drawing/2014/main" id="{00000000-0008-0000-0800-000001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祝日ファイルをダウンロードして祝日データを追加（ネット接続必要）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190500</xdr:colOff>
          <xdr:row>0</xdr:row>
          <xdr:rowOff>0</xdr:rowOff>
        </xdr:from>
        <xdr:to>
          <xdr:col>22</xdr:col>
          <xdr:colOff>222250</xdr:colOff>
          <xdr:row>1</xdr:row>
          <xdr:rowOff>19050</xdr:rowOff>
        </xdr:to>
        <xdr:sp macro="" textlink="">
          <xdr:nvSpPr>
            <xdr:cNvPr id="78849" name="Button 1" hidden="1">
              <a:extLst>
                <a:ext uri="{63B3BB69-23CF-44E3-9099-C40C66FF867C}">
                  <a14:compatExt spid="_x0000_s78849"/>
                </a:ext>
                <a:ext uri="{FF2B5EF4-FFF2-40B4-BE49-F238E27FC236}">
                  <a16:creationId xmlns:a16="http://schemas.microsoft.com/office/drawing/2014/main" id="{00000000-0008-0000-0900-00000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CSVファイル出力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57150</xdr:colOff>
      <xdr:row>2</xdr:row>
      <xdr:rowOff>9526</xdr:rowOff>
    </xdr:from>
    <xdr:to>
      <xdr:col>13</xdr:col>
      <xdr:colOff>152400</xdr:colOff>
      <xdr:row>9</xdr:row>
      <xdr:rowOff>104776</xdr:rowOff>
    </xdr:to>
    <xdr:sp macro="" textlink="">
      <xdr:nvSpPr>
        <xdr:cNvPr id="2" name="フローチャート: 処理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7962900" y="352426"/>
          <a:ext cx="923925" cy="1295400"/>
        </a:xfrm>
        <a:prstGeom prst="flowChartProcess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r>
            <a:rPr kumimoji="1" lang="ja-JP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乗換の指定は</a:t>
          </a:r>
          <a:endParaRPr lang="ja-JP" altLang="ja-JP">
            <a:solidFill>
              <a:srgbClr val="FF0000"/>
            </a:solidFill>
            <a:effectLst/>
          </a:endParaRPr>
        </a:p>
        <a:p>
          <a:r>
            <a:rPr kumimoji="1" lang="en-US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08</a:t>
          </a:r>
          <a:r>
            <a:rPr kumimoji="1" lang="ja-JP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乗換シートで行うように</a:t>
          </a:r>
          <a:r>
            <a:rPr kumimoji="1" lang="ja-JP" altLang="en-US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なりました</a:t>
          </a:r>
        </a:p>
      </xdr:txBody>
    </xdr:sp>
    <xdr:clientData/>
  </xdr:twoCellAnchor>
  <xdr:twoCellAnchor>
    <xdr:from>
      <xdr:col>10</xdr:col>
      <xdr:colOff>57150</xdr:colOff>
      <xdr:row>2</xdr:row>
      <xdr:rowOff>9526</xdr:rowOff>
    </xdr:from>
    <xdr:to>
      <xdr:col>13</xdr:col>
      <xdr:colOff>152400</xdr:colOff>
      <xdr:row>9</xdr:row>
      <xdr:rowOff>104776</xdr:rowOff>
    </xdr:to>
    <xdr:sp macro="" textlink="">
      <xdr:nvSpPr>
        <xdr:cNvPr id="4" name="フローチャート: 処理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7867650" y="330201"/>
          <a:ext cx="866775" cy="1228725"/>
        </a:xfrm>
        <a:prstGeom prst="flowChartProcess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r>
            <a:rPr kumimoji="1" lang="ja-JP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乗換の指定は</a:t>
          </a:r>
          <a:endParaRPr lang="ja-JP" altLang="ja-JP">
            <a:solidFill>
              <a:srgbClr val="FF0000"/>
            </a:solidFill>
            <a:effectLst/>
          </a:endParaRPr>
        </a:p>
        <a:p>
          <a:r>
            <a:rPr kumimoji="1" lang="en-US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08</a:t>
          </a:r>
          <a:r>
            <a:rPr kumimoji="1" lang="ja-JP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乗換シートで行うように</a:t>
          </a:r>
          <a:r>
            <a:rPr kumimoji="1" lang="ja-JP" altLang="en-US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なりました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6</xdr:row>
      <xdr:rowOff>0</xdr:rowOff>
    </xdr:from>
    <xdr:to>
      <xdr:col>10</xdr:col>
      <xdr:colOff>495300</xdr:colOff>
      <xdr:row>11</xdr:row>
      <xdr:rowOff>155575</xdr:rowOff>
    </xdr:to>
    <xdr:sp macro="" textlink="">
      <xdr:nvSpPr>
        <xdr:cNvPr id="2" name="円形吹き出し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8039100" y="990600"/>
          <a:ext cx="2324100" cy="981075"/>
        </a:xfrm>
        <a:prstGeom prst="wedgeEllipseCallou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rgbClr val="FF0000"/>
              </a:solidFill>
            </a:rPr>
            <a:t>路線別停留所シートは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ja-JP" altLang="en-US" sz="1100">
              <a:solidFill>
                <a:srgbClr val="FF0000"/>
              </a:solidFill>
            </a:rPr>
            <a:t>その筋屋に取り込むときのみ必要です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552450</xdr:colOff>
      <xdr:row>0</xdr:row>
      <xdr:rowOff>295275</xdr:rowOff>
    </xdr:from>
    <xdr:to>
      <xdr:col>15</xdr:col>
      <xdr:colOff>266700</xdr:colOff>
      <xdr:row>6</xdr:row>
      <xdr:rowOff>107950</xdr:rowOff>
    </xdr:to>
    <xdr:sp macro="" textlink="">
      <xdr:nvSpPr>
        <xdr:cNvPr id="2" name="円形吹き出し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9458325" y="295275"/>
          <a:ext cx="3143250" cy="1012825"/>
        </a:xfrm>
        <a:prstGeom prst="wedgeEllipseCallou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rgbClr val="FF0000"/>
              </a:solidFill>
            </a:rPr>
            <a:t>このシートは</a:t>
          </a:r>
          <a:r>
            <a:rPr kumimoji="1" lang="en-US" altLang="ja-JP" sz="1100">
              <a:solidFill>
                <a:srgbClr val="FF0000"/>
              </a:solidFill>
            </a:rPr>
            <a:t>Google</a:t>
          </a:r>
          <a:r>
            <a:rPr kumimoji="1" lang="ja-JP" altLang="en-US" sz="1100">
              <a:solidFill>
                <a:srgbClr val="FF0000"/>
              </a:solidFill>
            </a:rPr>
            <a:t>マップで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ja-JP" altLang="en-US" sz="1100">
              <a:solidFill>
                <a:srgbClr val="FF0000"/>
              </a:solidFill>
            </a:rPr>
            <a:t>乗り換えがうまく検索できない場合に登録します。</a:t>
          </a:r>
        </a:p>
      </xdr:txBody>
    </xdr:sp>
    <xdr:clientData/>
  </xdr:twoCellAnchor>
  <xdr:twoCellAnchor>
    <xdr:from>
      <xdr:col>10</xdr:col>
      <xdr:colOff>628649</xdr:colOff>
      <xdr:row>7</xdr:row>
      <xdr:rowOff>171449</xdr:rowOff>
    </xdr:from>
    <xdr:to>
      <xdr:col>15</xdr:col>
      <xdr:colOff>257175</xdr:colOff>
      <xdr:row>13</xdr:row>
      <xdr:rowOff>152400</xdr:rowOff>
    </xdr:to>
    <xdr:sp macro="" textlink="">
      <xdr:nvSpPr>
        <xdr:cNvPr id="3" name="円形吹き出し 1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9534524" y="1543049"/>
          <a:ext cx="3057526" cy="1009651"/>
        </a:xfrm>
        <a:prstGeom prst="wedgeEllipseCallou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「乗換時間（秒）」は</a:t>
          </a:r>
          <a:endParaRPr kumimoji="1" lang="en-US" altLang="ja-JP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タイプ　</a:t>
          </a:r>
          <a:r>
            <a:rPr kumimoji="1" lang="ja-JP" altLang="en-US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「</a:t>
          </a:r>
          <a:r>
            <a:rPr kumimoji="1" lang="en-US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kumimoji="1" lang="ja-JP" altLang="en-US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乗り換え時間設定」の場合のみ設定します。</a:t>
          </a:r>
          <a:endParaRPr kumimoji="1" lang="ja-JP" alt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11</xdr:col>
      <xdr:colOff>0</xdr:colOff>
      <xdr:row>15</xdr:row>
      <xdr:rowOff>168728</xdr:rowOff>
    </xdr:from>
    <xdr:to>
      <xdr:col>15</xdr:col>
      <xdr:colOff>281669</xdr:colOff>
      <xdr:row>24</xdr:row>
      <xdr:rowOff>103414</xdr:rowOff>
    </xdr:to>
    <xdr:sp macro="" textlink="">
      <xdr:nvSpPr>
        <xdr:cNvPr id="4" name="円形吹き出し 1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8920843" y="2868385"/>
          <a:ext cx="2894240" cy="1453243"/>
        </a:xfrm>
        <a:prstGeom prst="wedgeEllipseCallou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見出しが水色・斜体文字の列はセル入力がロックされていますので、データをクリア・コピーなどする場合は、見出しが黄緑色の列のみを選択してください</a:t>
          </a:r>
          <a:endParaRPr kumimoji="1" lang="ja-JP" altLang="en-US" sz="1100">
            <a:solidFill>
              <a:srgbClr val="FF0000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0</xdr:rowOff>
        </xdr:from>
        <xdr:to>
          <xdr:col>6</xdr:col>
          <xdr:colOff>57150</xdr:colOff>
          <xdr:row>0</xdr:row>
          <xdr:rowOff>171450</xdr:rowOff>
        </xdr:to>
        <xdr:sp macro="" textlink="">
          <xdr:nvSpPr>
            <xdr:cNvPr id="8193" name="btn_ouro_newsheet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C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路線シート作成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152400</xdr:colOff>
      <xdr:row>21</xdr:row>
      <xdr:rowOff>139700</xdr:rowOff>
    </xdr:from>
    <xdr:to>
      <xdr:col>21</xdr:col>
      <xdr:colOff>114300</xdr:colOff>
      <xdr:row>29</xdr:row>
      <xdr:rowOff>63500</xdr:rowOff>
    </xdr:to>
    <xdr:sp macro="" textlink="">
      <xdr:nvSpPr>
        <xdr:cNvPr id="5" name="円形吹き出し 1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5073650" y="3651250"/>
          <a:ext cx="3803650" cy="1244600"/>
        </a:xfrm>
        <a:prstGeom prst="wedgeEllipseCallou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rgbClr val="FF0000"/>
              </a:solidFill>
            </a:rPr>
            <a:t>このシートは原本です。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ja-JP" altLang="en-US" sz="1100">
              <a:solidFill>
                <a:srgbClr val="FF0000"/>
              </a:solidFill>
            </a:rPr>
            <a:t>「路線シート作成」ボタンを押して入力用シートを作成してください。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ja-JP" altLang="en-US" sz="1100">
              <a:solidFill>
                <a:srgbClr val="FF0000"/>
              </a:solidFill>
            </a:rPr>
            <a:t>このシートの内容は変更しないでください。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0</xdr:row>
          <xdr:rowOff>0</xdr:rowOff>
        </xdr:from>
        <xdr:to>
          <xdr:col>11</xdr:col>
          <xdr:colOff>133350</xdr:colOff>
          <xdr:row>0</xdr:row>
          <xdr:rowOff>171450</xdr:rowOff>
        </xdr:to>
        <xdr:sp macro="" textlink="">
          <xdr:nvSpPr>
            <xdr:cNvPr id="8199" name="btn_ouro_chgtime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C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時刻表記に変換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222250</xdr:colOff>
          <xdr:row>0</xdr:row>
          <xdr:rowOff>0</xdr:rowOff>
        </xdr:from>
        <xdr:to>
          <xdr:col>13</xdr:col>
          <xdr:colOff>184150</xdr:colOff>
          <xdr:row>0</xdr:row>
          <xdr:rowOff>171450</xdr:rowOff>
        </xdr:to>
        <xdr:sp macro="" textlink="">
          <xdr:nvSpPr>
            <xdr:cNvPr id="8200" name="btn_ouro_keitoset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C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222250</xdr:colOff>
          <xdr:row>0</xdr:row>
          <xdr:rowOff>203200</xdr:rowOff>
        </xdr:from>
        <xdr:to>
          <xdr:col>13</xdr:col>
          <xdr:colOff>184150</xdr:colOff>
          <xdr:row>2</xdr:row>
          <xdr:rowOff>0</xdr:rowOff>
        </xdr:to>
        <xdr:sp macro="" textlink="">
          <xdr:nvSpPr>
            <xdr:cNvPr id="8201" name="btn_ouro_jump_ikisaki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C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行き先欄へ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69</xdr:row>
          <xdr:rowOff>88900</xdr:rowOff>
        </xdr:from>
        <xdr:to>
          <xdr:col>6</xdr:col>
          <xdr:colOff>76200</xdr:colOff>
          <xdr:row>70</xdr:row>
          <xdr:rowOff>88900</xdr:rowOff>
        </xdr:to>
        <xdr:sp macro="" textlink="">
          <xdr:nvSpPr>
            <xdr:cNvPr id="8203" name="btn_fuku_newsheet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C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路線シート作成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69</xdr:row>
          <xdr:rowOff>88900</xdr:rowOff>
        </xdr:from>
        <xdr:to>
          <xdr:col>11</xdr:col>
          <xdr:colOff>152400</xdr:colOff>
          <xdr:row>70</xdr:row>
          <xdr:rowOff>88900</xdr:rowOff>
        </xdr:to>
        <xdr:sp macro="" textlink="">
          <xdr:nvSpPr>
            <xdr:cNvPr id="8204" name="btn_fukuchgtime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C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時刻表記に変換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241300</xdr:colOff>
          <xdr:row>69</xdr:row>
          <xdr:rowOff>88900</xdr:rowOff>
        </xdr:from>
        <xdr:to>
          <xdr:col>13</xdr:col>
          <xdr:colOff>203200</xdr:colOff>
          <xdr:row>70</xdr:row>
          <xdr:rowOff>88900</xdr:rowOff>
        </xdr:to>
        <xdr:sp macro="" textlink="">
          <xdr:nvSpPr>
            <xdr:cNvPr id="8205" name="btn_fuku_chgtime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C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241300</xdr:colOff>
          <xdr:row>70</xdr:row>
          <xdr:rowOff>114300</xdr:rowOff>
        </xdr:from>
        <xdr:to>
          <xdr:col>13</xdr:col>
          <xdr:colOff>203200</xdr:colOff>
          <xdr:row>70</xdr:row>
          <xdr:rowOff>304800</xdr:rowOff>
        </xdr:to>
        <xdr:sp macro="" textlink="">
          <xdr:nvSpPr>
            <xdr:cNvPr id="8206" name="btn_fuku_jump_ikisaki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C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行き先欄へ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</xdr:col>
          <xdr:colOff>660400</xdr:colOff>
          <xdr:row>0</xdr:row>
          <xdr:rowOff>190500</xdr:rowOff>
        </xdr:from>
        <xdr:to>
          <xdr:col>96</xdr:col>
          <xdr:colOff>152400</xdr:colOff>
          <xdr:row>1</xdr:row>
          <xdr:rowOff>165100</xdr:rowOff>
        </xdr:to>
        <xdr:sp macro="" textlink="">
          <xdr:nvSpPr>
            <xdr:cNvPr id="8207" name="btn_ouro_jump_teiiryujo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C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停留所欄へteへ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</xdr:col>
          <xdr:colOff>666750</xdr:colOff>
          <xdr:row>70</xdr:row>
          <xdr:rowOff>57150</xdr:rowOff>
        </xdr:from>
        <xdr:to>
          <xdr:col>96</xdr:col>
          <xdr:colOff>165100</xdr:colOff>
          <xdr:row>70</xdr:row>
          <xdr:rowOff>247650</xdr:rowOff>
        </xdr:to>
        <xdr:sp macro="" textlink="">
          <xdr:nvSpPr>
            <xdr:cNvPr id="8209" name="btn_fuku_jump_teiiryujo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C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停留所欄へteへ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0</xdr:rowOff>
        </xdr:from>
        <xdr:to>
          <xdr:col>6</xdr:col>
          <xdr:colOff>57150</xdr:colOff>
          <xdr:row>0</xdr:row>
          <xdr:rowOff>171450</xdr:rowOff>
        </xdr:to>
        <xdr:sp macro="" textlink="">
          <xdr:nvSpPr>
            <xdr:cNvPr id="101377" name="btn_ouro_newsheet" hidden="1">
              <a:extLst>
                <a:ext uri="{63B3BB69-23CF-44E3-9099-C40C66FF867C}">
                  <a14:compatExt spid="_x0000_s101377"/>
                </a:ext>
                <a:ext uri="{FF2B5EF4-FFF2-40B4-BE49-F238E27FC236}">
                  <a16:creationId xmlns:a16="http://schemas.microsoft.com/office/drawing/2014/main" id="{F3087BBC-F56E-445E-9F0E-894459E59B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路線シート作成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0</xdr:row>
          <xdr:rowOff>0</xdr:rowOff>
        </xdr:from>
        <xdr:to>
          <xdr:col>11</xdr:col>
          <xdr:colOff>133350</xdr:colOff>
          <xdr:row>0</xdr:row>
          <xdr:rowOff>171450</xdr:rowOff>
        </xdr:to>
        <xdr:sp macro="" textlink="">
          <xdr:nvSpPr>
            <xdr:cNvPr id="101378" name="btn_ouro_chgtime" hidden="1">
              <a:extLst>
                <a:ext uri="{63B3BB69-23CF-44E3-9099-C40C66FF867C}">
                  <a14:compatExt spid="_x0000_s101378"/>
                </a:ext>
                <a:ext uri="{FF2B5EF4-FFF2-40B4-BE49-F238E27FC236}">
                  <a16:creationId xmlns:a16="http://schemas.microsoft.com/office/drawing/2014/main" id="{CE2C6428-4C52-4E71-8AD6-5909D43671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時刻表記に変換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222250</xdr:colOff>
          <xdr:row>0</xdr:row>
          <xdr:rowOff>0</xdr:rowOff>
        </xdr:from>
        <xdr:to>
          <xdr:col>13</xdr:col>
          <xdr:colOff>184150</xdr:colOff>
          <xdr:row>0</xdr:row>
          <xdr:rowOff>171450</xdr:rowOff>
        </xdr:to>
        <xdr:sp macro="" textlink="">
          <xdr:nvSpPr>
            <xdr:cNvPr id="101379" name="btn_ouro_keitoset" hidden="1">
              <a:extLst>
                <a:ext uri="{63B3BB69-23CF-44E3-9099-C40C66FF867C}">
                  <a14:compatExt spid="_x0000_s101379"/>
                </a:ext>
                <a:ext uri="{FF2B5EF4-FFF2-40B4-BE49-F238E27FC236}">
                  <a16:creationId xmlns:a16="http://schemas.microsoft.com/office/drawing/2014/main" id="{626EAAD8-F06A-4B08-9F3B-C52EB8ACF1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222250</xdr:colOff>
          <xdr:row>0</xdr:row>
          <xdr:rowOff>203200</xdr:rowOff>
        </xdr:from>
        <xdr:to>
          <xdr:col>13</xdr:col>
          <xdr:colOff>184150</xdr:colOff>
          <xdr:row>2</xdr:row>
          <xdr:rowOff>0</xdr:rowOff>
        </xdr:to>
        <xdr:sp macro="" textlink="">
          <xdr:nvSpPr>
            <xdr:cNvPr id="101380" name="btn_ouro_jump_ikisaki" hidden="1">
              <a:extLst>
                <a:ext uri="{63B3BB69-23CF-44E3-9099-C40C66FF867C}">
                  <a14:compatExt spid="_x0000_s101380"/>
                </a:ext>
                <a:ext uri="{FF2B5EF4-FFF2-40B4-BE49-F238E27FC236}">
                  <a16:creationId xmlns:a16="http://schemas.microsoft.com/office/drawing/2014/main" id="{0F58F9A3-4683-448B-8479-AE50CF7960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行き先欄へ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69</xdr:row>
          <xdr:rowOff>88900</xdr:rowOff>
        </xdr:from>
        <xdr:to>
          <xdr:col>6</xdr:col>
          <xdr:colOff>76200</xdr:colOff>
          <xdr:row>70</xdr:row>
          <xdr:rowOff>88900</xdr:rowOff>
        </xdr:to>
        <xdr:sp macro="" textlink="">
          <xdr:nvSpPr>
            <xdr:cNvPr id="101381" name="btn_fuku_newsheet" hidden="1">
              <a:extLst>
                <a:ext uri="{63B3BB69-23CF-44E3-9099-C40C66FF867C}">
                  <a14:compatExt spid="_x0000_s101381"/>
                </a:ext>
                <a:ext uri="{FF2B5EF4-FFF2-40B4-BE49-F238E27FC236}">
                  <a16:creationId xmlns:a16="http://schemas.microsoft.com/office/drawing/2014/main" id="{D9E1CD53-BEBA-461E-815A-DB78932EBD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路線シート作成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69</xdr:row>
          <xdr:rowOff>88900</xdr:rowOff>
        </xdr:from>
        <xdr:to>
          <xdr:col>11</xdr:col>
          <xdr:colOff>152400</xdr:colOff>
          <xdr:row>70</xdr:row>
          <xdr:rowOff>88900</xdr:rowOff>
        </xdr:to>
        <xdr:sp macro="" textlink="">
          <xdr:nvSpPr>
            <xdr:cNvPr id="101382" name="btn_fukuchgtime" hidden="1">
              <a:extLst>
                <a:ext uri="{63B3BB69-23CF-44E3-9099-C40C66FF867C}">
                  <a14:compatExt spid="_x0000_s101382"/>
                </a:ext>
                <a:ext uri="{FF2B5EF4-FFF2-40B4-BE49-F238E27FC236}">
                  <a16:creationId xmlns:a16="http://schemas.microsoft.com/office/drawing/2014/main" id="{F84D4F27-9D38-477A-B569-C918177E0F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時刻表記に変換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241300</xdr:colOff>
          <xdr:row>69</xdr:row>
          <xdr:rowOff>88900</xdr:rowOff>
        </xdr:from>
        <xdr:to>
          <xdr:col>13</xdr:col>
          <xdr:colOff>203200</xdr:colOff>
          <xdr:row>70</xdr:row>
          <xdr:rowOff>88900</xdr:rowOff>
        </xdr:to>
        <xdr:sp macro="" textlink="">
          <xdr:nvSpPr>
            <xdr:cNvPr id="101383" name="btn_fuku_chgtime" hidden="1">
              <a:extLst>
                <a:ext uri="{63B3BB69-23CF-44E3-9099-C40C66FF867C}">
                  <a14:compatExt spid="_x0000_s101383"/>
                </a:ext>
                <a:ext uri="{FF2B5EF4-FFF2-40B4-BE49-F238E27FC236}">
                  <a16:creationId xmlns:a16="http://schemas.microsoft.com/office/drawing/2014/main" id="{B204907A-1F6A-41BA-B996-7DFC5BD713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241300</xdr:colOff>
          <xdr:row>70</xdr:row>
          <xdr:rowOff>114300</xdr:rowOff>
        </xdr:from>
        <xdr:to>
          <xdr:col>13</xdr:col>
          <xdr:colOff>203200</xdr:colOff>
          <xdr:row>70</xdr:row>
          <xdr:rowOff>304800</xdr:rowOff>
        </xdr:to>
        <xdr:sp macro="" textlink="">
          <xdr:nvSpPr>
            <xdr:cNvPr id="101384" name="btn_fuku_jump_ikisaki" hidden="1">
              <a:extLst>
                <a:ext uri="{63B3BB69-23CF-44E3-9099-C40C66FF867C}">
                  <a14:compatExt spid="_x0000_s101384"/>
                </a:ext>
                <a:ext uri="{FF2B5EF4-FFF2-40B4-BE49-F238E27FC236}">
                  <a16:creationId xmlns:a16="http://schemas.microsoft.com/office/drawing/2014/main" id="{0918446D-A4CA-49CE-8B71-928B21315E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行き先欄へ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</xdr:col>
          <xdr:colOff>660400</xdr:colOff>
          <xdr:row>0</xdr:row>
          <xdr:rowOff>190500</xdr:rowOff>
        </xdr:from>
        <xdr:to>
          <xdr:col>96</xdr:col>
          <xdr:colOff>152400</xdr:colOff>
          <xdr:row>1</xdr:row>
          <xdr:rowOff>165100</xdr:rowOff>
        </xdr:to>
        <xdr:sp macro="" textlink="">
          <xdr:nvSpPr>
            <xdr:cNvPr id="101385" name="btn_ouro_jump_teiiryujo" hidden="1">
              <a:extLst>
                <a:ext uri="{63B3BB69-23CF-44E3-9099-C40C66FF867C}">
                  <a14:compatExt spid="_x0000_s101385"/>
                </a:ext>
                <a:ext uri="{FF2B5EF4-FFF2-40B4-BE49-F238E27FC236}">
                  <a16:creationId xmlns:a16="http://schemas.microsoft.com/office/drawing/2014/main" id="{AD9DA543-BE65-48C1-A123-3081CDA605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停留所欄へteへ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</xdr:col>
          <xdr:colOff>666750</xdr:colOff>
          <xdr:row>70</xdr:row>
          <xdr:rowOff>57150</xdr:rowOff>
        </xdr:from>
        <xdr:to>
          <xdr:col>96</xdr:col>
          <xdr:colOff>165100</xdr:colOff>
          <xdr:row>70</xdr:row>
          <xdr:rowOff>247650</xdr:rowOff>
        </xdr:to>
        <xdr:sp macro="" textlink="">
          <xdr:nvSpPr>
            <xdr:cNvPr id="101386" name="btn_fuku_jump_teiiryujo" hidden="1">
              <a:extLst>
                <a:ext uri="{63B3BB69-23CF-44E3-9099-C40C66FF867C}">
                  <a14:compatExt spid="_x0000_s101386"/>
                </a:ext>
                <a:ext uri="{FF2B5EF4-FFF2-40B4-BE49-F238E27FC236}">
                  <a16:creationId xmlns:a16="http://schemas.microsoft.com/office/drawing/2014/main" id="{CEDE24D2-2D9B-4378-BFDA-1816EAFA58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停留所欄へteへ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0</xdr:rowOff>
        </xdr:from>
        <xdr:to>
          <xdr:col>6</xdr:col>
          <xdr:colOff>57150</xdr:colOff>
          <xdr:row>0</xdr:row>
          <xdr:rowOff>171450</xdr:rowOff>
        </xdr:to>
        <xdr:sp macro="" textlink="">
          <xdr:nvSpPr>
            <xdr:cNvPr id="109569" name="btn_ouro_newsheet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B5EE9B0-A03D-4B04-A07B-BB4B99A887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路線シート作成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0</xdr:row>
          <xdr:rowOff>0</xdr:rowOff>
        </xdr:from>
        <xdr:to>
          <xdr:col>11</xdr:col>
          <xdr:colOff>133350</xdr:colOff>
          <xdr:row>0</xdr:row>
          <xdr:rowOff>171450</xdr:rowOff>
        </xdr:to>
        <xdr:sp macro="" textlink="">
          <xdr:nvSpPr>
            <xdr:cNvPr id="109570" name="btn_ouro_chgtime" hidden="1">
              <a:extLst>
                <a:ext uri="{63B3BB69-23CF-44E3-9099-C40C66FF867C}">
                  <a14:compatExt spid="_x0000_s109570"/>
                </a:ext>
                <a:ext uri="{FF2B5EF4-FFF2-40B4-BE49-F238E27FC236}">
                  <a16:creationId xmlns:a16="http://schemas.microsoft.com/office/drawing/2014/main" id="{240A2741-F0E0-4A46-84B9-0374EC6910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時刻表記に変換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222250</xdr:colOff>
          <xdr:row>0</xdr:row>
          <xdr:rowOff>0</xdr:rowOff>
        </xdr:from>
        <xdr:to>
          <xdr:col>13</xdr:col>
          <xdr:colOff>184150</xdr:colOff>
          <xdr:row>0</xdr:row>
          <xdr:rowOff>171450</xdr:rowOff>
        </xdr:to>
        <xdr:sp macro="" textlink="">
          <xdr:nvSpPr>
            <xdr:cNvPr id="109571" name="btn_ouro_keitoset" hidden="1">
              <a:extLst>
                <a:ext uri="{63B3BB69-23CF-44E3-9099-C40C66FF867C}">
                  <a14:compatExt spid="_x0000_s109571"/>
                </a:ext>
                <a:ext uri="{FF2B5EF4-FFF2-40B4-BE49-F238E27FC236}">
                  <a16:creationId xmlns:a16="http://schemas.microsoft.com/office/drawing/2014/main" id="{24DA2AD7-8EE2-4B61-9843-CB8E7CAE4A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222250</xdr:colOff>
          <xdr:row>0</xdr:row>
          <xdr:rowOff>203200</xdr:rowOff>
        </xdr:from>
        <xdr:to>
          <xdr:col>13</xdr:col>
          <xdr:colOff>184150</xdr:colOff>
          <xdr:row>2</xdr:row>
          <xdr:rowOff>0</xdr:rowOff>
        </xdr:to>
        <xdr:sp macro="" textlink="">
          <xdr:nvSpPr>
            <xdr:cNvPr id="109572" name="btn_ouro_jump_ikisaki" hidden="1">
              <a:extLst>
                <a:ext uri="{63B3BB69-23CF-44E3-9099-C40C66FF867C}">
                  <a14:compatExt spid="_x0000_s109572"/>
                </a:ext>
                <a:ext uri="{FF2B5EF4-FFF2-40B4-BE49-F238E27FC236}">
                  <a16:creationId xmlns:a16="http://schemas.microsoft.com/office/drawing/2014/main" id="{88CEB66E-FDD1-4990-A35D-76671DD82B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行き先欄へ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69</xdr:row>
          <xdr:rowOff>88900</xdr:rowOff>
        </xdr:from>
        <xdr:to>
          <xdr:col>6</xdr:col>
          <xdr:colOff>76200</xdr:colOff>
          <xdr:row>70</xdr:row>
          <xdr:rowOff>88900</xdr:rowOff>
        </xdr:to>
        <xdr:sp macro="" textlink="">
          <xdr:nvSpPr>
            <xdr:cNvPr id="109573" name="btn_fuku_newsheet" hidden="1">
              <a:extLst>
                <a:ext uri="{63B3BB69-23CF-44E3-9099-C40C66FF867C}">
                  <a14:compatExt spid="_x0000_s109573"/>
                </a:ext>
                <a:ext uri="{FF2B5EF4-FFF2-40B4-BE49-F238E27FC236}">
                  <a16:creationId xmlns:a16="http://schemas.microsoft.com/office/drawing/2014/main" id="{6062454F-125F-4036-8474-FBE9C2DEA2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路線シート作成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69</xdr:row>
          <xdr:rowOff>88900</xdr:rowOff>
        </xdr:from>
        <xdr:to>
          <xdr:col>11</xdr:col>
          <xdr:colOff>152400</xdr:colOff>
          <xdr:row>70</xdr:row>
          <xdr:rowOff>88900</xdr:rowOff>
        </xdr:to>
        <xdr:sp macro="" textlink="">
          <xdr:nvSpPr>
            <xdr:cNvPr id="109574" name="btn_fukuchgtime" hidden="1">
              <a:extLst>
                <a:ext uri="{63B3BB69-23CF-44E3-9099-C40C66FF867C}">
                  <a14:compatExt spid="_x0000_s109574"/>
                </a:ext>
                <a:ext uri="{FF2B5EF4-FFF2-40B4-BE49-F238E27FC236}">
                  <a16:creationId xmlns:a16="http://schemas.microsoft.com/office/drawing/2014/main" id="{8D6B44DE-6E5C-404B-A07B-7B9E53B8D0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時刻表記に変換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241300</xdr:colOff>
          <xdr:row>69</xdr:row>
          <xdr:rowOff>88900</xdr:rowOff>
        </xdr:from>
        <xdr:to>
          <xdr:col>13</xdr:col>
          <xdr:colOff>203200</xdr:colOff>
          <xdr:row>70</xdr:row>
          <xdr:rowOff>88900</xdr:rowOff>
        </xdr:to>
        <xdr:sp macro="" textlink="">
          <xdr:nvSpPr>
            <xdr:cNvPr id="109575" name="btn_fuku_chgtime" hidden="1">
              <a:extLst>
                <a:ext uri="{63B3BB69-23CF-44E3-9099-C40C66FF867C}">
                  <a14:compatExt spid="_x0000_s109575"/>
                </a:ext>
                <a:ext uri="{FF2B5EF4-FFF2-40B4-BE49-F238E27FC236}">
                  <a16:creationId xmlns:a16="http://schemas.microsoft.com/office/drawing/2014/main" id="{D5577BB1-4E82-48D4-A388-4F5C29B324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241300</xdr:colOff>
          <xdr:row>70</xdr:row>
          <xdr:rowOff>114300</xdr:rowOff>
        </xdr:from>
        <xdr:to>
          <xdr:col>13</xdr:col>
          <xdr:colOff>203200</xdr:colOff>
          <xdr:row>70</xdr:row>
          <xdr:rowOff>304800</xdr:rowOff>
        </xdr:to>
        <xdr:sp macro="" textlink="">
          <xdr:nvSpPr>
            <xdr:cNvPr id="109576" name="btn_fuku_jump_ikisaki" hidden="1">
              <a:extLst>
                <a:ext uri="{63B3BB69-23CF-44E3-9099-C40C66FF867C}">
                  <a14:compatExt spid="_x0000_s109576"/>
                </a:ext>
                <a:ext uri="{FF2B5EF4-FFF2-40B4-BE49-F238E27FC236}">
                  <a16:creationId xmlns:a16="http://schemas.microsoft.com/office/drawing/2014/main" id="{D714533D-D92F-4EE9-BC3B-880D70CE4F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行き先欄へ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</xdr:col>
          <xdr:colOff>660400</xdr:colOff>
          <xdr:row>0</xdr:row>
          <xdr:rowOff>190500</xdr:rowOff>
        </xdr:from>
        <xdr:to>
          <xdr:col>96</xdr:col>
          <xdr:colOff>152400</xdr:colOff>
          <xdr:row>1</xdr:row>
          <xdr:rowOff>165100</xdr:rowOff>
        </xdr:to>
        <xdr:sp macro="" textlink="">
          <xdr:nvSpPr>
            <xdr:cNvPr id="109577" name="btn_ouro_jump_teiiryujo" hidden="1">
              <a:extLst>
                <a:ext uri="{63B3BB69-23CF-44E3-9099-C40C66FF867C}">
                  <a14:compatExt spid="_x0000_s109577"/>
                </a:ext>
                <a:ext uri="{FF2B5EF4-FFF2-40B4-BE49-F238E27FC236}">
                  <a16:creationId xmlns:a16="http://schemas.microsoft.com/office/drawing/2014/main" id="{441BF6FC-E7F6-4EF3-B44E-F69E314835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停留所欄へteへ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</xdr:col>
          <xdr:colOff>666750</xdr:colOff>
          <xdr:row>70</xdr:row>
          <xdr:rowOff>57150</xdr:rowOff>
        </xdr:from>
        <xdr:to>
          <xdr:col>96</xdr:col>
          <xdr:colOff>165100</xdr:colOff>
          <xdr:row>70</xdr:row>
          <xdr:rowOff>247650</xdr:rowOff>
        </xdr:to>
        <xdr:sp macro="" textlink="">
          <xdr:nvSpPr>
            <xdr:cNvPr id="109578" name="btn_fuku_jump_teiiryujo" hidden="1">
              <a:extLst>
                <a:ext uri="{63B3BB69-23CF-44E3-9099-C40C66FF867C}">
                  <a14:compatExt spid="_x0000_s109578"/>
                </a:ext>
                <a:ext uri="{FF2B5EF4-FFF2-40B4-BE49-F238E27FC236}">
                  <a16:creationId xmlns:a16="http://schemas.microsoft.com/office/drawing/2014/main" id="{77C673D8-A753-44C7-9541-B423FACDCC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停留所欄へteへ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361949</xdr:colOff>
      <xdr:row>19</xdr:row>
      <xdr:rowOff>142876</xdr:rowOff>
    </xdr:from>
    <xdr:to>
      <xdr:col>12</xdr:col>
      <xdr:colOff>220980</xdr:colOff>
      <xdr:row>27</xdr:row>
      <xdr:rowOff>114300</xdr:rowOff>
    </xdr:to>
    <xdr:sp macro="" textlink="">
      <xdr:nvSpPr>
        <xdr:cNvPr id="2" name="円形吹き出し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3851909" y="3328036"/>
          <a:ext cx="2145031" cy="1312544"/>
        </a:xfrm>
        <a:prstGeom prst="wedgeEllipseCallou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r>
            <a:rPr kumimoji="1" lang="ja-JP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ここのシートは</a:t>
          </a:r>
          <a:endParaRPr lang="ja-JP" altLang="ja-JP">
            <a:solidFill>
              <a:srgbClr val="FF0000"/>
            </a:solidFill>
            <a:effectLst/>
          </a:endParaRPr>
        </a:p>
        <a:p>
          <a:r>
            <a:rPr kumimoji="1" lang="ja-JP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系統別時刻作成</a:t>
          </a:r>
          <a:endParaRPr lang="ja-JP" altLang="ja-JP">
            <a:solidFill>
              <a:srgbClr val="FF0000"/>
            </a:solidFill>
            <a:effectLst/>
          </a:endParaRPr>
        </a:p>
        <a:p>
          <a:r>
            <a:rPr kumimoji="1" lang="ja-JP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機能で</a:t>
          </a:r>
          <a:r>
            <a:rPr kumimoji="1" lang="ja-JP" altLang="en-US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自動作成されます。</a:t>
          </a:r>
          <a:endParaRPr lang="ja-JP" altLang="ja-JP">
            <a:solidFill>
              <a:srgbClr val="FF0000"/>
            </a:solidFill>
            <a:effectLst/>
          </a:endParaRPr>
        </a:p>
        <a:p>
          <a:r>
            <a:rPr kumimoji="1" lang="ja-JP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手入力は不要です</a:t>
          </a:r>
          <a:r>
            <a:rPr kumimoji="1" lang="ja-JP" altLang="en-US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。</a:t>
          </a:r>
          <a:endParaRPr lang="ja-JP" altLang="ja-JP">
            <a:solidFill>
              <a:srgbClr val="FF0000"/>
            </a:solidFill>
            <a:effectLst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13" Type="http://schemas.openxmlformats.org/officeDocument/2006/relationships/ctrlProp" Target="../ctrlProps/ctrlProp27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1.xml"/><Relationship Id="rId12" Type="http://schemas.openxmlformats.org/officeDocument/2006/relationships/ctrlProp" Target="../ctrlProps/ctrlProp2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0.xml"/><Relationship Id="rId11" Type="http://schemas.openxmlformats.org/officeDocument/2006/relationships/ctrlProp" Target="../ctrlProps/ctrlProp25.xml"/><Relationship Id="rId5" Type="http://schemas.openxmlformats.org/officeDocument/2006/relationships/ctrlProp" Target="../ctrlProps/ctrlProp19.xml"/><Relationship Id="rId10" Type="http://schemas.openxmlformats.org/officeDocument/2006/relationships/ctrlProp" Target="../ctrlProps/ctrlProp24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Relationship Id="rId14" Type="http://schemas.openxmlformats.org/officeDocument/2006/relationships/comments" Target="../comments1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.xml"/><Relationship Id="rId13" Type="http://schemas.openxmlformats.org/officeDocument/2006/relationships/ctrlProp" Target="../ctrlProps/ctrlProp37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1.xml"/><Relationship Id="rId12" Type="http://schemas.openxmlformats.org/officeDocument/2006/relationships/ctrlProp" Target="../ctrlProps/ctrlProp3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0.xml"/><Relationship Id="rId11" Type="http://schemas.openxmlformats.org/officeDocument/2006/relationships/ctrlProp" Target="../ctrlProps/ctrlProp35.xml"/><Relationship Id="rId5" Type="http://schemas.openxmlformats.org/officeDocument/2006/relationships/ctrlProp" Target="../ctrlProps/ctrlProp29.xml"/><Relationship Id="rId10" Type="http://schemas.openxmlformats.org/officeDocument/2006/relationships/ctrlProp" Target="../ctrlProps/ctrlProp34.xml"/><Relationship Id="rId4" Type="http://schemas.openxmlformats.org/officeDocument/2006/relationships/ctrlProp" Target="../ctrlProps/ctrlProp28.xml"/><Relationship Id="rId9" Type="http://schemas.openxmlformats.org/officeDocument/2006/relationships/ctrlProp" Target="../ctrlProps/ctrlProp33.xml"/><Relationship Id="rId14" Type="http://schemas.openxmlformats.org/officeDocument/2006/relationships/comments" Target="../comments2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2.xml"/><Relationship Id="rId13" Type="http://schemas.openxmlformats.org/officeDocument/2006/relationships/ctrlProp" Target="../ctrlProps/ctrlProp47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1.xml"/><Relationship Id="rId12" Type="http://schemas.openxmlformats.org/officeDocument/2006/relationships/ctrlProp" Target="../ctrlProps/ctrlProp46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40.xml"/><Relationship Id="rId11" Type="http://schemas.openxmlformats.org/officeDocument/2006/relationships/ctrlProp" Target="../ctrlProps/ctrlProp45.xml"/><Relationship Id="rId5" Type="http://schemas.openxmlformats.org/officeDocument/2006/relationships/ctrlProp" Target="../ctrlProps/ctrlProp39.xml"/><Relationship Id="rId10" Type="http://schemas.openxmlformats.org/officeDocument/2006/relationships/ctrlProp" Target="../ctrlProps/ctrlProp44.xml"/><Relationship Id="rId4" Type="http://schemas.openxmlformats.org/officeDocument/2006/relationships/ctrlProp" Target="../ctrlProps/ctrlProp38.xml"/><Relationship Id="rId9" Type="http://schemas.openxmlformats.org/officeDocument/2006/relationships/ctrlProp" Target="../ctrlProps/ctrlProp43.xml"/><Relationship Id="rId14" Type="http://schemas.openxmlformats.org/officeDocument/2006/relationships/comments" Target="../comments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7D1CB-BC20-458A-8204-D538B10E491E}">
  <sheetPr codeName="Sheet25"/>
  <dimension ref="A1:A2"/>
  <sheetViews>
    <sheetView workbookViewId="0"/>
  </sheetViews>
  <sheetFormatPr defaultRowHeight="13" x14ac:dyDescent="0.2"/>
  <cols>
    <col min="1" max="1" width="11.453125" bestFit="1" customWidth="1"/>
  </cols>
  <sheetData>
    <row r="1" spans="1:1" x14ac:dyDescent="0.2">
      <c r="A1" t="s">
        <v>70</v>
      </c>
    </row>
    <row r="2" spans="1:1" x14ac:dyDescent="0.2">
      <c r="A2" t="s">
        <v>71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9B979-FBB9-4D5C-9EE2-DC4CC5A9DF37}">
  <sheetPr codeName="Sheet90">
    <tabColor theme="9" tint="0.59999389629810485"/>
  </sheetPr>
  <dimension ref="A1:N92"/>
  <sheetViews>
    <sheetView workbookViewId="0"/>
  </sheetViews>
  <sheetFormatPr defaultRowHeight="13" x14ac:dyDescent="0.2"/>
  <cols>
    <col min="1" max="1" width="1.90625" customWidth="1"/>
    <col min="2" max="2" width="4.6328125" customWidth="1"/>
    <col min="3" max="3" width="4.08984375" customWidth="1"/>
    <col min="4" max="4" width="12.6328125" customWidth="1"/>
    <col min="5" max="5" width="13.36328125" customWidth="1"/>
    <col min="6" max="8" width="5.7265625" customWidth="1"/>
    <col min="12" max="12" width="16.7265625" customWidth="1"/>
    <col min="13" max="13" width="3.26953125" customWidth="1"/>
  </cols>
  <sheetData>
    <row r="1" spans="1:13" ht="23.5" x14ac:dyDescent="0.2">
      <c r="A1" s="22"/>
      <c r="B1" s="203" t="s">
        <v>64</v>
      </c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2"/>
    </row>
    <row r="2" spans="1:13" ht="16.5" x14ac:dyDescent="0.2">
      <c r="A2" s="22"/>
      <c r="B2" s="204" t="s">
        <v>177</v>
      </c>
      <c r="C2" s="204"/>
      <c r="D2" s="204"/>
      <c r="E2" s="204"/>
      <c r="F2" s="204"/>
      <c r="G2" s="204"/>
      <c r="H2" s="204"/>
      <c r="I2" s="204"/>
      <c r="J2" s="204"/>
      <c r="K2" s="204"/>
      <c r="L2" s="204"/>
      <c r="M2" s="22"/>
    </row>
    <row r="3" spans="1:13" x14ac:dyDescent="0.2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</row>
    <row r="4" spans="1:13" x14ac:dyDescent="0.2">
      <c r="A4" s="22"/>
      <c r="B4" s="22" t="s">
        <v>81</v>
      </c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</row>
    <row r="5" spans="1:13" x14ac:dyDescent="0.2">
      <c r="A5" s="22"/>
      <c r="B5" s="22" t="s">
        <v>82</v>
      </c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</row>
    <row r="6" spans="1:13" x14ac:dyDescent="0.2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</row>
    <row r="7" spans="1:13" ht="16.5" x14ac:dyDescent="0.2">
      <c r="A7" s="22"/>
      <c r="B7" s="101" t="s">
        <v>73</v>
      </c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</row>
    <row r="8" spans="1:13" ht="16.5" x14ac:dyDescent="0.2">
      <c r="A8" s="22"/>
      <c r="B8" s="101"/>
      <c r="C8" s="22" t="s">
        <v>84</v>
      </c>
      <c r="D8" s="22"/>
      <c r="E8" s="22"/>
      <c r="F8" s="22"/>
      <c r="G8" s="22"/>
      <c r="H8" s="22"/>
      <c r="I8" s="22"/>
      <c r="J8" s="22"/>
      <c r="K8" s="22"/>
      <c r="L8" s="22"/>
      <c r="M8" s="22"/>
    </row>
    <row r="9" spans="1:13" ht="13.5" thickBot="1" x14ac:dyDescent="0.25">
      <c r="A9" s="22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</row>
    <row r="10" spans="1:13" ht="13.5" thickBot="1" x14ac:dyDescent="0.25">
      <c r="A10" s="22"/>
      <c r="B10" s="22"/>
      <c r="C10" s="108"/>
      <c r="D10" s="107" t="s">
        <v>83</v>
      </c>
      <c r="E10" s="22"/>
      <c r="F10" s="22"/>
      <c r="G10" s="22"/>
      <c r="H10" s="108" t="s">
        <v>85</v>
      </c>
      <c r="I10" s="107" t="s">
        <v>110</v>
      </c>
      <c r="J10" s="22"/>
      <c r="K10" s="22"/>
      <c r="L10" s="22"/>
      <c r="M10" s="22"/>
    </row>
    <row r="11" spans="1:13" x14ac:dyDescent="0.2">
      <c r="A11" s="22"/>
      <c r="B11" s="22"/>
      <c r="C11" s="22"/>
      <c r="D11" s="22"/>
      <c r="E11" s="22"/>
      <c r="F11" s="22"/>
      <c r="G11" s="22"/>
      <c r="H11" s="22"/>
      <c r="I11" s="107" t="s">
        <v>111</v>
      </c>
      <c r="J11" s="22"/>
      <c r="K11" s="22"/>
      <c r="L11" s="22"/>
      <c r="M11" s="22"/>
    </row>
    <row r="12" spans="1:13" ht="16.5" x14ac:dyDescent="0.2">
      <c r="A12" s="22"/>
      <c r="B12" s="101" t="s">
        <v>65</v>
      </c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</row>
    <row r="13" spans="1:13" x14ac:dyDescent="0.2">
      <c r="A13" s="22"/>
      <c r="B13" s="22"/>
      <c r="C13" s="22" t="s">
        <v>66</v>
      </c>
      <c r="D13" s="22"/>
      <c r="E13" s="22"/>
      <c r="F13" s="22"/>
      <c r="G13" s="22"/>
      <c r="H13" s="22"/>
      <c r="I13" s="22"/>
      <c r="J13" s="22"/>
      <c r="K13" s="22"/>
      <c r="L13" s="22"/>
      <c r="M13" s="22"/>
    </row>
    <row r="14" spans="1:13" x14ac:dyDescent="0.2">
      <c r="A14" s="22"/>
      <c r="B14" s="22"/>
      <c r="C14" s="22"/>
      <c r="D14" s="22" t="s">
        <v>156</v>
      </c>
      <c r="E14" s="22"/>
      <c r="F14" s="22"/>
      <c r="G14" s="22"/>
      <c r="H14" s="22"/>
      <c r="I14" s="22"/>
      <c r="J14" s="22"/>
      <c r="K14" s="22"/>
      <c r="L14" s="22"/>
      <c r="M14" s="22"/>
    </row>
    <row r="15" spans="1:13" x14ac:dyDescent="0.2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</row>
    <row r="16" spans="1:13" x14ac:dyDescent="0.2">
      <c r="A16" s="22"/>
      <c r="B16" s="22"/>
      <c r="C16" s="22" t="s">
        <v>67</v>
      </c>
      <c r="D16" s="22"/>
      <c r="E16" s="22"/>
      <c r="F16" s="22"/>
      <c r="G16" s="22"/>
      <c r="H16" s="22"/>
      <c r="I16" s="22"/>
      <c r="J16" s="22"/>
      <c r="K16" s="22"/>
      <c r="L16" s="22"/>
      <c r="M16" s="22"/>
    </row>
    <row r="17" spans="1:13" x14ac:dyDescent="0.2">
      <c r="A17" s="22"/>
      <c r="B17" s="22"/>
      <c r="C17" s="22"/>
      <c r="D17" s="22" t="s">
        <v>74</v>
      </c>
      <c r="E17" s="22"/>
      <c r="F17" s="22"/>
      <c r="G17" s="22"/>
      <c r="H17" s="22"/>
      <c r="I17" s="22"/>
      <c r="J17" s="22"/>
      <c r="K17" s="22"/>
      <c r="L17" s="22"/>
      <c r="M17" s="22"/>
    </row>
    <row r="18" spans="1:13" x14ac:dyDescent="0.2">
      <c r="A18" s="22"/>
      <c r="B18" s="22"/>
      <c r="C18" s="22"/>
      <c r="D18" s="22" t="s">
        <v>86</v>
      </c>
      <c r="E18" s="22"/>
      <c r="F18" s="22"/>
      <c r="G18" s="22"/>
      <c r="H18" s="22"/>
      <c r="I18" s="22"/>
      <c r="J18" s="22"/>
      <c r="K18" s="22"/>
      <c r="L18" s="22"/>
      <c r="M18" s="22"/>
    </row>
    <row r="19" spans="1:13" x14ac:dyDescent="0.2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</row>
    <row r="20" spans="1:13" x14ac:dyDescent="0.2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</row>
    <row r="21" spans="1:13" x14ac:dyDescent="0.2">
      <c r="A21" s="22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</row>
    <row r="22" spans="1:13" x14ac:dyDescent="0.2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</row>
    <row r="23" spans="1:13" x14ac:dyDescent="0.2">
      <c r="A23" s="22"/>
      <c r="B23" s="22"/>
      <c r="C23" s="22" t="s">
        <v>112</v>
      </c>
      <c r="D23" s="22"/>
      <c r="E23" s="22"/>
      <c r="F23" s="22"/>
      <c r="G23" s="22"/>
      <c r="H23" s="22"/>
      <c r="I23" s="22"/>
      <c r="J23" s="22"/>
      <c r="K23" s="22"/>
      <c r="L23" s="22"/>
      <c r="M23" s="22"/>
    </row>
    <row r="24" spans="1:13" x14ac:dyDescent="0.2">
      <c r="A24" s="22"/>
      <c r="B24" s="22"/>
      <c r="C24" s="22"/>
      <c r="D24" s="22" t="s">
        <v>113</v>
      </c>
      <c r="E24" s="22"/>
      <c r="F24" s="22"/>
      <c r="G24" s="22"/>
      <c r="H24" s="22"/>
      <c r="I24" s="22"/>
      <c r="J24" s="22"/>
      <c r="K24" s="22"/>
      <c r="L24" s="22"/>
      <c r="M24" s="22"/>
    </row>
    <row r="25" spans="1:13" x14ac:dyDescent="0.2">
      <c r="A25" s="22"/>
      <c r="B25" s="22"/>
      <c r="C25" s="22"/>
      <c r="D25" s="141" t="s">
        <v>116</v>
      </c>
      <c r="E25" s="22"/>
      <c r="F25" s="22"/>
      <c r="G25" s="22"/>
      <c r="H25" s="22"/>
      <c r="I25" s="22"/>
      <c r="J25" s="22"/>
      <c r="K25" s="22"/>
      <c r="L25" s="22"/>
      <c r="M25" s="22"/>
    </row>
    <row r="26" spans="1:13" x14ac:dyDescent="0.2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</row>
    <row r="27" spans="1:13" x14ac:dyDescent="0.2">
      <c r="A27" s="22"/>
      <c r="B27" s="22"/>
      <c r="C27" s="22" t="s">
        <v>115</v>
      </c>
      <c r="D27" s="22"/>
      <c r="E27" s="22"/>
      <c r="F27" s="22"/>
      <c r="G27" s="22"/>
      <c r="H27" s="22"/>
      <c r="I27" s="22"/>
      <c r="J27" s="22"/>
      <c r="K27" s="22"/>
      <c r="L27" s="22"/>
      <c r="M27" s="22"/>
    </row>
    <row r="28" spans="1:13" x14ac:dyDescent="0.2">
      <c r="A28" s="22"/>
      <c r="B28" s="22"/>
      <c r="C28" s="22"/>
      <c r="D28" s="22" t="s">
        <v>75</v>
      </c>
      <c r="E28" s="22"/>
      <c r="F28" s="22"/>
      <c r="G28" s="22"/>
      <c r="H28" s="22"/>
      <c r="I28" s="22"/>
      <c r="J28" s="22"/>
      <c r="K28" s="22"/>
      <c r="L28" s="22"/>
      <c r="M28" s="22"/>
    </row>
    <row r="29" spans="1:13" x14ac:dyDescent="0.2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</row>
    <row r="30" spans="1:13" x14ac:dyDescent="0.2">
      <c r="A30" s="22"/>
      <c r="B30" s="22"/>
      <c r="C30" s="22" t="s">
        <v>114</v>
      </c>
      <c r="D30" s="22"/>
      <c r="E30" s="22"/>
      <c r="F30" s="22"/>
      <c r="G30" s="22"/>
      <c r="H30" s="22"/>
      <c r="I30" s="22"/>
      <c r="J30" s="22"/>
      <c r="K30" s="22"/>
      <c r="L30" s="22"/>
      <c r="M30" s="22"/>
    </row>
    <row r="31" spans="1:13" x14ac:dyDescent="0.2">
      <c r="A31" s="22"/>
      <c r="B31" s="22"/>
      <c r="C31" s="22"/>
      <c r="D31" s="22" t="s">
        <v>105</v>
      </c>
      <c r="E31" s="22"/>
      <c r="F31" s="22"/>
      <c r="G31" s="22"/>
      <c r="H31" s="22"/>
      <c r="I31" s="22"/>
      <c r="J31" s="22"/>
      <c r="K31" s="22"/>
      <c r="L31" s="22"/>
      <c r="M31" s="22"/>
    </row>
    <row r="32" spans="1:13" x14ac:dyDescent="0.2">
      <c r="A32" s="22"/>
      <c r="B32" s="22"/>
      <c r="C32" s="22"/>
      <c r="D32" s="22" t="s">
        <v>106</v>
      </c>
      <c r="E32" s="22"/>
      <c r="F32" s="22"/>
      <c r="G32" s="22"/>
      <c r="H32" s="22"/>
      <c r="I32" s="22"/>
      <c r="J32" s="22"/>
      <c r="K32" s="22"/>
      <c r="L32" s="22"/>
      <c r="M32" s="22"/>
    </row>
    <row r="33" spans="1:13" x14ac:dyDescent="0.2">
      <c r="A33" s="22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</row>
    <row r="34" spans="1:13" x14ac:dyDescent="0.2">
      <c r="A34" s="22"/>
      <c r="B34" s="22"/>
      <c r="C34" s="107" t="s">
        <v>117</v>
      </c>
      <c r="D34" s="22"/>
      <c r="E34" s="22"/>
      <c r="F34" s="22"/>
      <c r="G34" s="22"/>
      <c r="H34" s="22"/>
      <c r="I34" s="22"/>
      <c r="J34" s="22"/>
      <c r="K34" s="22"/>
      <c r="L34" s="22"/>
      <c r="M34" s="22"/>
    </row>
    <row r="35" spans="1:13" x14ac:dyDescent="0.2">
      <c r="A35" s="22"/>
      <c r="B35" s="22"/>
      <c r="C35" s="22"/>
      <c r="D35" s="22" t="s">
        <v>118</v>
      </c>
      <c r="E35" s="22"/>
      <c r="F35" s="22"/>
      <c r="G35" s="22"/>
      <c r="H35" s="22"/>
      <c r="I35" s="22"/>
      <c r="J35" s="22"/>
      <c r="K35" s="22"/>
      <c r="L35" s="22"/>
      <c r="M35" s="22"/>
    </row>
    <row r="36" spans="1:13" x14ac:dyDescent="0.2">
      <c r="A36" s="22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</row>
    <row r="37" spans="1:13" x14ac:dyDescent="0.2">
      <c r="A37" s="22"/>
      <c r="B37" s="22"/>
      <c r="C37" s="22" t="s">
        <v>119</v>
      </c>
      <c r="D37" s="22"/>
      <c r="E37" s="22"/>
      <c r="F37" s="22"/>
      <c r="G37" s="22"/>
      <c r="H37" s="22"/>
      <c r="I37" s="22"/>
      <c r="J37" s="22"/>
      <c r="K37" s="22"/>
      <c r="L37" s="22"/>
      <c r="M37" s="22"/>
    </row>
    <row r="38" spans="1:13" x14ac:dyDescent="0.2">
      <c r="A38" s="22"/>
      <c r="B38" s="22"/>
      <c r="C38" s="22"/>
      <c r="D38" s="22" t="s">
        <v>76</v>
      </c>
      <c r="E38" s="22"/>
      <c r="F38" s="22"/>
      <c r="G38" s="22"/>
      <c r="H38" s="22"/>
      <c r="I38" s="22"/>
      <c r="J38" s="22"/>
      <c r="K38" s="22"/>
      <c r="L38" s="22"/>
      <c r="M38" s="22"/>
    </row>
    <row r="39" spans="1:13" x14ac:dyDescent="0.2">
      <c r="A39" s="22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</row>
    <row r="40" spans="1:13" x14ac:dyDescent="0.2">
      <c r="A40" s="22"/>
      <c r="B40" s="22"/>
      <c r="C40" s="22" t="s">
        <v>120</v>
      </c>
      <c r="D40" s="22"/>
      <c r="E40" s="22"/>
      <c r="F40" s="22"/>
      <c r="G40" s="22"/>
      <c r="H40" s="22"/>
      <c r="I40" s="22"/>
      <c r="J40" s="22"/>
      <c r="K40" s="22"/>
      <c r="L40" s="22"/>
      <c r="M40" s="22"/>
    </row>
    <row r="41" spans="1:13" x14ac:dyDescent="0.2">
      <c r="A41" s="22"/>
      <c r="B41" s="22"/>
      <c r="C41" s="22"/>
      <c r="D41" s="22" t="s">
        <v>77</v>
      </c>
      <c r="E41" s="22"/>
      <c r="F41" s="22"/>
      <c r="G41" s="22"/>
      <c r="H41" s="22"/>
      <c r="I41" s="22"/>
      <c r="J41" s="22"/>
      <c r="K41" s="22"/>
      <c r="L41" s="22"/>
      <c r="M41" s="22"/>
    </row>
    <row r="42" spans="1:13" x14ac:dyDescent="0.2">
      <c r="A42" s="22"/>
      <c r="B42" s="22"/>
      <c r="C42" s="22"/>
      <c r="D42" s="22" t="s">
        <v>133</v>
      </c>
      <c r="E42" s="22"/>
      <c r="F42" s="22"/>
      <c r="G42" s="22"/>
      <c r="H42" s="22"/>
      <c r="I42" s="22"/>
      <c r="J42" s="22"/>
      <c r="K42" s="22"/>
      <c r="L42" s="22"/>
      <c r="M42" s="22"/>
    </row>
    <row r="43" spans="1:13" x14ac:dyDescent="0.2">
      <c r="A43" s="22"/>
      <c r="B43" s="22"/>
      <c r="C43" s="22"/>
      <c r="D43" s="149" t="s">
        <v>134</v>
      </c>
      <c r="E43" s="22"/>
      <c r="F43" s="22"/>
      <c r="G43" s="22"/>
      <c r="H43" s="22"/>
      <c r="I43" s="22"/>
      <c r="J43" s="22"/>
      <c r="K43" s="22"/>
      <c r="L43" s="22"/>
      <c r="M43" s="22"/>
    </row>
    <row r="44" spans="1:13" x14ac:dyDescent="0.2">
      <c r="A44" s="22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</row>
    <row r="45" spans="1:13" x14ac:dyDescent="0.2">
      <c r="A45" s="22"/>
      <c r="B45" s="22"/>
      <c r="C45" s="22"/>
      <c r="D45" s="22"/>
      <c r="E45" s="22"/>
      <c r="F45" s="22"/>
      <c r="G45" s="22"/>
      <c r="H45" s="22"/>
      <c r="I45" s="22"/>
      <c r="J45" s="22"/>
      <c r="K45" s="130" t="s">
        <v>103</v>
      </c>
      <c r="L45" s="171"/>
      <c r="M45" s="22"/>
    </row>
    <row r="46" spans="1:13" x14ac:dyDescent="0.2">
      <c r="A46" s="22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</row>
    <row r="47" spans="1:13" x14ac:dyDescent="0.2">
      <c r="A47" s="22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</row>
    <row r="48" spans="1:13" x14ac:dyDescent="0.2">
      <c r="A48" s="22"/>
      <c r="B48" s="22"/>
      <c r="C48" s="22" t="s">
        <v>121</v>
      </c>
      <c r="D48" s="22"/>
      <c r="E48" s="22"/>
      <c r="F48" s="22"/>
      <c r="G48" s="22"/>
      <c r="H48" s="22"/>
      <c r="I48" s="22"/>
      <c r="J48" s="22"/>
      <c r="K48" s="22"/>
      <c r="L48" s="22"/>
      <c r="M48" s="22"/>
    </row>
    <row r="49" spans="1:14" x14ac:dyDescent="0.2">
      <c r="A49" s="22"/>
      <c r="B49" s="22"/>
      <c r="C49" s="22"/>
      <c r="D49" s="22" t="s">
        <v>78</v>
      </c>
      <c r="E49" s="22"/>
      <c r="F49" s="22"/>
      <c r="G49" s="22"/>
      <c r="H49" s="22"/>
      <c r="I49" s="22"/>
      <c r="J49" s="22"/>
      <c r="K49" s="22"/>
      <c r="L49" s="22"/>
      <c r="M49" s="22"/>
    </row>
    <row r="50" spans="1:14" x14ac:dyDescent="0.2">
      <c r="A50" s="22"/>
      <c r="B50" s="22"/>
      <c r="C50" s="22"/>
      <c r="D50" s="22" t="s">
        <v>153</v>
      </c>
      <c r="E50" s="22"/>
      <c r="F50" s="22"/>
      <c r="G50" s="22"/>
      <c r="H50" s="22"/>
      <c r="I50" s="22"/>
      <c r="J50" s="22"/>
      <c r="K50" s="22"/>
      <c r="L50" s="22"/>
      <c r="M50" s="22"/>
    </row>
    <row r="51" spans="1:14" x14ac:dyDescent="0.2">
      <c r="A51" s="22"/>
      <c r="B51" s="22"/>
      <c r="C51" s="22"/>
      <c r="D51" s="22" t="s">
        <v>125</v>
      </c>
      <c r="E51" s="22"/>
      <c r="F51" s="22"/>
      <c r="G51" s="22"/>
      <c r="H51" s="22"/>
      <c r="I51" s="22"/>
      <c r="J51" s="22"/>
      <c r="K51" s="22"/>
      <c r="L51" s="22"/>
      <c r="M51" s="22"/>
    </row>
    <row r="52" spans="1:14" x14ac:dyDescent="0.2">
      <c r="A52" s="22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</row>
    <row r="53" spans="1:14" x14ac:dyDescent="0.2">
      <c r="A53" s="22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</row>
    <row r="54" spans="1:14" x14ac:dyDescent="0.2">
      <c r="A54" s="22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</row>
    <row r="55" spans="1:14" x14ac:dyDescent="0.2">
      <c r="A55" s="22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</row>
    <row r="56" spans="1:14" x14ac:dyDescent="0.2">
      <c r="A56" s="22"/>
      <c r="B56" s="22"/>
      <c r="C56" s="22"/>
      <c r="D56" s="22" t="s">
        <v>79</v>
      </c>
      <c r="E56" s="22"/>
      <c r="F56" s="22"/>
      <c r="G56" s="22"/>
      <c r="H56" s="22"/>
      <c r="I56" s="22"/>
      <c r="J56" s="22"/>
      <c r="K56" s="22"/>
      <c r="L56" s="22"/>
      <c r="M56" s="22"/>
    </row>
    <row r="57" spans="1:14" x14ac:dyDescent="0.2">
      <c r="A57" s="22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</row>
    <row r="58" spans="1:14" x14ac:dyDescent="0.2">
      <c r="A58" s="22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147"/>
    </row>
    <row r="59" spans="1:14" x14ac:dyDescent="0.2">
      <c r="A59" s="22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</row>
    <row r="60" spans="1:14" x14ac:dyDescent="0.2">
      <c r="A60" s="22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</row>
    <row r="61" spans="1:14" x14ac:dyDescent="0.2">
      <c r="A61" s="22"/>
      <c r="B61" s="22"/>
      <c r="C61" s="107" t="s">
        <v>154</v>
      </c>
      <c r="D61" s="22"/>
      <c r="E61" s="22"/>
      <c r="F61" s="22"/>
      <c r="G61" s="22"/>
      <c r="H61" s="22"/>
      <c r="I61" s="22"/>
      <c r="J61" s="22"/>
      <c r="K61" s="22"/>
      <c r="L61" s="22"/>
      <c r="M61" s="22"/>
    </row>
    <row r="62" spans="1:14" x14ac:dyDescent="0.2">
      <c r="A62" s="22"/>
      <c r="B62" s="22"/>
      <c r="C62" s="22"/>
      <c r="D62" s="22" t="s">
        <v>123</v>
      </c>
      <c r="E62" s="22"/>
      <c r="F62" s="22"/>
      <c r="G62" s="22"/>
      <c r="H62" s="22"/>
      <c r="I62" s="22"/>
      <c r="J62" s="22"/>
      <c r="K62" s="22"/>
      <c r="L62" s="22"/>
      <c r="M62" s="22"/>
    </row>
    <row r="63" spans="1:14" x14ac:dyDescent="0.2">
      <c r="A63" s="22"/>
      <c r="B63" s="22"/>
      <c r="C63" s="22"/>
      <c r="D63" s="22" t="s">
        <v>155</v>
      </c>
      <c r="E63" s="22"/>
      <c r="F63" s="22"/>
      <c r="G63" s="22"/>
      <c r="H63" s="22"/>
      <c r="I63" s="22"/>
      <c r="J63" s="22"/>
      <c r="K63" s="22"/>
      <c r="L63" s="22"/>
      <c r="M63" s="22"/>
    </row>
    <row r="64" spans="1:14" x14ac:dyDescent="0.2">
      <c r="A64" s="22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</row>
    <row r="65" spans="1:14" x14ac:dyDescent="0.2">
      <c r="A65" s="22"/>
      <c r="B65" s="22"/>
      <c r="C65" s="22"/>
      <c r="D65" s="22"/>
      <c r="E65" s="22"/>
      <c r="F65" s="22"/>
      <c r="G65" s="22"/>
      <c r="H65" s="22"/>
      <c r="I65" s="22"/>
      <c r="J65" s="22"/>
      <c r="K65" s="130" t="s">
        <v>103</v>
      </c>
      <c r="L65" s="171"/>
      <c r="M65" s="22"/>
    </row>
    <row r="66" spans="1:14" x14ac:dyDescent="0.2">
      <c r="A66" s="22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</row>
    <row r="67" spans="1:14" ht="13.5" thickBot="1" x14ac:dyDescent="0.25">
      <c r="A67" s="22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</row>
    <row r="68" spans="1:14" ht="13.5" thickBot="1" x14ac:dyDescent="0.25">
      <c r="A68" s="22"/>
      <c r="B68" s="22"/>
      <c r="C68" s="22"/>
      <c r="D68" s="22" t="s">
        <v>130</v>
      </c>
      <c r="E68" s="148"/>
      <c r="F68" s="22" t="s">
        <v>128</v>
      </c>
      <c r="G68" s="22"/>
      <c r="H68" s="22"/>
      <c r="I68" s="22"/>
      <c r="J68" s="22"/>
      <c r="K68" s="22"/>
      <c r="L68" s="22"/>
      <c r="M68" s="22"/>
      <c r="N68" s="147"/>
    </row>
    <row r="69" spans="1:14" ht="13.5" thickBot="1" x14ac:dyDescent="0.25">
      <c r="A69" s="22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</row>
    <row r="70" spans="1:14" ht="13.5" thickBot="1" x14ac:dyDescent="0.25">
      <c r="A70" s="22"/>
      <c r="B70" s="22"/>
      <c r="C70" s="22"/>
      <c r="D70" s="22" t="s">
        <v>132</v>
      </c>
      <c r="E70" s="22"/>
      <c r="F70" s="108"/>
      <c r="G70" s="22" t="s">
        <v>129</v>
      </c>
      <c r="H70" s="22"/>
      <c r="I70" s="22"/>
      <c r="J70" s="22"/>
      <c r="K70" s="22"/>
      <c r="L70" s="22"/>
      <c r="M70" s="22"/>
      <c r="N70" s="147"/>
    </row>
    <row r="71" spans="1:14" x14ac:dyDescent="0.2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</row>
    <row r="72" spans="1:14" x14ac:dyDescent="0.2">
      <c r="A72" s="22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</row>
    <row r="73" spans="1:14" x14ac:dyDescent="0.2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</row>
    <row r="74" spans="1:14" x14ac:dyDescent="0.2">
      <c r="A74" s="22"/>
      <c r="B74" s="22"/>
      <c r="C74" s="107" t="s">
        <v>122</v>
      </c>
      <c r="D74" s="22"/>
      <c r="E74" s="22"/>
      <c r="F74" s="22"/>
      <c r="G74" s="22"/>
      <c r="H74" s="22"/>
      <c r="I74" s="22"/>
      <c r="J74" s="22"/>
      <c r="K74" s="22"/>
      <c r="L74" s="22"/>
      <c r="M74" s="22"/>
    </row>
    <row r="75" spans="1:14" x14ac:dyDescent="0.2">
      <c r="A75" s="22"/>
      <c r="B75" s="22"/>
      <c r="C75" s="22"/>
      <c r="D75" s="22" t="s">
        <v>124</v>
      </c>
      <c r="E75" s="22"/>
      <c r="F75" s="22"/>
      <c r="G75" s="22"/>
      <c r="H75" s="22"/>
      <c r="I75" s="22"/>
      <c r="J75" s="22"/>
      <c r="K75" s="22"/>
      <c r="L75" s="22"/>
      <c r="M75" s="22"/>
    </row>
    <row r="76" spans="1:14" x14ac:dyDescent="0.2">
      <c r="A76" s="22"/>
      <c r="B76" s="22"/>
      <c r="C76" s="22"/>
      <c r="D76" s="22" t="s">
        <v>108</v>
      </c>
      <c r="E76" s="22"/>
      <c r="F76" s="22"/>
      <c r="G76" s="22"/>
      <c r="H76" s="22"/>
      <c r="I76" s="22"/>
      <c r="J76" s="22"/>
      <c r="K76" s="22"/>
      <c r="L76" s="22"/>
      <c r="M76" s="22"/>
    </row>
    <row r="77" spans="1:14" x14ac:dyDescent="0.2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</row>
    <row r="78" spans="1:14" x14ac:dyDescent="0.2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</row>
    <row r="79" spans="1:14" x14ac:dyDescent="0.2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</row>
    <row r="80" spans="1:14" x14ac:dyDescent="0.2">
      <c r="A80" s="22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</row>
    <row r="81" spans="1:13" x14ac:dyDescent="0.2">
      <c r="A81" s="22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</row>
    <row r="82" spans="1:13" ht="16.5" x14ac:dyDescent="0.2">
      <c r="A82" s="22"/>
      <c r="B82" s="97" t="s">
        <v>68</v>
      </c>
      <c r="C82" s="97"/>
      <c r="D82" s="22"/>
      <c r="E82" s="22"/>
      <c r="F82" s="22"/>
      <c r="G82" s="22"/>
      <c r="H82" s="22"/>
      <c r="I82" s="22"/>
      <c r="J82" s="22"/>
      <c r="K82" s="22"/>
      <c r="L82" s="22"/>
      <c r="M82" s="22"/>
    </row>
    <row r="83" spans="1:13" ht="16.5" x14ac:dyDescent="0.2">
      <c r="A83" s="22"/>
      <c r="B83" s="97"/>
      <c r="C83" s="97" t="s">
        <v>69</v>
      </c>
      <c r="D83" s="22"/>
      <c r="E83" s="22"/>
      <c r="F83" s="22"/>
      <c r="G83" s="22"/>
      <c r="H83" s="22"/>
      <c r="I83" s="22"/>
      <c r="J83" s="22"/>
      <c r="K83" s="22"/>
      <c r="L83" s="22"/>
      <c r="M83" s="22"/>
    </row>
    <row r="84" spans="1:13" x14ac:dyDescent="0.2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</row>
    <row r="85" spans="1:13" x14ac:dyDescent="0.2">
      <c r="A85" s="22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</row>
    <row r="87" spans="1:13" x14ac:dyDescent="0.2">
      <c r="A87" s="143"/>
      <c r="B87" s="143"/>
      <c r="C87" s="143"/>
      <c r="D87" s="143"/>
      <c r="E87" s="143"/>
      <c r="F87" s="143"/>
      <c r="G87" s="143"/>
      <c r="H87" s="143"/>
      <c r="I87" s="143"/>
      <c r="J87" s="143"/>
      <c r="K87" s="143"/>
      <c r="L87" s="143"/>
      <c r="M87" s="143"/>
    </row>
    <row r="88" spans="1:13" x14ac:dyDescent="0.2">
      <c r="A88" s="143"/>
      <c r="B88" s="143" t="s">
        <v>127</v>
      </c>
      <c r="C88" s="143"/>
      <c r="D88" s="143"/>
      <c r="E88" s="143"/>
      <c r="F88" s="143"/>
      <c r="G88" s="143"/>
      <c r="H88" s="143"/>
      <c r="I88" s="143"/>
      <c r="J88" s="143"/>
      <c r="K88" s="143"/>
      <c r="L88" s="143"/>
      <c r="M88" s="143"/>
    </row>
    <row r="89" spans="1:13" x14ac:dyDescent="0.2">
      <c r="A89" s="143"/>
      <c r="B89" s="143"/>
      <c r="C89" s="143"/>
      <c r="D89" s="143"/>
      <c r="E89" s="143"/>
      <c r="F89" s="143"/>
      <c r="G89" s="143"/>
      <c r="H89" s="143"/>
      <c r="I89" s="143"/>
      <c r="J89" s="143"/>
      <c r="K89" s="143"/>
      <c r="L89" s="143"/>
      <c r="M89" s="143"/>
    </row>
    <row r="90" spans="1:13" x14ac:dyDescent="0.2">
      <c r="A90" s="143"/>
      <c r="B90" s="143"/>
      <c r="C90" s="143"/>
      <c r="D90" s="143"/>
      <c r="E90" s="143"/>
      <c r="F90" s="143"/>
      <c r="G90" s="143"/>
      <c r="H90" s="143"/>
      <c r="I90" s="143"/>
      <c r="J90" s="143"/>
      <c r="K90" s="143"/>
      <c r="L90" s="143"/>
      <c r="M90" s="143"/>
    </row>
    <row r="91" spans="1:13" x14ac:dyDescent="0.2">
      <c r="A91" s="143"/>
      <c r="B91" s="143"/>
      <c r="C91" s="143"/>
      <c r="D91" s="143"/>
      <c r="E91" s="143"/>
      <c r="F91" s="143"/>
      <c r="G91" s="143"/>
      <c r="H91" s="143"/>
      <c r="I91" s="143"/>
      <c r="J91" s="143"/>
      <c r="K91" s="143"/>
      <c r="L91" s="143"/>
      <c r="M91" s="143"/>
    </row>
    <row r="92" spans="1:13" ht="18" customHeight="1" x14ac:dyDescent="0.2">
      <c r="A92" s="143"/>
      <c r="B92" s="143" t="s">
        <v>167</v>
      </c>
      <c r="C92" s="143"/>
      <c r="D92" s="143"/>
      <c r="E92" s="143"/>
      <c r="F92" s="143"/>
      <c r="G92" s="143"/>
      <c r="H92" s="143"/>
      <c r="I92" s="143"/>
      <c r="J92" s="143"/>
      <c r="K92" s="143"/>
      <c r="L92" s="143"/>
      <c r="M92" s="143"/>
    </row>
  </sheetData>
  <mergeCells count="2">
    <mergeCell ref="B1:L1"/>
    <mergeCell ref="B2:L2"/>
  </mergeCells>
  <phoneticPr fontId="1"/>
  <conditionalFormatting sqref="L74:L86 L3:L22 L27:L60 L93:L1042">
    <cfRule type="colorScale" priority="78">
      <colorScale>
        <cfvo type="min"/>
        <cfvo type="max"/>
        <color rgb="FFFF7128"/>
        <color rgb="FFFFEF9C"/>
      </colorScale>
    </cfRule>
  </conditionalFormatting>
  <conditionalFormatting sqref="L23:L26">
    <cfRule type="colorScale" priority="4">
      <colorScale>
        <cfvo type="min"/>
        <cfvo type="max"/>
        <color rgb="FFFF7128"/>
        <color rgb="FFFFEF9C"/>
      </colorScale>
    </cfRule>
  </conditionalFormatting>
  <conditionalFormatting sqref="L65">
    <cfRule type="colorScale" priority="3">
      <colorScale>
        <cfvo type="min"/>
        <cfvo type="max"/>
        <color rgb="FFFF7128"/>
        <color rgb="FFFFEF9C"/>
      </colorScale>
    </cfRule>
  </conditionalFormatting>
  <conditionalFormatting sqref="L87:L92">
    <cfRule type="colorScale" priority="2">
      <colorScale>
        <cfvo type="min"/>
        <cfvo type="max"/>
        <color rgb="FFFF7128"/>
        <color rgb="FFFFEF9C"/>
      </colorScale>
    </cfRule>
  </conditionalFormatting>
  <conditionalFormatting sqref="L61:L64 L66:L67 L73">
    <cfRule type="colorScale" priority="82">
      <colorScale>
        <cfvo type="min"/>
        <cfvo type="max"/>
        <color rgb="FFFF7128"/>
        <color rgb="FFFFEF9C"/>
      </colorScale>
    </cfRule>
  </conditionalFormatting>
  <conditionalFormatting sqref="L68:L72">
    <cfRule type="colorScale" priority="1">
      <colorScale>
        <cfvo type="min"/>
        <cfvo type="max"/>
        <color rgb="FFFF7128"/>
        <color rgb="FFFFEF9C"/>
      </colorScale>
    </cfRule>
  </conditionalFormatting>
  <dataValidations disablePrompts="1" count="1">
    <dataValidation type="list" allowBlank="1" showInputMessage="1" showErrorMessage="1" sqref="F70" xr:uid="{7CD82E5F-470D-44F5-A301-86663DCCE051}">
      <formula1>"○"</formula1>
    </dataValidation>
  </dataValidations>
  <pageMargins left="0.25" right="0.25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tnMTimetable">
              <controlPr defaultSize="0" print="0" autoFill="0" autoPict="0" macro="[0]!btnMTimetable_Click">
                <anchor moveWithCells="1" sizeWithCells="1">
                  <from>
                    <xdr:col>2</xdr:col>
                    <xdr:colOff>247650</xdr:colOff>
                    <xdr:row>43</xdr:row>
                    <xdr:rowOff>38100</xdr:rowOff>
                  </from>
                  <to>
                    <xdr:col>10</xdr:col>
                    <xdr:colOff>69850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btnMUnchin_Click">
                <anchor moveWithCells="1" sizeWithCells="1">
                  <from>
                    <xdr:col>3</xdr:col>
                    <xdr:colOff>19050</xdr:colOff>
                    <xdr:row>51</xdr:row>
                    <xdr:rowOff>76200</xdr:rowOff>
                  </from>
                  <to>
                    <xdr:col>10</xdr:col>
                    <xdr:colOff>69850</xdr:colOff>
                    <xdr:row>53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btnMSujiyaUnchin_Click">
                <anchor moveWithCells="1" sizeWithCells="1">
                  <from>
                    <xdr:col>3</xdr:col>
                    <xdr:colOff>19050</xdr:colOff>
                    <xdr:row>76</xdr:row>
                    <xdr:rowOff>95250</xdr:rowOff>
                  </from>
                  <to>
                    <xdr:col>10</xdr:col>
                    <xdr:colOff>69850</xdr:colOff>
                    <xdr:row>78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7" name="Button 6">
              <controlPr defaultSize="0" print="0" autoFill="0" autoPict="0" macro="[0]!btnMPutTeiryujoID_Click">
                <anchor moveWithCells="1" sizeWithCells="1">
                  <from>
                    <xdr:col>2</xdr:col>
                    <xdr:colOff>247650</xdr:colOff>
                    <xdr:row>18</xdr:row>
                    <xdr:rowOff>69850</xdr:rowOff>
                  </from>
                  <to>
                    <xdr:col>10</xdr:col>
                    <xdr:colOff>69850</xdr:colOff>
                    <xdr:row>20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8" name="Button 7">
              <controlPr defaultSize="0" print="0" autoFill="0" autoPict="0" macro="[0]!btnMGTFS_Click">
                <anchor moveWithCells="1" sizeWithCells="1">
                  <from>
                    <xdr:col>3</xdr:col>
                    <xdr:colOff>19050</xdr:colOff>
                    <xdr:row>63</xdr:row>
                    <xdr:rowOff>95250</xdr:rowOff>
                  </from>
                  <to>
                    <xdr:col>10</xdr:col>
                    <xdr:colOff>69850</xdr:colOff>
                    <xdr:row>65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9" name="Button 8">
              <controlPr defaultSize="0" print="0" autoFill="0" autoPict="0" macro="[0]!btnMImpport_Click">
                <anchor moveWithCells="1" sizeWithCells="1">
                  <from>
                    <xdr:col>2</xdr:col>
                    <xdr:colOff>298450</xdr:colOff>
                    <xdr:row>89</xdr:row>
                    <xdr:rowOff>31750</xdr:rowOff>
                  </from>
                  <to>
                    <xdr:col>10</xdr:col>
                    <xdr:colOff>38100</xdr:colOff>
                    <xdr:row>91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0" name="Button 9">
              <controlPr defaultSize="0" print="0" autoFill="0" autoPict="0" macro="[0]!運賃空白チェック">
                <anchor moveWithCells="1" sizeWithCells="1">
                  <from>
                    <xdr:col>3</xdr:col>
                    <xdr:colOff>19050</xdr:colOff>
                    <xdr:row>56</xdr:row>
                    <xdr:rowOff>76200</xdr:rowOff>
                  </from>
                  <to>
                    <xdr:col>10</xdr:col>
                    <xdr:colOff>69850</xdr:colOff>
                    <xdr:row>58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1" name="Button 12">
              <controlPr defaultSize="0" print="0" autoFill="0" autoPict="0" macro="[0]!btnMHelp1_Click">
                <anchor moveWithCells="1" sizeWithCells="1">
                  <from>
                    <xdr:col>9</xdr:col>
                    <xdr:colOff>457200</xdr:colOff>
                    <xdr:row>66</xdr:row>
                    <xdr:rowOff>171450</xdr:rowOff>
                  </from>
                  <to>
                    <xdr:col>10</xdr:col>
                    <xdr:colOff>317500</xdr:colOff>
                    <xdr:row>68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2" name="Button 13">
              <controlPr defaultSize="0" print="0" autoFill="0" autoPict="0" macro="[0]!btnMHelp2_Click">
                <anchor moveWithCells="1" sizeWithCells="1">
                  <from>
                    <xdr:col>10</xdr:col>
                    <xdr:colOff>476250</xdr:colOff>
                    <xdr:row>68</xdr:row>
                    <xdr:rowOff>171450</xdr:rowOff>
                  </from>
                  <to>
                    <xdr:col>11</xdr:col>
                    <xdr:colOff>285750</xdr:colOff>
                    <xdr:row>70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3" name="Button 15">
              <controlPr defaultSize="0" print="0" autoFill="0" autoPict="0" macro="[0]!btnMGTFSValidator_Click">
                <anchor moveWithCells="1" sizeWithCells="1">
                  <from>
                    <xdr:col>3</xdr:col>
                    <xdr:colOff>438150</xdr:colOff>
                    <xdr:row>70</xdr:row>
                    <xdr:rowOff>133350</xdr:rowOff>
                  </from>
                  <to>
                    <xdr:col>4</xdr:col>
                    <xdr:colOff>857250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4" name="Button 16">
              <controlPr defaultSize="0" print="0" autoFill="0" autoPict="0" macro="[0]!btnMGTFSTestViewer_Click">
                <anchor moveWithCells="1" sizeWithCells="1">
                  <from>
                    <xdr:col>5</xdr:col>
                    <xdr:colOff>95250</xdr:colOff>
                    <xdr:row>70</xdr:row>
                    <xdr:rowOff>133350</xdr:rowOff>
                  </from>
                  <to>
                    <xdr:col>8</xdr:col>
                    <xdr:colOff>171450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15" name="Button 18">
              <controlPr defaultSize="0" print="0" autoFill="0" autoPict="0" macro="[0]!btnMGTFSJP_Click">
                <anchor moveWithCells="1" sizeWithCells="1">
                  <from>
                    <xdr:col>13</xdr:col>
                    <xdr:colOff>146050</xdr:colOff>
                    <xdr:row>63</xdr:row>
                    <xdr:rowOff>127000</xdr:rowOff>
                  </from>
                  <to>
                    <xdr:col>16</xdr:col>
                    <xdr:colOff>488950</xdr:colOff>
                    <xdr:row>65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5B3D4-F8D4-443A-AD5D-E049642165B1}">
  <sheetPr codeName="Sheet62">
    <tabColor rgb="FFFF99FF"/>
  </sheetPr>
  <dimension ref="A1:D1"/>
  <sheetViews>
    <sheetView workbookViewId="0"/>
  </sheetViews>
  <sheetFormatPr defaultRowHeight="13" x14ac:dyDescent="0.2"/>
  <cols>
    <col min="1" max="1" width="24.6328125" customWidth="1"/>
    <col min="2" max="2" width="12.7265625" bestFit="1" customWidth="1"/>
    <col min="4" max="4" width="179.7265625" customWidth="1"/>
  </cols>
  <sheetData>
    <row r="1" spans="1:4" x14ac:dyDescent="0.2">
      <c r="A1" t="s">
        <v>173</v>
      </c>
      <c r="B1" t="s">
        <v>174</v>
      </c>
      <c r="C1" t="s">
        <v>175</v>
      </c>
      <c r="D1" t="s">
        <v>176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51"/>
  <sheetViews>
    <sheetView workbookViewId="0"/>
  </sheetViews>
  <sheetFormatPr defaultRowHeight="13" x14ac:dyDescent="0.2"/>
  <cols>
    <col min="1" max="1" width="11.6328125" style="133" customWidth="1"/>
    <col min="2" max="2" width="26" customWidth="1"/>
    <col min="3" max="3" width="12.453125" style="133" bestFit="1" customWidth="1"/>
    <col min="4" max="4" width="72.36328125" customWidth="1"/>
  </cols>
  <sheetData>
    <row r="1" spans="1:4" x14ac:dyDescent="0.2">
      <c r="A1" s="132" t="s">
        <v>20</v>
      </c>
      <c r="B1" s="116" t="s">
        <v>28</v>
      </c>
      <c r="C1" s="134" t="s">
        <v>21</v>
      </c>
      <c r="D1" s="116" t="s">
        <v>22</v>
      </c>
    </row>
    <row r="2" spans="1:4" x14ac:dyDescent="0.2">
      <c r="A2" s="144"/>
      <c r="B2" s="110"/>
      <c r="C2" s="144"/>
      <c r="D2" s="145"/>
    </row>
    <row r="3" spans="1:4" x14ac:dyDescent="0.2">
      <c r="A3" s="144"/>
      <c r="B3" s="110"/>
      <c r="C3" s="144"/>
      <c r="D3" s="110"/>
    </row>
    <row r="4" spans="1:4" x14ac:dyDescent="0.2">
      <c r="A4" s="144"/>
      <c r="B4" s="110"/>
      <c r="C4" s="144"/>
      <c r="D4" s="110"/>
    </row>
    <row r="5" spans="1:4" x14ac:dyDescent="0.2">
      <c r="A5" s="144"/>
      <c r="B5" s="110"/>
      <c r="C5" s="144"/>
      <c r="D5" s="110"/>
    </row>
    <row r="6" spans="1:4" x14ac:dyDescent="0.2">
      <c r="A6" s="144"/>
      <c r="B6" s="110"/>
      <c r="C6" s="144"/>
      <c r="D6" s="110"/>
    </row>
    <row r="7" spans="1:4" x14ac:dyDescent="0.2">
      <c r="A7" s="144"/>
      <c r="B7" s="110"/>
      <c r="C7" s="144"/>
      <c r="D7" s="110"/>
    </row>
    <row r="8" spans="1:4" x14ac:dyDescent="0.2">
      <c r="A8" s="144"/>
      <c r="B8" s="110"/>
      <c r="C8" s="144"/>
      <c r="D8" s="110"/>
    </row>
    <row r="9" spans="1:4" x14ac:dyDescent="0.2">
      <c r="A9" s="144"/>
      <c r="B9" s="110"/>
      <c r="C9" s="144"/>
      <c r="D9" s="110"/>
    </row>
    <row r="10" spans="1:4" x14ac:dyDescent="0.2">
      <c r="A10" s="144"/>
      <c r="B10" s="110"/>
      <c r="C10" s="144"/>
      <c r="D10" s="110"/>
    </row>
    <row r="11" spans="1:4" x14ac:dyDescent="0.2">
      <c r="A11" s="144"/>
      <c r="B11" s="110"/>
      <c r="C11" s="144"/>
      <c r="D11" s="110"/>
    </row>
    <row r="12" spans="1:4" x14ac:dyDescent="0.2">
      <c r="A12" s="144"/>
      <c r="B12" s="110"/>
      <c r="C12" s="144"/>
      <c r="D12" s="110"/>
    </row>
    <row r="13" spans="1:4" x14ac:dyDescent="0.2">
      <c r="A13" s="144"/>
      <c r="B13" s="110"/>
      <c r="C13" s="144"/>
      <c r="D13" s="110"/>
    </row>
    <row r="14" spans="1:4" x14ac:dyDescent="0.2">
      <c r="A14" s="144"/>
      <c r="B14" s="110"/>
      <c r="C14" s="144"/>
      <c r="D14" s="110"/>
    </row>
    <row r="15" spans="1:4" x14ac:dyDescent="0.2">
      <c r="A15" s="144"/>
      <c r="B15" s="110"/>
      <c r="C15" s="144"/>
      <c r="D15" s="110"/>
    </row>
    <row r="16" spans="1:4" x14ac:dyDescent="0.2">
      <c r="A16" s="144"/>
      <c r="B16" s="110"/>
      <c r="C16" s="144"/>
      <c r="D16" s="110"/>
    </row>
    <row r="17" spans="1:4" x14ac:dyDescent="0.2">
      <c r="A17" s="144"/>
      <c r="B17" s="110"/>
      <c r="C17" s="144"/>
      <c r="D17" s="110"/>
    </row>
    <row r="18" spans="1:4" x14ac:dyDescent="0.2">
      <c r="A18" s="144"/>
      <c r="B18" s="110"/>
      <c r="C18" s="144"/>
      <c r="D18" s="110"/>
    </row>
    <row r="19" spans="1:4" x14ac:dyDescent="0.2">
      <c r="A19" s="144"/>
      <c r="B19" s="110"/>
      <c r="C19" s="144"/>
      <c r="D19" s="110"/>
    </row>
    <row r="20" spans="1:4" x14ac:dyDescent="0.2">
      <c r="A20" s="144"/>
      <c r="B20" s="110"/>
      <c r="C20" s="144"/>
      <c r="D20" s="110"/>
    </row>
    <row r="21" spans="1:4" x14ac:dyDescent="0.2">
      <c r="A21" s="144"/>
      <c r="B21" s="110"/>
      <c r="C21" s="144"/>
      <c r="D21" s="110"/>
    </row>
    <row r="22" spans="1:4" x14ac:dyDescent="0.2">
      <c r="A22" s="144"/>
      <c r="B22" s="110"/>
      <c r="C22" s="144"/>
      <c r="D22" s="110"/>
    </row>
    <row r="23" spans="1:4" x14ac:dyDescent="0.2">
      <c r="A23" s="144"/>
      <c r="B23" s="110"/>
      <c r="C23" s="144"/>
      <c r="D23" s="110"/>
    </row>
    <row r="24" spans="1:4" x14ac:dyDescent="0.2">
      <c r="A24" s="144"/>
      <c r="B24" s="110"/>
      <c r="C24" s="144"/>
      <c r="D24" s="110"/>
    </row>
    <row r="25" spans="1:4" x14ac:dyDescent="0.2">
      <c r="A25" s="144"/>
      <c r="B25" s="110"/>
      <c r="C25" s="144"/>
      <c r="D25" s="110"/>
    </row>
    <row r="26" spans="1:4" x14ac:dyDescent="0.2">
      <c r="A26" s="144"/>
      <c r="B26" s="110"/>
      <c r="C26" s="144"/>
      <c r="D26" s="110"/>
    </row>
    <row r="27" spans="1:4" x14ac:dyDescent="0.2">
      <c r="A27" s="144"/>
      <c r="B27" s="110"/>
      <c r="C27" s="144"/>
      <c r="D27" s="110"/>
    </row>
    <row r="28" spans="1:4" x14ac:dyDescent="0.2">
      <c r="A28" s="144"/>
      <c r="B28" s="110"/>
      <c r="C28" s="144"/>
      <c r="D28" s="110"/>
    </row>
    <row r="29" spans="1:4" x14ac:dyDescent="0.2">
      <c r="A29" s="144"/>
      <c r="B29" s="110"/>
      <c r="C29" s="144"/>
      <c r="D29" s="110"/>
    </row>
    <row r="30" spans="1:4" x14ac:dyDescent="0.2">
      <c r="A30" s="144"/>
      <c r="B30" s="110"/>
      <c r="C30" s="144"/>
      <c r="D30" s="110"/>
    </row>
    <row r="31" spans="1:4" x14ac:dyDescent="0.2">
      <c r="A31" s="144"/>
      <c r="B31" s="110"/>
      <c r="C31" s="144"/>
      <c r="D31" s="110"/>
    </row>
    <row r="32" spans="1:4" x14ac:dyDescent="0.2">
      <c r="A32" s="144"/>
      <c r="B32" s="110"/>
      <c r="C32" s="144"/>
      <c r="D32" s="110"/>
    </row>
    <row r="33" spans="1:4" x14ac:dyDescent="0.2">
      <c r="A33" s="144"/>
      <c r="B33" s="110"/>
      <c r="C33" s="144"/>
      <c r="D33" s="110"/>
    </row>
    <row r="34" spans="1:4" x14ac:dyDescent="0.2">
      <c r="A34" s="144"/>
      <c r="B34" s="110"/>
      <c r="C34" s="144"/>
      <c r="D34" s="110"/>
    </row>
    <row r="35" spans="1:4" x14ac:dyDescent="0.2">
      <c r="A35" s="144"/>
      <c r="B35" s="110"/>
      <c r="C35" s="144"/>
      <c r="D35" s="110"/>
    </row>
    <row r="36" spans="1:4" x14ac:dyDescent="0.2">
      <c r="A36" s="144"/>
      <c r="B36" s="110"/>
      <c r="C36" s="144"/>
      <c r="D36" s="110"/>
    </row>
    <row r="37" spans="1:4" x14ac:dyDescent="0.2">
      <c r="A37" s="144"/>
      <c r="B37" s="110"/>
      <c r="C37" s="144"/>
      <c r="D37" s="110"/>
    </row>
    <row r="38" spans="1:4" x14ac:dyDescent="0.2">
      <c r="A38" s="144"/>
      <c r="B38" s="110"/>
      <c r="C38" s="144"/>
      <c r="D38" s="110"/>
    </row>
    <row r="39" spans="1:4" x14ac:dyDescent="0.2">
      <c r="A39" s="144"/>
      <c r="B39" s="110"/>
      <c r="C39" s="144"/>
      <c r="D39" s="110"/>
    </row>
    <row r="40" spans="1:4" x14ac:dyDescent="0.2">
      <c r="A40" s="144"/>
      <c r="B40" s="110"/>
      <c r="C40" s="144"/>
      <c r="D40" s="110"/>
    </row>
    <row r="41" spans="1:4" x14ac:dyDescent="0.2">
      <c r="A41" s="144"/>
      <c r="B41" s="110"/>
      <c r="C41" s="144"/>
      <c r="D41" s="110"/>
    </row>
    <row r="42" spans="1:4" x14ac:dyDescent="0.2">
      <c r="A42" s="144"/>
      <c r="B42" s="110"/>
      <c r="C42" s="144"/>
      <c r="D42" s="110"/>
    </row>
    <row r="43" spans="1:4" x14ac:dyDescent="0.2">
      <c r="A43" s="144"/>
      <c r="B43" s="110"/>
      <c r="C43" s="144"/>
      <c r="D43" s="110"/>
    </row>
    <row r="44" spans="1:4" x14ac:dyDescent="0.2">
      <c r="A44" s="144"/>
      <c r="B44" s="110"/>
      <c r="C44" s="144"/>
      <c r="D44" s="110"/>
    </row>
    <row r="45" spans="1:4" x14ac:dyDescent="0.2">
      <c r="A45" s="144"/>
      <c r="B45" s="110"/>
      <c r="C45" s="144"/>
      <c r="D45" s="110"/>
    </row>
    <row r="46" spans="1:4" x14ac:dyDescent="0.2">
      <c r="A46" s="144"/>
      <c r="B46" s="110"/>
      <c r="C46" s="144"/>
      <c r="D46" s="110"/>
    </row>
    <row r="47" spans="1:4" x14ac:dyDescent="0.2">
      <c r="A47" s="144"/>
      <c r="B47" s="110"/>
      <c r="C47" s="144"/>
      <c r="D47" s="110"/>
    </row>
    <row r="48" spans="1:4" x14ac:dyDescent="0.2">
      <c r="A48" s="144"/>
      <c r="B48" s="110"/>
      <c r="C48" s="144"/>
      <c r="D48" s="110"/>
    </row>
    <row r="49" spans="1:4" x14ac:dyDescent="0.2">
      <c r="A49" s="144"/>
      <c r="B49" s="110"/>
      <c r="C49" s="144"/>
      <c r="D49" s="110"/>
    </row>
    <row r="50" spans="1:4" x14ac:dyDescent="0.2">
      <c r="A50" s="144"/>
      <c r="B50" s="110"/>
      <c r="C50" s="144"/>
      <c r="D50" s="110"/>
    </row>
    <row r="51" spans="1:4" x14ac:dyDescent="0.2">
      <c r="A51" s="144"/>
      <c r="B51" s="110"/>
      <c r="C51" s="144"/>
      <c r="D51" s="110"/>
    </row>
    <row r="52" spans="1:4" x14ac:dyDescent="0.2">
      <c r="A52" s="144"/>
      <c r="B52" s="110"/>
      <c r="C52" s="144"/>
      <c r="D52" s="110"/>
    </row>
    <row r="53" spans="1:4" x14ac:dyDescent="0.2">
      <c r="A53" s="144"/>
      <c r="B53" s="110"/>
      <c r="C53" s="144"/>
      <c r="D53" s="110"/>
    </row>
    <row r="54" spans="1:4" x14ac:dyDescent="0.2">
      <c r="A54" s="144"/>
      <c r="B54" s="110"/>
      <c r="C54" s="144"/>
      <c r="D54" s="110"/>
    </row>
    <row r="55" spans="1:4" x14ac:dyDescent="0.2">
      <c r="A55" s="144"/>
      <c r="B55" s="110"/>
      <c r="C55" s="144"/>
      <c r="D55" s="110"/>
    </row>
    <row r="56" spans="1:4" x14ac:dyDescent="0.2">
      <c r="A56" s="144"/>
      <c r="B56" s="110"/>
      <c r="C56" s="144"/>
      <c r="D56" s="110"/>
    </row>
    <row r="57" spans="1:4" x14ac:dyDescent="0.2">
      <c r="A57" s="144"/>
      <c r="B57" s="110"/>
      <c r="C57" s="144"/>
      <c r="D57" s="110"/>
    </row>
    <row r="58" spans="1:4" x14ac:dyDescent="0.2">
      <c r="A58" s="144"/>
      <c r="B58" s="110"/>
      <c r="C58" s="144"/>
      <c r="D58" s="110"/>
    </row>
    <row r="59" spans="1:4" x14ac:dyDescent="0.2">
      <c r="A59" s="144"/>
      <c r="B59" s="110"/>
      <c r="C59" s="144"/>
      <c r="D59" s="110"/>
    </row>
    <row r="60" spans="1:4" x14ac:dyDescent="0.2">
      <c r="A60" s="144"/>
      <c r="B60" s="110"/>
      <c r="C60" s="144"/>
      <c r="D60" s="110"/>
    </row>
    <row r="61" spans="1:4" x14ac:dyDescent="0.2">
      <c r="A61" s="144"/>
      <c r="B61" s="110"/>
      <c r="C61" s="144"/>
      <c r="D61" s="110"/>
    </row>
    <row r="62" spans="1:4" x14ac:dyDescent="0.2">
      <c r="A62" s="144"/>
      <c r="B62" s="110"/>
      <c r="C62" s="144"/>
      <c r="D62" s="110"/>
    </row>
    <row r="63" spans="1:4" x14ac:dyDescent="0.2">
      <c r="A63" s="144"/>
      <c r="B63" s="110"/>
      <c r="C63" s="144"/>
      <c r="D63" s="110"/>
    </row>
    <row r="64" spans="1:4" x14ac:dyDescent="0.2">
      <c r="A64" s="144"/>
      <c r="B64" s="110"/>
      <c r="C64" s="144"/>
      <c r="D64" s="110"/>
    </row>
    <row r="65" spans="1:4" x14ac:dyDescent="0.2">
      <c r="A65" s="144"/>
      <c r="B65" s="110"/>
      <c r="C65" s="144"/>
      <c r="D65" s="110"/>
    </row>
    <row r="66" spans="1:4" x14ac:dyDescent="0.2">
      <c r="A66" s="144"/>
      <c r="B66" s="110"/>
      <c r="C66" s="144"/>
      <c r="D66" s="110"/>
    </row>
    <row r="67" spans="1:4" x14ac:dyDescent="0.2">
      <c r="A67" s="144"/>
      <c r="B67" s="110"/>
      <c r="C67" s="144"/>
      <c r="D67" s="110"/>
    </row>
    <row r="68" spans="1:4" x14ac:dyDescent="0.2">
      <c r="A68" s="144"/>
      <c r="B68" s="110"/>
      <c r="C68" s="144"/>
      <c r="D68" s="110"/>
    </row>
    <row r="69" spans="1:4" x14ac:dyDescent="0.2">
      <c r="A69" s="144"/>
      <c r="B69" s="110"/>
      <c r="C69" s="144"/>
      <c r="D69" s="110"/>
    </row>
    <row r="70" spans="1:4" x14ac:dyDescent="0.2">
      <c r="A70" s="144"/>
      <c r="B70" s="110"/>
      <c r="C70" s="144"/>
      <c r="D70" s="110"/>
    </row>
    <row r="71" spans="1:4" x14ac:dyDescent="0.2">
      <c r="A71" s="144"/>
      <c r="B71" s="110"/>
      <c r="C71" s="144"/>
      <c r="D71" s="110"/>
    </row>
    <row r="72" spans="1:4" x14ac:dyDescent="0.2">
      <c r="A72" s="144"/>
      <c r="B72" s="110"/>
      <c r="C72" s="144"/>
      <c r="D72" s="110"/>
    </row>
    <row r="73" spans="1:4" x14ac:dyDescent="0.2">
      <c r="A73" s="144"/>
      <c r="B73" s="110"/>
      <c r="C73" s="144"/>
      <c r="D73" s="110"/>
    </row>
    <row r="74" spans="1:4" x14ac:dyDescent="0.2">
      <c r="A74" s="144"/>
      <c r="B74" s="110"/>
      <c r="C74" s="144"/>
      <c r="D74" s="110"/>
    </row>
    <row r="75" spans="1:4" x14ac:dyDescent="0.2">
      <c r="A75" s="144"/>
      <c r="B75" s="110"/>
      <c r="C75" s="144"/>
      <c r="D75" s="110"/>
    </row>
    <row r="76" spans="1:4" x14ac:dyDescent="0.2">
      <c r="A76" s="144"/>
      <c r="B76" s="110"/>
      <c r="C76" s="144"/>
      <c r="D76" s="110"/>
    </row>
    <row r="77" spans="1:4" x14ac:dyDescent="0.2">
      <c r="A77" s="144"/>
      <c r="B77" s="110"/>
      <c r="C77" s="144"/>
      <c r="D77" s="110"/>
    </row>
    <row r="78" spans="1:4" x14ac:dyDescent="0.2">
      <c r="A78" s="144"/>
      <c r="B78" s="110"/>
      <c r="C78" s="144"/>
      <c r="D78" s="110"/>
    </row>
    <row r="79" spans="1:4" x14ac:dyDescent="0.2">
      <c r="A79" s="144"/>
      <c r="B79" s="110"/>
      <c r="C79" s="144"/>
      <c r="D79" s="110"/>
    </row>
    <row r="80" spans="1:4" x14ac:dyDescent="0.2">
      <c r="A80" s="144"/>
      <c r="B80" s="110"/>
      <c r="C80" s="144"/>
      <c r="D80" s="110"/>
    </row>
    <row r="81" spans="1:4" x14ac:dyDescent="0.2">
      <c r="A81" s="144"/>
      <c r="B81" s="110"/>
      <c r="C81" s="144"/>
      <c r="D81" s="110"/>
    </row>
    <row r="82" spans="1:4" x14ac:dyDescent="0.2">
      <c r="A82" s="144"/>
      <c r="B82" s="110"/>
      <c r="C82" s="144"/>
      <c r="D82" s="110"/>
    </row>
    <row r="83" spans="1:4" x14ac:dyDescent="0.2">
      <c r="A83" s="144"/>
      <c r="B83" s="110"/>
      <c r="C83" s="144"/>
      <c r="D83" s="110"/>
    </row>
    <row r="84" spans="1:4" x14ac:dyDescent="0.2">
      <c r="A84" s="144"/>
      <c r="B84" s="110"/>
      <c r="C84" s="144"/>
      <c r="D84" s="110"/>
    </row>
    <row r="85" spans="1:4" x14ac:dyDescent="0.2">
      <c r="A85" s="144"/>
      <c r="B85" s="110"/>
      <c r="C85" s="144"/>
      <c r="D85" s="110"/>
    </row>
    <row r="86" spans="1:4" x14ac:dyDescent="0.2">
      <c r="A86" s="144"/>
      <c r="B86" s="110"/>
      <c r="C86" s="144"/>
      <c r="D86" s="110"/>
    </row>
    <row r="87" spans="1:4" x14ac:dyDescent="0.2">
      <c r="A87" s="144"/>
      <c r="B87" s="110"/>
      <c r="C87" s="144"/>
      <c r="D87" s="110"/>
    </row>
    <row r="88" spans="1:4" x14ac:dyDescent="0.2">
      <c r="A88" s="144"/>
      <c r="B88" s="110"/>
      <c r="C88" s="144"/>
      <c r="D88" s="110"/>
    </row>
    <row r="89" spans="1:4" x14ac:dyDescent="0.2">
      <c r="A89" s="144"/>
      <c r="B89" s="110"/>
      <c r="C89" s="144"/>
      <c r="D89" s="110"/>
    </row>
    <row r="90" spans="1:4" x14ac:dyDescent="0.2">
      <c r="A90" s="144"/>
      <c r="B90" s="110"/>
      <c r="C90" s="144"/>
      <c r="D90" s="110"/>
    </row>
    <row r="91" spans="1:4" x14ac:dyDescent="0.2">
      <c r="A91" s="144"/>
      <c r="B91" s="110"/>
      <c r="C91" s="144"/>
      <c r="D91" s="110"/>
    </row>
    <row r="92" spans="1:4" x14ac:dyDescent="0.2">
      <c r="A92" s="144"/>
      <c r="B92" s="110"/>
      <c r="C92" s="144"/>
      <c r="D92" s="110"/>
    </row>
    <row r="93" spans="1:4" x14ac:dyDescent="0.2">
      <c r="A93" s="144"/>
      <c r="B93" s="110"/>
      <c r="C93" s="144"/>
      <c r="D93" s="110"/>
    </row>
    <row r="94" spans="1:4" x14ac:dyDescent="0.2">
      <c r="A94" s="144"/>
      <c r="B94" s="110"/>
      <c r="C94" s="144"/>
      <c r="D94" s="110"/>
    </row>
    <row r="95" spans="1:4" x14ac:dyDescent="0.2">
      <c r="A95" s="144"/>
      <c r="B95" s="110"/>
      <c r="C95" s="144"/>
      <c r="D95" s="110"/>
    </row>
    <row r="96" spans="1:4" x14ac:dyDescent="0.2">
      <c r="A96" s="144"/>
      <c r="B96" s="110"/>
      <c r="C96" s="144"/>
      <c r="D96" s="110"/>
    </row>
    <row r="97" spans="1:4" x14ac:dyDescent="0.2">
      <c r="A97" s="144"/>
      <c r="B97" s="110"/>
      <c r="C97" s="144"/>
      <c r="D97" s="110"/>
    </row>
    <row r="98" spans="1:4" x14ac:dyDescent="0.2">
      <c r="A98" s="144"/>
      <c r="B98" s="110"/>
      <c r="C98" s="144"/>
      <c r="D98" s="110"/>
    </row>
    <row r="99" spans="1:4" x14ac:dyDescent="0.2">
      <c r="A99" s="144"/>
      <c r="B99" s="110"/>
      <c r="C99" s="144"/>
      <c r="D99" s="110"/>
    </row>
    <row r="100" spans="1:4" x14ac:dyDescent="0.2">
      <c r="A100" s="144"/>
      <c r="B100" s="110"/>
      <c r="C100" s="144"/>
      <c r="D100" s="110"/>
    </row>
    <row r="101" spans="1:4" x14ac:dyDescent="0.2">
      <c r="A101" s="144"/>
      <c r="B101" s="110"/>
      <c r="C101" s="144"/>
      <c r="D101" s="110"/>
    </row>
    <row r="102" spans="1:4" x14ac:dyDescent="0.2">
      <c r="A102" s="144"/>
      <c r="B102" s="110"/>
      <c r="C102" s="144"/>
      <c r="D102" s="110"/>
    </row>
    <row r="103" spans="1:4" x14ac:dyDescent="0.2">
      <c r="A103" s="144"/>
      <c r="B103" s="110"/>
      <c r="C103" s="144"/>
      <c r="D103" s="110"/>
    </row>
    <row r="104" spans="1:4" x14ac:dyDescent="0.2">
      <c r="A104" s="144"/>
      <c r="B104" s="110"/>
      <c r="C104" s="144"/>
      <c r="D104" s="110"/>
    </row>
    <row r="105" spans="1:4" x14ac:dyDescent="0.2">
      <c r="A105" s="144"/>
      <c r="B105" s="110"/>
      <c r="C105" s="144"/>
      <c r="D105" s="110"/>
    </row>
    <row r="106" spans="1:4" x14ac:dyDescent="0.2">
      <c r="A106" s="144"/>
      <c r="B106" s="110"/>
      <c r="C106" s="144"/>
      <c r="D106" s="110"/>
    </row>
    <row r="107" spans="1:4" x14ac:dyDescent="0.2">
      <c r="A107" s="144"/>
      <c r="B107" s="110"/>
      <c r="C107" s="144"/>
      <c r="D107" s="110"/>
    </row>
    <row r="108" spans="1:4" x14ac:dyDescent="0.2">
      <c r="A108" s="144"/>
      <c r="B108" s="110"/>
      <c r="C108" s="144"/>
      <c r="D108" s="110"/>
    </row>
    <row r="109" spans="1:4" x14ac:dyDescent="0.2">
      <c r="A109" s="144"/>
      <c r="B109" s="110"/>
      <c r="C109" s="144"/>
      <c r="D109" s="110"/>
    </row>
    <row r="110" spans="1:4" x14ac:dyDescent="0.2">
      <c r="A110" s="144"/>
      <c r="B110" s="110"/>
      <c r="C110" s="144"/>
      <c r="D110" s="110"/>
    </row>
    <row r="111" spans="1:4" x14ac:dyDescent="0.2">
      <c r="A111" s="144"/>
      <c r="B111" s="110"/>
      <c r="C111" s="144"/>
      <c r="D111" s="110"/>
    </row>
    <row r="112" spans="1:4" x14ac:dyDescent="0.2">
      <c r="A112" s="144"/>
      <c r="B112" s="110"/>
      <c r="C112" s="144"/>
      <c r="D112" s="110"/>
    </row>
    <row r="113" spans="1:4" x14ac:dyDescent="0.2">
      <c r="A113" s="144"/>
      <c r="B113" s="110"/>
      <c r="C113" s="144"/>
      <c r="D113" s="110"/>
    </row>
    <row r="114" spans="1:4" x14ac:dyDescent="0.2">
      <c r="A114" s="144"/>
      <c r="B114" s="110"/>
      <c r="C114" s="144"/>
      <c r="D114" s="110"/>
    </row>
    <row r="115" spans="1:4" x14ac:dyDescent="0.2">
      <c r="A115" s="144"/>
      <c r="B115" s="110"/>
      <c r="C115" s="144"/>
      <c r="D115" s="110"/>
    </row>
    <row r="116" spans="1:4" x14ac:dyDescent="0.2">
      <c r="A116" s="144"/>
      <c r="B116" s="110"/>
      <c r="C116" s="144"/>
      <c r="D116" s="110"/>
    </row>
    <row r="117" spans="1:4" x14ac:dyDescent="0.2">
      <c r="A117" s="144"/>
      <c r="B117" s="110"/>
      <c r="C117" s="144"/>
      <c r="D117" s="110"/>
    </row>
    <row r="118" spans="1:4" x14ac:dyDescent="0.2">
      <c r="A118" s="144"/>
      <c r="B118" s="110"/>
      <c r="C118" s="144"/>
      <c r="D118" s="110"/>
    </row>
    <row r="119" spans="1:4" x14ac:dyDescent="0.2">
      <c r="A119" s="144"/>
      <c r="B119" s="110"/>
      <c r="C119" s="144"/>
      <c r="D119" s="110"/>
    </row>
    <row r="120" spans="1:4" x14ac:dyDescent="0.2">
      <c r="A120" s="144"/>
      <c r="B120" s="110"/>
      <c r="C120" s="144"/>
      <c r="D120" s="110"/>
    </row>
    <row r="121" spans="1:4" x14ac:dyDescent="0.2">
      <c r="A121" s="144"/>
      <c r="B121" s="110"/>
      <c r="C121" s="144"/>
      <c r="D121" s="110"/>
    </row>
    <row r="122" spans="1:4" x14ac:dyDescent="0.2">
      <c r="A122" s="144"/>
      <c r="B122" s="110"/>
      <c r="C122" s="144"/>
      <c r="D122" s="110"/>
    </row>
    <row r="123" spans="1:4" x14ac:dyDescent="0.2">
      <c r="A123" s="144"/>
      <c r="B123" s="110"/>
      <c r="C123" s="144"/>
      <c r="D123" s="110"/>
    </row>
    <row r="124" spans="1:4" x14ac:dyDescent="0.2">
      <c r="A124" s="144"/>
      <c r="B124" s="110"/>
      <c r="C124" s="144"/>
      <c r="D124" s="110"/>
    </row>
    <row r="125" spans="1:4" x14ac:dyDescent="0.2">
      <c r="A125" s="144"/>
      <c r="B125" s="110"/>
      <c r="C125" s="144"/>
      <c r="D125" s="110"/>
    </row>
    <row r="126" spans="1:4" x14ac:dyDescent="0.2">
      <c r="A126" s="144"/>
      <c r="B126" s="110"/>
      <c r="C126" s="144"/>
      <c r="D126" s="110"/>
    </row>
    <row r="127" spans="1:4" x14ac:dyDescent="0.2">
      <c r="A127" s="144"/>
      <c r="B127" s="110"/>
      <c r="C127" s="144"/>
      <c r="D127" s="110"/>
    </row>
    <row r="128" spans="1:4" x14ac:dyDescent="0.2">
      <c r="A128" s="144"/>
      <c r="B128" s="110"/>
      <c r="C128" s="144"/>
      <c r="D128" s="110"/>
    </row>
    <row r="129" spans="1:4" x14ac:dyDescent="0.2">
      <c r="A129" s="144"/>
      <c r="B129" s="110"/>
      <c r="C129" s="144"/>
      <c r="D129" s="110"/>
    </row>
    <row r="130" spans="1:4" x14ac:dyDescent="0.2">
      <c r="A130" s="144"/>
      <c r="B130" s="110"/>
      <c r="C130" s="144"/>
      <c r="D130" s="110"/>
    </row>
    <row r="131" spans="1:4" x14ac:dyDescent="0.2">
      <c r="A131" s="144"/>
      <c r="B131" s="110"/>
      <c r="C131" s="144"/>
      <c r="D131" s="110"/>
    </row>
    <row r="132" spans="1:4" x14ac:dyDescent="0.2">
      <c r="A132" s="144"/>
      <c r="B132" s="110"/>
      <c r="C132" s="144"/>
      <c r="D132" s="110"/>
    </row>
    <row r="133" spans="1:4" x14ac:dyDescent="0.2">
      <c r="A133" s="144"/>
      <c r="B133" s="110"/>
      <c r="C133" s="144"/>
      <c r="D133" s="110"/>
    </row>
    <row r="134" spans="1:4" x14ac:dyDescent="0.2">
      <c r="A134" s="144"/>
      <c r="B134" s="110"/>
      <c r="C134" s="144"/>
      <c r="D134" s="110"/>
    </row>
    <row r="135" spans="1:4" x14ac:dyDescent="0.2">
      <c r="A135" s="144"/>
      <c r="B135" s="110"/>
      <c r="C135" s="144"/>
      <c r="D135" s="110"/>
    </row>
    <row r="136" spans="1:4" x14ac:dyDescent="0.2">
      <c r="A136" s="144"/>
      <c r="B136" s="110"/>
      <c r="C136" s="144"/>
      <c r="D136" s="110"/>
    </row>
    <row r="137" spans="1:4" x14ac:dyDescent="0.2">
      <c r="A137" s="144"/>
      <c r="B137" s="110"/>
      <c r="C137" s="144"/>
      <c r="D137" s="110"/>
    </row>
    <row r="138" spans="1:4" x14ac:dyDescent="0.2">
      <c r="A138" s="144"/>
      <c r="B138" s="110"/>
      <c r="C138" s="144"/>
      <c r="D138" s="110"/>
    </row>
    <row r="139" spans="1:4" x14ac:dyDescent="0.2">
      <c r="A139" s="144"/>
      <c r="B139" s="110"/>
      <c r="C139" s="144"/>
      <c r="D139" s="110"/>
    </row>
    <row r="140" spans="1:4" x14ac:dyDescent="0.2">
      <c r="A140" s="144"/>
      <c r="B140" s="110"/>
      <c r="C140" s="144"/>
      <c r="D140" s="110"/>
    </row>
    <row r="141" spans="1:4" x14ac:dyDescent="0.2">
      <c r="A141" s="144"/>
      <c r="B141" s="110"/>
      <c r="C141" s="144"/>
      <c r="D141" s="110"/>
    </row>
    <row r="142" spans="1:4" x14ac:dyDescent="0.2">
      <c r="A142" s="144"/>
      <c r="B142" s="110"/>
      <c r="C142" s="144"/>
      <c r="D142" s="110"/>
    </row>
    <row r="143" spans="1:4" x14ac:dyDescent="0.2">
      <c r="A143" s="144"/>
      <c r="B143" s="110"/>
      <c r="C143" s="144"/>
      <c r="D143" s="110"/>
    </row>
    <row r="144" spans="1:4" x14ac:dyDescent="0.2">
      <c r="A144" s="144"/>
      <c r="B144" s="110"/>
      <c r="C144" s="144"/>
      <c r="D144" s="110"/>
    </row>
    <row r="145" spans="1:4" x14ac:dyDescent="0.2">
      <c r="A145" s="146"/>
      <c r="B145" s="5"/>
      <c r="C145" s="146"/>
      <c r="D145" s="5"/>
    </row>
    <row r="146" spans="1:4" x14ac:dyDescent="0.2">
      <c r="A146" s="146"/>
      <c r="B146" s="5"/>
      <c r="C146" s="146"/>
      <c r="D146" s="5"/>
    </row>
    <row r="147" spans="1:4" x14ac:dyDescent="0.2">
      <c r="A147" s="146"/>
      <c r="B147" s="5"/>
      <c r="C147" s="146"/>
      <c r="D147" s="5"/>
    </row>
    <row r="148" spans="1:4" x14ac:dyDescent="0.2">
      <c r="A148" s="146"/>
      <c r="B148" s="5"/>
      <c r="C148" s="146"/>
      <c r="D148" s="5"/>
    </row>
    <row r="149" spans="1:4" x14ac:dyDescent="0.2">
      <c r="A149" s="146"/>
      <c r="B149" s="5"/>
      <c r="C149" s="146"/>
      <c r="D149" s="5"/>
    </row>
    <row r="150" spans="1:4" x14ac:dyDescent="0.2">
      <c r="A150" s="146"/>
      <c r="B150" s="5"/>
      <c r="C150" s="146"/>
      <c r="D150" s="5"/>
    </row>
    <row r="151" spans="1:4" x14ac:dyDescent="0.2">
      <c r="A151" s="146"/>
      <c r="B151" s="5"/>
      <c r="C151" s="146"/>
      <c r="D151" s="5"/>
    </row>
  </sheetData>
  <phoneticPr fontId="1"/>
  <dataValidations count="2">
    <dataValidation imeMode="off" allowBlank="1" showInputMessage="1" showErrorMessage="1" sqref="A2:A2351 C2:C2351" xr:uid="{00000000-0002-0000-0000-000000000000}"/>
    <dataValidation imeMode="hiragana" allowBlank="1" showInputMessage="1" showErrorMessage="1" sqref="D2:D2351 B2:B2351" xr:uid="{00000000-0002-0000-0000-000001000000}"/>
  </dataValidations>
  <pageMargins left="0.7" right="0.7" top="0.75" bottom="0.75" header="0.3" footer="0.3"/>
  <pageSetup paperSize="8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D4AE35-8430-451F-A542-46CFE86752B0}">
  <sheetPr codeName="Sheet9"/>
  <dimension ref="A1:E15"/>
  <sheetViews>
    <sheetView workbookViewId="0">
      <selection activeCell="C6" sqref="C6"/>
    </sheetView>
  </sheetViews>
  <sheetFormatPr defaultRowHeight="13" x14ac:dyDescent="0.2"/>
  <cols>
    <col min="1" max="1" width="24.7265625" customWidth="1"/>
    <col min="2" max="2" width="31.08984375" customWidth="1"/>
    <col min="3" max="3" width="34" bestFit="1" customWidth="1"/>
    <col min="4" max="4" width="20.7265625" customWidth="1"/>
    <col min="5" max="5" width="10.08984375" customWidth="1"/>
    <col min="6" max="6" width="14.7265625" customWidth="1"/>
    <col min="7" max="7" width="22.90625" customWidth="1"/>
    <col min="8" max="8" width="31.6328125" customWidth="1"/>
    <col min="9" max="9" width="27.36328125" bestFit="1" customWidth="1"/>
  </cols>
  <sheetData>
    <row r="1" spans="1:5" x14ac:dyDescent="0.2">
      <c r="A1" s="153" t="s">
        <v>136</v>
      </c>
      <c r="B1" s="153" t="s">
        <v>137</v>
      </c>
    </row>
    <row r="2" spans="1:5" x14ac:dyDescent="0.2">
      <c r="A2" s="117" t="s">
        <v>138</v>
      </c>
      <c r="B2" s="2" t="s">
        <v>185</v>
      </c>
    </row>
    <row r="3" spans="1:5" x14ac:dyDescent="0.2">
      <c r="A3" s="1" t="s">
        <v>139</v>
      </c>
      <c r="B3" s="2" t="s">
        <v>179</v>
      </c>
      <c r="C3" s="147"/>
    </row>
    <row r="4" spans="1:5" x14ac:dyDescent="0.2">
      <c r="A4" s="1" t="s">
        <v>140</v>
      </c>
      <c r="B4" s="2"/>
      <c r="C4" s="147"/>
    </row>
    <row r="5" spans="1:5" x14ac:dyDescent="0.2">
      <c r="A5" s="116" t="s">
        <v>13</v>
      </c>
      <c r="B5" s="2"/>
    </row>
    <row r="6" spans="1:5" x14ac:dyDescent="0.2">
      <c r="A6" s="116" t="s">
        <v>0</v>
      </c>
      <c r="B6" s="2"/>
    </row>
    <row r="7" spans="1:5" x14ac:dyDescent="0.2">
      <c r="A7" s="1" t="s">
        <v>1</v>
      </c>
      <c r="B7" s="5" t="s">
        <v>180</v>
      </c>
    </row>
    <row r="8" spans="1:5" x14ac:dyDescent="0.2">
      <c r="A8" s="1" t="s">
        <v>19</v>
      </c>
      <c r="B8" s="151"/>
    </row>
    <row r="9" spans="1:5" x14ac:dyDescent="0.2">
      <c r="A9" s="117" t="s">
        <v>141</v>
      </c>
      <c r="B9" s="7" t="s">
        <v>181</v>
      </c>
      <c r="C9" t="s">
        <v>142</v>
      </c>
    </row>
    <row r="10" spans="1:5" ht="26" x14ac:dyDescent="0.2">
      <c r="A10" s="1" t="s">
        <v>143</v>
      </c>
      <c r="B10" s="7"/>
      <c r="C10" s="152" t="s">
        <v>144</v>
      </c>
    </row>
    <row r="11" spans="1:5" ht="34.5" customHeight="1" x14ac:dyDescent="0.2">
      <c r="A11" s="117" t="s">
        <v>145</v>
      </c>
      <c r="B11" s="142" t="s">
        <v>182</v>
      </c>
    </row>
    <row r="12" spans="1:5" x14ac:dyDescent="0.2">
      <c r="A12" s="117" t="s">
        <v>146</v>
      </c>
      <c r="B12" s="2" t="s">
        <v>183</v>
      </c>
      <c r="C12" s="147"/>
    </row>
    <row r="14" spans="1:5" x14ac:dyDescent="0.2">
      <c r="A14" s="117" t="s">
        <v>147</v>
      </c>
      <c r="B14" s="2" t="s">
        <v>178</v>
      </c>
      <c r="C14" t="s">
        <v>148</v>
      </c>
      <c r="E14" s="147"/>
    </row>
    <row r="15" spans="1:5" x14ac:dyDescent="0.2">
      <c r="A15" s="117" t="s">
        <v>149</v>
      </c>
      <c r="B15" s="7" t="s">
        <v>184</v>
      </c>
      <c r="C15" t="s">
        <v>150</v>
      </c>
      <c r="E15" s="147"/>
    </row>
  </sheetData>
  <phoneticPr fontId="1"/>
  <dataValidations count="3">
    <dataValidation type="list" imeMode="hiragana" allowBlank="1" showInputMessage="1" showErrorMessage="1" sqref="B12" xr:uid="{C02E7786-F283-4FFF-A754-0CCAE907E637}">
      <formula1>"バス,鉄道,路面電車,地下鉄,フェリー,ロープウェイ,ケーブルカー"</formula1>
    </dataValidation>
    <dataValidation imeMode="hiragana" allowBlank="1" showInputMessage="1" showErrorMessage="1" sqref="B14:B15 B2:B6" xr:uid="{0F56410E-ACF3-4035-9DC2-F93D8663A43F}"/>
    <dataValidation imeMode="off" allowBlank="1" showInputMessage="1" showErrorMessage="1" sqref="B7:B11" xr:uid="{715D7F1B-831C-4EE0-8EC8-D727707249CD}"/>
  </dataValidations>
  <pageMargins left="0.7" right="0.7" top="0.75" bottom="0.75" header="0.3" footer="0.3"/>
  <pageSetup paperSize="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Button 1">
              <controlPr defaultSize="0" print="0" autoFill="0" autoPict="0" macro="[0]!btnHojinNo_Click">
                <anchor moveWithCells="1" sizeWithCells="1">
                  <from>
                    <xdr:col>3</xdr:col>
                    <xdr:colOff>95250</xdr:colOff>
                    <xdr:row>10</xdr:row>
                    <xdr:rowOff>50800</xdr:rowOff>
                  </from>
                  <to>
                    <xdr:col>4</xdr:col>
                    <xdr:colOff>184150</xdr:colOff>
                    <xdr:row>10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6" r:id="rId5" name="btnAgencyCopy">
              <controlPr defaultSize="0" print="0" autoFill="0" autoPict="0" macro="[0]!btn_AgencyCopy_Click">
                <anchor moveWithCells="1" sizeWithCells="1">
                  <from>
                    <xdr:col>3</xdr:col>
                    <xdr:colOff>114300</xdr:colOff>
                    <xdr:row>12</xdr:row>
                    <xdr:rowOff>165100</xdr:rowOff>
                  </from>
                  <to>
                    <xdr:col>4</xdr:col>
                    <xdr:colOff>736600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7" r:id="rId6" name="Button 3">
              <controlPr defaultSize="0" print="0" autoFill="0" autoPict="0" macro="[0]!btnHojinNoHekan_Click">
                <anchor moveWithCells="1" sizeWithCells="1">
                  <from>
                    <xdr:col>5</xdr:col>
                    <xdr:colOff>76200</xdr:colOff>
                    <xdr:row>10</xdr:row>
                    <xdr:rowOff>50800</xdr:rowOff>
                  </from>
                  <to>
                    <xdr:col>7</xdr:col>
                    <xdr:colOff>755650</xdr:colOff>
                    <xdr:row>10</xdr:row>
                    <xdr:rowOff>393700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1"/>
  <sheetViews>
    <sheetView workbookViewId="0"/>
  </sheetViews>
  <sheetFormatPr defaultRowHeight="13" x14ac:dyDescent="0.2"/>
  <cols>
    <col min="1" max="1" width="3.453125" customWidth="1"/>
    <col min="2" max="2" width="11.08984375" customWidth="1"/>
    <col min="3" max="3" width="18.36328125" customWidth="1"/>
    <col min="4" max="4" width="19.7265625" customWidth="1"/>
    <col min="5" max="5" width="14.7265625" customWidth="1"/>
    <col min="6" max="6" width="37.08984375" customWidth="1"/>
  </cols>
  <sheetData>
    <row r="1" spans="1:6" x14ac:dyDescent="0.2">
      <c r="A1" s="115" t="s">
        <v>7</v>
      </c>
      <c r="B1" s="116" t="s">
        <v>135</v>
      </c>
      <c r="C1" s="116" t="s">
        <v>14</v>
      </c>
      <c r="D1" s="116" t="s">
        <v>15</v>
      </c>
      <c r="E1" s="116" t="s">
        <v>1</v>
      </c>
      <c r="F1" s="116" t="s">
        <v>23</v>
      </c>
    </row>
    <row r="2" spans="1:6" x14ac:dyDescent="0.2">
      <c r="A2" s="2">
        <v>1</v>
      </c>
      <c r="B2" s="2"/>
      <c r="C2" s="5"/>
      <c r="D2" s="5"/>
      <c r="E2" s="2"/>
      <c r="F2" s="150"/>
    </row>
    <row r="3" spans="1:6" x14ac:dyDescent="0.2">
      <c r="A3" s="2">
        <v>2</v>
      </c>
      <c r="B3" s="2"/>
      <c r="C3" s="5"/>
      <c r="D3" s="5"/>
      <c r="E3" s="2"/>
      <c r="F3" s="150"/>
    </row>
    <row r="4" spans="1:6" x14ac:dyDescent="0.2">
      <c r="A4" s="2">
        <v>3</v>
      </c>
      <c r="B4" s="2"/>
      <c r="C4" s="5"/>
      <c r="D4" s="5"/>
      <c r="E4" s="2"/>
      <c r="F4" s="150"/>
    </row>
    <row r="5" spans="1:6" x14ac:dyDescent="0.2">
      <c r="A5" s="2">
        <v>4</v>
      </c>
      <c r="B5" s="2"/>
      <c r="C5" s="5"/>
      <c r="D5" s="5"/>
      <c r="E5" s="2"/>
      <c r="F5" s="150"/>
    </row>
    <row r="6" spans="1:6" x14ac:dyDescent="0.2">
      <c r="A6" s="2">
        <v>5</v>
      </c>
      <c r="B6" s="2"/>
      <c r="C6" s="5"/>
      <c r="D6" s="5"/>
      <c r="E6" s="2"/>
      <c r="F6" s="150"/>
    </row>
    <row r="7" spans="1:6" x14ac:dyDescent="0.2">
      <c r="A7" s="2">
        <v>6</v>
      </c>
      <c r="B7" s="2"/>
      <c r="C7" s="5"/>
      <c r="D7" s="5"/>
      <c r="E7" s="2"/>
      <c r="F7" s="150"/>
    </row>
    <row r="8" spans="1:6" x14ac:dyDescent="0.2">
      <c r="A8" s="2">
        <v>7</v>
      </c>
      <c r="B8" s="2"/>
      <c r="C8" s="5"/>
      <c r="D8" s="5"/>
      <c r="E8" s="2"/>
      <c r="F8" s="150"/>
    </row>
    <row r="9" spans="1:6" x14ac:dyDescent="0.2">
      <c r="A9" s="2">
        <v>8</v>
      </c>
      <c r="B9" s="2"/>
      <c r="C9" s="5"/>
      <c r="D9" s="5"/>
      <c r="E9" s="2"/>
      <c r="F9" s="150"/>
    </row>
    <row r="10" spans="1:6" x14ac:dyDescent="0.2">
      <c r="A10" s="2">
        <v>9</v>
      </c>
      <c r="B10" s="2"/>
      <c r="C10" s="5"/>
      <c r="D10" s="5"/>
      <c r="E10" s="2"/>
      <c r="F10" s="150"/>
    </row>
    <row r="11" spans="1:6" x14ac:dyDescent="0.2">
      <c r="A11" s="2">
        <v>10</v>
      </c>
      <c r="B11" s="2"/>
      <c r="C11" s="5"/>
      <c r="D11" s="5"/>
      <c r="E11" s="2"/>
      <c r="F11" s="150"/>
    </row>
  </sheetData>
  <phoneticPr fontId="1"/>
  <dataValidations count="2">
    <dataValidation imeMode="off" allowBlank="1" showInputMessage="1" showErrorMessage="1" sqref="B2:B2351 E2:E2351" xr:uid="{00000000-0002-0000-0200-000000000000}"/>
    <dataValidation imeMode="hiragana" allowBlank="1" showInputMessage="1" showErrorMessage="1" sqref="F2:F2351 C2:D2351" xr:uid="{00000000-0002-0000-0200-000001000000}"/>
  </dataValidations>
  <pageMargins left="0.7" right="0.7" top="0.75" bottom="0.75" header="0.3" footer="0.3"/>
  <pageSetup paperSize="8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W173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4" sqref="C4"/>
    </sheetView>
  </sheetViews>
  <sheetFormatPr defaultRowHeight="13" x14ac:dyDescent="0.2"/>
  <cols>
    <col min="1" max="1" width="3" customWidth="1"/>
    <col min="2" max="2" width="7.36328125" customWidth="1"/>
    <col min="3" max="3" width="15.08984375" customWidth="1"/>
    <col min="4" max="4" width="10.453125" style="155" customWidth="1"/>
    <col min="5" max="5" width="6.36328125" customWidth="1"/>
    <col min="6" max="6" width="22.08984375" style="157" customWidth="1"/>
    <col min="7" max="7" width="10.7265625" customWidth="1"/>
    <col min="8" max="8" width="16.26953125" customWidth="1"/>
    <col min="9" max="9" width="17.26953125" customWidth="1"/>
    <col min="10" max="10" width="5.453125" customWidth="1"/>
    <col min="11" max="11" width="8.6328125" customWidth="1"/>
    <col min="12" max="12" width="4.36328125" customWidth="1"/>
    <col min="13" max="13" width="26.26953125" customWidth="1"/>
    <col min="14" max="14" width="16.7265625" customWidth="1"/>
    <col min="15" max="15" width="15.90625" customWidth="1"/>
    <col min="16" max="16" width="18.36328125" style="111" customWidth="1"/>
    <col min="17" max="20" width="20" customWidth="1"/>
    <col min="21" max="21" width="8.26953125" customWidth="1"/>
    <col min="22" max="22" width="9" style="155"/>
    <col min="23" max="23" width="5.26953125" customWidth="1"/>
  </cols>
  <sheetData>
    <row r="1" spans="1:23" x14ac:dyDescent="0.2">
      <c r="A1" s="118" t="s">
        <v>7</v>
      </c>
      <c r="B1" s="121" t="s">
        <v>5</v>
      </c>
      <c r="C1" s="121" t="s">
        <v>46</v>
      </c>
      <c r="D1" s="154" t="s">
        <v>88</v>
      </c>
      <c r="E1" s="120" t="s">
        <v>135</v>
      </c>
      <c r="F1" s="156" t="s">
        <v>89</v>
      </c>
      <c r="G1" s="121" t="s">
        <v>37</v>
      </c>
      <c r="H1" s="121" t="s">
        <v>36</v>
      </c>
      <c r="I1" s="120" t="s">
        <v>35</v>
      </c>
      <c r="J1" s="120" t="s">
        <v>6</v>
      </c>
      <c r="K1" s="4" t="s">
        <v>9</v>
      </c>
      <c r="L1" s="4" t="s">
        <v>10</v>
      </c>
      <c r="M1" s="4" t="s">
        <v>8</v>
      </c>
      <c r="N1" s="4" t="s">
        <v>39</v>
      </c>
      <c r="O1" s="4" t="s">
        <v>40</v>
      </c>
      <c r="P1" s="112" t="s">
        <v>23</v>
      </c>
      <c r="Q1" s="18" t="s">
        <v>126</v>
      </c>
      <c r="R1" s="18" t="s">
        <v>41</v>
      </c>
      <c r="S1" s="18" t="s">
        <v>42</v>
      </c>
      <c r="T1" s="18" t="s">
        <v>43</v>
      </c>
      <c r="U1" s="18" t="s">
        <v>152</v>
      </c>
      <c r="V1" s="163" t="s">
        <v>87</v>
      </c>
      <c r="W1" s="121" t="s">
        <v>151</v>
      </c>
    </row>
    <row r="2" spans="1:23" x14ac:dyDescent="0.2">
      <c r="A2" s="106">
        <v>1</v>
      </c>
      <c r="B2" s="159">
        <v>10101</v>
      </c>
      <c r="C2" s="160" t="s">
        <v>1790</v>
      </c>
      <c r="D2" s="210"/>
      <c r="E2" s="160"/>
      <c r="F2" s="212" t="s">
        <v>2026</v>
      </c>
      <c r="G2" s="160" t="s">
        <v>1792</v>
      </c>
      <c r="H2" s="160" t="s">
        <v>733</v>
      </c>
      <c r="I2" s="160"/>
      <c r="J2" s="160"/>
      <c r="K2" s="160"/>
      <c r="L2" s="160"/>
      <c r="M2" s="160"/>
      <c r="N2" s="160"/>
      <c r="O2" s="160"/>
      <c r="P2" s="160"/>
      <c r="Q2" s="160"/>
      <c r="R2" s="160"/>
      <c r="S2" s="160"/>
      <c r="T2" s="160"/>
      <c r="U2" s="160"/>
      <c r="V2" s="161" t="s">
        <v>2024</v>
      </c>
      <c r="W2" s="160" t="s">
        <v>1793</v>
      </c>
    </row>
    <row r="3" spans="1:23" x14ac:dyDescent="0.2">
      <c r="A3" s="106">
        <v>2</v>
      </c>
      <c r="B3" s="159">
        <v>10102</v>
      </c>
      <c r="C3" s="160" t="s">
        <v>1790</v>
      </c>
      <c r="D3" s="210"/>
      <c r="E3" s="160"/>
      <c r="F3" s="212" t="s">
        <v>2026</v>
      </c>
      <c r="G3" s="160" t="s">
        <v>1792</v>
      </c>
      <c r="H3" s="160" t="s">
        <v>733</v>
      </c>
      <c r="I3" s="160"/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60"/>
      <c r="U3" s="160"/>
      <c r="V3" s="161" t="s">
        <v>2024</v>
      </c>
      <c r="W3" s="160" t="s">
        <v>1793</v>
      </c>
    </row>
    <row r="4" spans="1:23" x14ac:dyDescent="0.2">
      <c r="A4" s="106">
        <v>3</v>
      </c>
      <c r="B4" s="159">
        <v>10201</v>
      </c>
      <c r="C4" s="160" t="s">
        <v>1794</v>
      </c>
      <c r="D4" s="210"/>
      <c r="E4" s="160"/>
      <c r="F4" s="212" t="s">
        <v>2025</v>
      </c>
      <c r="G4" s="160" t="s">
        <v>2031</v>
      </c>
      <c r="H4" s="160" t="s">
        <v>255</v>
      </c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1" t="s">
        <v>2032</v>
      </c>
      <c r="W4" s="160" t="s">
        <v>1793</v>
      </c>
    </row>
    <row r="5" spans="1:23" x14ac:dyDescent="0.2">
      <c r="A5" s="106">
        <v>4</v>
      </c>
      <c r="B5" s="159">
        <v>10202</v>
      </c>
      <c r="C5" s="160" t="s">
        <v>1794</v>
      </c>
      <c r="D5" s="210"/>
      <c r="E5" s="160"/>
      <c r="F5" s="212" t="s">
        <v>2025</v>
      </c>
      <c r="G5" s="160" t="s">
        <v>2031</v>
      </c>
      <c r="H5" s="160" t="s">
        <v>255</v>
      </c>
      <c r="I5" s="160"/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1" t="s">
        <v>2032</v>
      </c>
      <c r="W5" s="160" t="s">
        <v>1793</v>
      </c>
    </row>
    <row r="6" spans="1:23" x14ac:dyDescent="0.2">
      <c r="A6" s="106">
        <v>5</v>
      </c>
      <c r="C6" s="160"/>
      <c r="D6" s="210"/>
      <c r="E6" s="160"/>
      <c r="F6" s="211"/>
      <c r="G6" s="160"/>
      <c r="H6" s="160"/>
      <c r="I6" s="160"/>
      <c r="J6" s="160"/>
      <c r="K6" s="160"/>
      <c r="L6" s="160"/>
      <c r="M6" s="160"/>
      <c r="N6" s="160"/>
      <c r="O6" s="160"/>
      <c r="P6" s="160"/>
      <c r="Q6" s="160"/>
      <c r="R6" s="160"/>
      <c r="S6" s="160"/>
      <c r="T6" s="160"/>
      <c r="U6" s="160"/>
      <c r="V6" s="161"/>
      <c r="W6" s="160"/>
    </row>
    <row r="7" spans="1:23" x14ac:dyDescent="0.2">
      <c r="A7" s="106">
        <v>6</v>
      </c>
      <c r="C7" s="160"/>
      <c r="D7" s="210"/>
      <c r="E7" s="160"/>
      <c r="F7" s="211"/>
      <c r="G7" s="160"/>
      <c r="H7" s="160"/>
      <c r="I7" s="160"/>
      <c r="J7" s="160"/>
      <c r="K7" s="160"/>
      <c r="L7" s="160"/>
      <c r="M7" s="160"/>
      <c r="N7" s="160"/>
      <c r="O7" s="160"/>
      <c r="P7" s="160"/>
      <c r="Q7" s="160"/>
      <c r="R7" s="160"/>
      <c r="S7" s="160"/>
      <c r="T7" s="160"/>
      <c r="U7" s="160"/>
      <c r="V7" s="161"/>
      <c r="W7" s="160"/>
    </row>
    <row r="8" spans="1:23" x14ac:dyDescent="0.2">
      <c r="A8" s="106">
        <v>7</v>
      </c>
      <c r="B8" s="159"/>
      <c r="C8" s="160"/>
      <c r="D8" s="161"/>
      <c r="E8" s="160"/>
      <c r="F8" s="160"/>
      <c r="G8" s="160"/>
      <c r="H8" s="160"/>
      <c r="I8" s="160"/>
      <c r="J8" s="160"/>
      <c r="K8" s="160"/>
      <c r="L8" s="160"/>
      <c r="M8" s="160"/>
      <c r="N8" s="160"/>
      <c r="O8" s="160"/>
      <c r="P8" s="160"/>
      <c r="Q8" s="160"/>
      <c r="R8" s="160"/>
      <c r="S8" s="160"/>
      <c r="T8" s="160"/>
      <c r="U8" s="160"/>
      <c r="V8" s="161"/>
      <c r="W8" s="160"/>
    </row>
    <row r="9" spans="1:23" x14ac:dyDescent="0.2">
      <c r="A9" s="106">
        <v>8</v>
      </c>
      <c r="B9" s="159"/>
      <c r="C9" s="160"/>
      <c r="D9" s="161"/>
      <c r="E9" s="160"/>
      <c r="F9" s="160"/>
      <c r="G9" s="160"/>
      <c r="H9" s="160"/>
      <c r="I9" s="160"/>
      <c r="J9" s="160"/>
      <c r="K9" s="160"/>
      <c r="L9" s="160"/>
      <c r="M9" s="160"/>
      <c r="N9" s="160"/>
      <c r="O9" s="160"/>
      <c r="P9" s="160"/>
      <c r="Q9" s="160"/>
      <c r="R9" s="160"/>
      <c r="S9" s="160"/>
      <c r="T9" s="160"/>
      <c r="U9" s="160"/>
      <c r="V9" s="161"/>
      <c r="W9" s="160"/>
    </row>
    <row r="10" spans="1:23" x14ac:dyDescent="0.2">
      <c r="A10" s="106">
        <v>9</v>
      </c>
      <c r="B10" s="159"/>
      <c r="C10" s="160"/>
      <c r="D10" s="161"/>
      <c r="E10" s="160"/>
      <c r="F10" s="160"/>
      <c r="G10" s="160"/>
      <c r="H10" s="160"/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60"/>
    </row>
    <row r="11" spans="1:23" x14ac:dyDescent="0.2">
      <c r="A11" s="106">
        <v>10</v>
      </c>
      <c r="B11" s="159"/>
      <c r="C11" s="160"/>
      <c r="D11" s="161"/>
      <c r="E11" s="160"/>
      <c r="F11" s="160"/>
      <c r="G11" s="160"/>
      <c r="H11" s="160"/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60"/>
    </row>
    <row r="12" spans="1:23" x14ac:dyDescent="0.2">
      <c r="A12" s="106">
        <v>11</v>
      </c>
      <c r="B12" s="159"/>
      <c r="C12" s="160"/>
      <c r="D12" s="161"/>
      <c r="E12" s="160"/>
      <c r="F12" s="160"/>
      <c r="G12" s="160"/>
      <c r="H12" s="160"/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60"/>
    </row>
    <row r="13" spans="1:23" x14ac:dyDescent="0.2">
      <c r="A13" s="106">
        <v>12</v>
      </c>
      <c r="B13" s="159"/>
      <c r="C13" s="160"/>
      <c r="D13" s="161"/>
      <c r="E13" s="160"/>
      <c r="F13" s="160"/>
      <c r="G13" s="160"/>
      <c r="H13" s="160"/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60"/>
    </row>
    <row r="14" spans="1:23" x14ac:dyDescent="0.2">
      <c r="A14" s="106">
        <v>13</v>
      </c>
      <c r="B14" s="159"/>
      <c r="C14" s="160"/>
      <c r="D14" s="161"/>
      <c r="E14" s="160"/>
      <c r="F14" s="160"/>
      <c r="G14" s="160"/>
      <c r="H14" s="160"/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60"/>
    </row>
    <row r="15" spans="1:23" x14ac:dyDescent="0.2">
      <c r="A15" s="106">
        <v>14</v>
      </c>
      <c r="B15" s="159"/>
      <c r="C15" s="160"/>
      <c r="D15" s="161"/>
      <c r="E15" s="160"/>
      <c r="F15" s="160"/>
      <c r="G15" s="160"/>
      <c r="H15" s="160"/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60"/>
    </row>
    <row r="16" spans="1:23" x14ac:dyDescent="0.2">
      <c r="A16" s="106">
        <v>15</v>
      </c>
      <c r="B16" s="159"/>
      <c r="C16" s="160"/>
      <c r="D16" s="161"/>
      <c r="E16" s="160"/>
      <c r="F16" s="160"/>
      <c r="G16" s="160"/>
      <c r="H16" s="160"/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60"/>
    </row>
    <row r="17" spans="1:23" x14ac:dyDescent="0.2">
      <c r="A17" s="106">
        <v>16</v>
      </c>
      <c r="B17" s="159"/>
      <c r="C17" s="160"/>
      <c r="D17" s="161"/>
      <c r="E17" s="160"/>
      <c r="F17" s="160"/>
      <c r="G17" s="160"/>
      <c r="H17" s="160"/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60"/>
    </row>
    <row r="18" spans="1:23" x14ac:dyDescent="0.2">
      <c r="A18" s="106">
        <v>17</v>
      </c>
      <c r="B18" s="159"/>
      <c r="C18" s="160"/>
      <c r="D18" s="161"/>
      <c r="E18" s="160"/>
      <c r="F18" s="160"/>
      <c r="G18" s="160"/>
      <c r="H18" s="160"/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1"/>
      <c r="W18" s="160"/>
    </row>
    <row r="19" spans="1:23" x14ac:dyDescent="0.2">
      <c r="A19" s="106">
        <v>18</v>
      </c>
      <c r="B19" s="159"/>
      <c r="C19" s="160"/>
      <c r="D19" s="161"/>
      <c r="E19" s="160"/>
      <c r="F19" s="160"/>
      <c r="G19" s="160"/>
      <c r="H19" s="160"/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60"/>
      <c r="T19" s="160"/>
      <c r="U19" s="160"/>
      <c r="V19" s="161"/>
      <c r="W19" s="160"/>
    </row>
    <row r="20" spans="1:23" x14ac:dyDescent="0.2">
      <c r="A20" s="106">
        <v>19</v>
      </c>
      <c r="B20" s="159"/>
      <c r="C20" s="160"/>
      <c r="D20" s="161"/>
      <c r="E20" s="160"/>
      <c r="F20" s="160"/>
      <c r="G20" s="160"/>
      <c r="H20" s="160"/>
      <c r="I20" s="160"/>
      <c r="J20" s="160"/>
      <c r="K20" s="160"/>
      <c r="L20" s="160"/>
      <c r="M20" s="160"/>
      <c r="N20" s="160"/>
      <c r="O20" s="160"/>
      <c r="P20" s="160"/>
      <c r="Q20" s="160"/>
      <c r="R20" s="160"/>
      <c r="S20" s="160"/>
      <c r="T20" s="160"/>
      <c r="U20" s="160"/>
      <c r="V20" s="161"/>
      <c r="W20" s="160"/>
    </row>
    <row r="21" spans="1:23" x14ac:dyDescent="0.2">
      <c r="A21" s="106">
        <v>20</v>
      </c>
      <c r="B21" s="159"/>
      <c r="C21" s="160"/>
      <c r="D21" s="161"/>
      <c r="E21" s="160"/>
      <c r="F21" s="160"/>
      <c r="G21" s="160"/>
      <c r="H21" s="160"/>
      <c r="I21" s="160"/>
      <c r="J21" s="160"/>
      <c r="K21" s="160"/>
      <c r="L21" s="160"/>
      <c r="M21" s="160"/>
      <c r="N21" s="160"/>
      <c r="O21" s="160"/>
      <c r="P21" s="160"/>
      <c r="Q21" s="160"/>
      <c r="R21" s="160"/>
      <c r="S21" s="160"/>
      <c r="T21" s="160"/>
      <c r="U21" s="160"/>
      <c r="V21" s="161"/>
      <c r="W21" s="160"/>
    </row>
    <row r="22" spans="1:23" x14ac:dyDescent="0.2">
      <c r="A22" s="106">
        <v>21</v>
      </c>
      <c r="B22" s="159"/>
      <c r="C22" s="160"/>
      <c r="D22" s="161"/>
      <c r="E22" s="160"/>
      <c r="F22" s="160"/>
      <c r="G22" s="160"/>
      <c r="H22" s="160"/>
      <c r="I22" s="160"/>
      <c r="J22" s="160"/>
      <c r="K22" s="160"/>
      <c r="L22" s="160"/>
      <c r="M22" s="160"/>
      <c r="N22" s="160"/>
      <c r="O22" s="160"/>
      <c r="P22" s="160"/>
      <c r="Q22" s="160"/>
      <c r="R22" s="160"/>
      <c r="S22" s="160"/>
      <c r="T22" s="160"/>
      <c r="U22" s="160"/>
      <c r="V22" s="161"/>
      <c r="W22" s="160"/>
    </row>
    <row r="23" spans="1:23" x14ac:dyDescent="0.2">
      <c r="A23" s="106">
        <v>22</v>
      </c>
      <c r="B23" s="159"/>
      <c r="C23" s="160"/>
      <c r="D23" s="161"/>
      <c r="E23" s="160"/>
      <c r="F23" s="160"/>
      <c r="G23" s="160"/>
      <c r="H23" s="160"/>
      <c r="I23" s="160"/>
      <c r="J23" s="160"/>
      <c r="K23" s="160"/>
      <c r="L23" s="160"/>
      <c r="M23" s="160"/>
      <c r="N23" s="160"/>
      <c r="O23" s="160"/>
      <c r="P23" s="160"/>
      <c r="Q23" s="160"/>
      <c r="R23" s="160"/>
      <c r="S23" s="160"/>
      <c r="T23" s="160"/>
      <c r="U23" s="160"/>
      <c r="V23" s="161"/>
      <c r="W23" s="160"/>
    </row>
    <row r="24" spans="1:23" x14ac:dyDescent="0.2">
      <c r="A24" s="106">
        <v>23</v>
      </c>
      <c r="B24" s="159"/>
      <c r="C24" s="160"/>
      <c r="D24" s="161"/>
      <c r="E24" s="160"/>
      <c r="F24" s="160"/>
      <c r="G24" s="160"/>
      <c r="H24" s="160"/>
      <c r="I24" s="160"/>
      <c r="J24" s="160"/>
      <c r="K24" s="160"/>
      <c r="L24" s="160"/>
      <c r="M24" s="160"/>
      <c r="N24" s="160"/>
      <c r="O24" s="160"/>
      <c r="P24" s="160"/>
      <c r="Q24" s="160"/>
      <c r="R24" s="160"/>
      <c r="S24" s="160"/>
      <c r="T24" s="160"/>
      <c r="U24" s="160"/>
      <c r="V24" s="161"/>
      <c r="W24" s="160"/>
    </row>
    <row r="25" spans="1:23" x14ac:dyDescent="0.2">
      <c r="A25" s="106">
        <v>24</v>
      </c>
      <c r="B25" s="159"/>
      <c r="C25" s="160"/>
      <c r="D25" s="161"/>
      <c r="E25" s="160"/>
      <c r="F25" s="160"/>
      <c r="G25" s="160"/>
      <c r="H25" s="160"/>
      <c r="I25" s="160"/>
      <c r="J25" s="160"/>
      <c r="K25" s="160"/>
      <c r="L25" s="160"/>
      <c r="M25" s="160"/>
      <c r="N25" s="160"/>
      <c r="O25" s="160"/>
      <c r="P25" s="160"/>
      <c r="Q25" s="160"/>
      <c r="R25" s="160"/>
      <c r="S25" s="160"/>
      <c r="T25" s="160"/>
      <c r="U25" s="160"/>
      <c r="V25" s="161"/>
      <c r="W25" s="160"/>
    </row>
    <row r="26" spans="1:23" x14ac:dyDescent="0.2">
      <c r="A26" s="106">
        <v>25</v>
      </c>
      <c r="B26" s="159"/>
      <c r="C26" s="160"/>
      <c r="D26" s="161"/>
      <c r="E26" s="160"/>
      <c r="F26" s="160"/>
      <c r="G26" s="160"/>
      <c r="H26" s="160"/>
      <c r="I26" s="160"/>
      <c r="J26" s="160"/>
      <c r="K26" s="160"/>
      <c r="L26" s="160"/>
      <c r="M26" s="160"/>
      <c r="N26" s="160"/>
      <c r="O26" s="160"/>
      <c r="P26" s="160"/>
      <c r="Q26" s="160"/>
      <c r="R26" s="160"/>
      <c r="S26" s="160"/>
      <c r="T26" s="160"/>
      <c r="U26" s="160"/>
      <c r="V26" s="161"/>
      <c r="W26" s="160"/>
    </row>
    <row r="27" spans="1:23" x14ac:dyDescent="0.2">
      <c r="A27" s="106">
        <v>26</v>
      </c>
      <c r="B27" s="159"/>
      <c r="C27" s="160"/>
      <c r="D27" s="161"/>
      <c r="E27" s="160"/>
      <c r="F27" s="160"/>
      <c r="G27" s="160"/>
      <c r="H27" s="160"/>
      <c r="I27" s="160"/>
      <c r="J27" s="160"/>
      <c r="K27" s="160"/>
      <c r="L27" s="160"/>
      <c r="M27" s="160"/>
      <c r="N27" s="160"/>
      <c r="O27" s="160"/>
      <c r="P27" s="160"/>
      <c r="Q27" s="160"/>
      <c r="R27" s="160"/>
      <c r="S27" s="160"/>
      <c r="T27" s="160"/>
      <c r="U27" s="160"/>
      <c r="V27" s="161"/>
      <c r="W27" s="160"/>
    </row>
    <row r="28" spans="1:23" x14ac:dyDescent="0.2">
      <c r="A28" s="106">
        <v>27</v>
      </c>
      <c r="B28" s="159"/>
      <c r="C28" s="160"/>
      <c r="D28" s="161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1"/>
      <c r="W28" s="160"/>
    </row>
    <row r="29" spans="1:23" x14ac:dyDescent="0.2">
      <c r="A29" s="106">
        <v>28</v>
      </c>
      <c r="B29" s="159"/>
      <c r="C29" s="160"/>
      <c r="D29" s="161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0"/>
      <c r="T29" s="160"/>
      <c r="U29" s="160"/>
      <c r="V29" s="161"/>
      <c r="W29" s="160"/>
    </row>
    <row r="30" spans="1:23" x14ac:dyDescent="0.2">
      <c r="A30" s="106">
        <v>29</v>
      </c>
      <c r="B30" s="159"/>
      <c r="C30" s="160"/>
      <c r="D30" s="161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0"/>
      <c r="P30" s="160"/>
      <c r="Q30" s="160"/>
      <c r="R30" s="160"/>
      <c r="S30" s="160"/>
      <c r="T30" s="160"/>
      <c r="U30" s="160"/>
      <c r="V30" s="161"/>
      <c r="W30" s="160"/>
    </row>
    <row r="31" spans="1:23" x14ac:dyDescent="0.2">
      <c r="A31" s="106">
        <v>30</v>
      </c>
      <c r="B31" s="159"/>
      <c r="C31" s="160"/>
      <c r="D31" s="161"/>
      <c r="E31" s="160"/>
      <c r="F31" s="160"/>
      <c r="G31" s="160"/>
      <c r="H31" s="160"/>
      <c r="I31" s="160"/>
      <c r="J31" s="160"/>
      <c r="K31" s="160"/>
      <c r="L31" s="160"/>
      <c r="M31" s="160"/>
      <c r="N31" s="160"/>
      <c r="O31" s="160"/>
      <c r="P31" s="160"/>
      <c r="Q31" s="160"/>
      <c r="R31" s="160"/>
      <c r="S31" s="160"/>
      <c r="T31" s="160"/>
      <c r="U31" s="160"/>
      <c r="V31" s="161"/>
      <c r="W31" s="160"/>
    </row>
    <row r="32" spans="1:23" x14ac:dyDescent="0.2">
      <c r="A32" s="106">
        <v>31</v>
      </c>
      <c r="B32" s="159"/>
      <c r="C32" s="160"/>
      <c r="D32" s="161"/>
      <c r="E32" s="160"/>
      <c r="F32" s="160"/>
      <c r="G32" s="160"/>
      <c r="H32" s="160"/>
      <c r="I32" s="160"/>
      <c r="J32" s="160"/>
      <c r="K32" s="160"/>
      <c r="L32" s="160"/>
      <c r="M32" s="160"/>
      <c r="N32" s="160"/>
      <c r="O32" s="160"/>
      <c r="P32" s="160"/>
      <c r="Q32" s="160"/>
      <c r="R32" s="160"/>
      <c r="S32" s="160"/>
      <c r="T32" s="160"/>
      <c r="U32" s="160"/>
      <c r="V32" s="161"/>
      <c r="W32" s="160"/>
    </row>
    <row r="33" spans="1:23" x14ac:dyDescent="0.2">
      <c r="A33" s="106">
        <v>32</v>
      </c>
      <c r="B33" s="159"/>
      <c r="C33" s="160"/>
      <c r="D33" s="161"/>
      <c r="E33" s="160"/>
      <c r="F33" s="160"/>
      <c r="G33" s="160"/>
      <c r="H33" s="160"/>
      <c r="I33" s="160"/>
      <c r="J33" s="160"/>
      <c r="K33" s="160"/>
      <c r="L33" s="160"/>
      <c r="M33" s="160"/>
      <c r="N33" s="160"/>
      <c r="O33" s="160"/>
      <c r="P33" s="160"/>
      <c r="Q33" s="160"/>
      <c r="R33" s="160"/>
      <c r="S33" s="160"/>
      <c r="T33" s="160"/>
      <c r="U33" s="160"/>
      <c r="V33" s="161"/>
      <c r="W33" s="160"/>
    </row>
    <row r="34" spans="1:23" x14ac:dyDescent="0.2">
      <c r="A34" s="106">
        <v>33</v>
      </c>
      <c r="B34" s="159"/>
      <c r="C34" s="160"/>
      <c r="D34" s="161"/>
      <c r="E34" s="160"/>
      <c r="F34" s="160"/>
      <c r="G34" s="160"/>
      <c r="H34" s="160"/>
      <c r="I34" s="160"/>
      <c r="J34" s="160"/>
      <c r="K34" s="160"/>
      <c r="L34" s="160"/>
      <c r="M34" s="160"/>
      <c r="N34" s="160"/>
      <c r="O34" s="160"/>
      <c r="P34" s="160"/>
      <c r="Q34" s="160"/>
      <c r="R34" s="160"/>
      <c r="S34" s="160"/>
      <c r="T34" s="160"/>
      <c r="U34" s="160"/>
      <c r="V34" s="161"/>
      <c r="W34" s="160"/>
    </row>
    <row r="35" spans="1:23" x14ac:dyDescent="0.2">
      <c r="A35" s="106">
        <v>34</v>
      </c>
      <c r="B35" s="159"/>
      <c r="C35" s="160"/>
      <c r="D35" s="161"/>
      <c r="E35" s="160"/>
      <c r="F35" s="160"/>
      <c r="G35" s="160"/>
      <c r="H35" s="160"/>
      <c r="I35" s="160"/>
      <c r="J35" s="160"/>
      <c r="K35" s="160"/>
      <c r="L35" s="160"/>
      <c r="M35" s="160"/>
      <c r="N35" s="160"/>
      <c r="O35" s="160"/>
      <c r="P35" s="160"/>
      <c r="Q35" s="160"/>
      <c r="R35" s="160"/>
      <c r="S35" s="160"/>
      <c r="T35" s="160"/>
      <c r="U35" s="160"/>
      <c r="V35" s="161"/>
      <c r="W35" s="160"/>
    </row>
    <row r="36" spans="1:23" x14ac:dyDescent="0.2">
      <c r="A36" s="106">
        <v>35</v>
      </c>
      <c r="B36" s="159"/>
      <c r="C36" s="160"/>
      <c r="D36" s="161"/>
      <c r="E36" s="160"/>
      <c r="F36" s="160"/>
      <c r="G36" s="160"/>
      <c r="H36" s="160"/>
      <c r="I36" s="160"/>
      <c r="J36" s="160"/>
      <c r="K36" s="160"/>
      <c r="L36" s="160"/>
      <c r="M36" s="160"/>
      <c r="N36" s="160"/>
      <c r="O36" s="160"/>
      <c r="P36" s="160"/>
      <c r="Q36" s="160"/>
      <c r="R36" s="160"/>
      <c r="S36" s="160"/>
      <c r="T36" s="160"/>
      <c r="U36" s="160"/>
      <c r="V36" s="161"/>
      <c r="W36" s="160"/>
    </row>
    <row r="37" spans="1:23" x14ac:dyDescent="0.2">
      <c r="A37" s="106">
        <v>36</v>
      </c>
      <c r="B37" s="159"/>
      <c r="C37" s="160"/>
      <c r="D37" s="161"/>
      <c r="E37" s="160"/>
      <c r="F37" s="160"/>
      <c r="G37" s="160"/>
      <c r="H37" s="160"/>
      <c r="I37" s="160"/>
      <c r="J37" s="160"/>
      <c r="K37" s="160"/>
      <c r="L37" s="160"/>
      <c r="M37" s="160"/>
      <c r="N37" s="160"/>
      <c r="O37" s="160"/>
      <c r="P37" s="160"/>
      <c r="Q37" s="160"/>
      <c r="R37" s="160"/>
      <c r="S37" s="160"/>
      <c r="T37" s="160"/>
      <c r="U37" s="160"/>
      <c r="V37" s="161"/>
      <c r="W37" s="160"/>
    </row>
    <row r="38" spans="1:23" x14ac:dyDescent="0.2">
      <c r="A38" s="106">
        <v>37</v>
      </c>
      <c r="B38" s="159"/>
      <c r="C38" s="160"/>
      <c r="D38" s="161"/>
      <c r="E38" s="160"/>
      <c r="F38" s="160"/>
      <c r="G38" s="160"/>
      <c r="H38" s="160"/>
      <c r="I38" s="160"/>
      <c r="J38" s="160"/>
      <c r="K38" s="160"/>
      <c r="L38" s="160"/>
      <c r="M38" s="160"/>
      <c r="N38" s="160"/>
      <c r="O38" s="160"/>
      <c r="P38" s="160"/>
      <c r="Q38" s="160"/>
      <c r="R38" s="160"/>
      <c r="S38" s="160"/>
      <c r="T38" s="160"/>
      <c r="U38" s="160"/>
      <c r="V38" s="161"/>
      <c r="W38" s="160"/>
    </row>
    <row r="39" spans="1:23" x14ac:dyDescent="0.2">
      <c r="A39" s="106">
        <v>38</v>
      </c>
      <c r="B39" s="159"/>
      <c r="C39" s="160"/>
      <c r="D39" s="161"/>
      <c r="E39" s="160"/>
      <c r="F39" s="160"/>
      <c r="G39" s="160"/>
      <c r="H39" s="160"/>
      <c r="I39" s="160"/>
      <c r="J39" s="160"/>
      <c r="K39" s="160"/>
      <c r="L39" s="160"/>
      <c r="M39" s="160"/>
      <c r="N39" s="160"/>
      <c r="O39" s="160"/>
      <c r="P39" s="160"/>
      <c r="Q39" s="160"/>
      <c r="R39" s="160"/>
      <c r="S39" s="160"/>
      <c r="T39" s="160"/>
      <c r="U39" s="160"/>
      <c r="V39" s="161"/>
      <c r="W39" s="160"/>
    </row>
    <row r="40" spans="1:23" x14ac:dyDescent="0.2">
      <c r="A40" s="106">
        <v>39</v>
      </c>
      <c r="B40" s="159"/>
      <c r="C40" s="160"/>
      <c r="D40" s="161"/>
      <c r="E40" s="160"/>
      <c r="F40" s="160"/>
      <c r="G40" s="160"/>
      <c r="H40" s="160"/>
      <c r="I40" s="160"/>
      <c r="J40" s="160"/>
      <c r="K40" s="160"/>
      <c r="L40" s="160"/>
      <c r="M40" s="160"/>
      <c r="N40" s="160"/>
      <c r="O40" s="160"/>
      <c r="P40" s="160"/>
      <c r="Q40" s="160"/>
      <c r="R40" s="160"/>
      <c r="S40" s="160"/>
      <c r="T40" s="160"/>
      <c r="U40" s="160"/>
      <c r="V40" s="161"/>
      <c r="W40" s="160"/>
    </row>
    <row r="41" spans="1:23" x14ac:dyDescent="0.2">
      <c r="A41" s="106">
        <v>40</v>
      </c>
      <c r="B41" s="159"/>
      <c r="C41" s="160"/>
      <c r="D41" s="161"/>
      <c r="E41" s="160"/>
      <c r="F41" s="190"/>
      <c r="G41" s="160"/>
      <c r="H41" s="160"/>
      <c r="I41" s="160"/>
      <c r="J41" s="160"/>
      <c r="K41" s="160"/>
      <c r="L41" s="160"/>
      <c r="M41" s="160"/>
      <c r="N41" s="160"/>
      <c r="O41" s="160"/>
      <c r="P41" s="160"/>
      <c r="Q41" s="160"/>
      <c r="R41" s="160"/>
      <c r="S41" s="160"/>
      <c r="T41" s="160"/>
      <c r="U41" s="160"/>
      <c r="V41" s="161"/>
      <c r="W41" s="160"/>
    </row>
    <row r="42" spans="1:23" x14ac:dyDescent="0.2">
      <c r="A42" s="106">
        <v>41</v>
      </c>
      <c r="B42" s="159"/>
      <c r="C42" s="160"/>
      <c r="D42" s="161"/>
      <c r="E42" s="160"/>
      <c r="F42" s="190"/>
      <c r="G42" s="160"/>
      <c r="H42" s="160"/>
      <c r="I42" s="160"/>
      <c r="J42" s="160"/>
      <c r="K42" s="160"/>
      <c r="L42" s="160"/>
      <c r="M42" s="160"/>
      <c r="N42" s="160"/>
      <c r="O42" s="160"/>
      <c r="P42" s="160"/>
      <c r="Q42" s="160"/>
      <c r="R42" s="160"/>
      <c r="S42" s="160"/>
      <c r="T42" s="160"/>
      <c r="U42" s="160"/>
      <c r="V42" s="161"/>
      <c r="W42" s="160"/>
    </row>
    <row r="43" spans="1:23" x14ac:dyDescent="0.2">
      <c r="A43" s="106">
        <v>42</v>
      </c>
      <c r="B43" s="159"/>
      <c r="C43" s="160"/>
      <c r="D43" s="161"/>
      <c r="E43" s="160"/>
      <c r="F43" s="190"/>
      <c r="G43" s="160"/>
      <c r="H43" s="160"/>
      <c r="I43" s="160"/>
      <c r="J43" s="160"/>
      <c r="K43" s="160"/>
      <c r="L43" s="160"/>
      <c r="M43" s="160"/>
      <c r="N43" s="160"/>
      <c r="O43" s="160"/>
      <c r="P43" s="160"/>
      <c r="Q43" s="160"/>
      <c r="R43" s="160"/>
      <c r="S43" s="160"/>
      <c r="T43" s="160"/>
      <c r="U43" s="160"/>
      <c r="V43" s="161"/>
      <c r="W43" s="160"/>
    </row>
    <row r="44" spans="1:23" x14ac:dyDescent="0.2">
      <c r="A44" s="106">
        <v>43</v>
      </c>
      <c r="B44" s="159"/>
      <c r="C44" s="160"/>
      <c r="D44" s="161"/>
      <c r="E44" s="160"/>
      <c r="F44" s="190"/>
      <c r="G44" s="160"/>
      <c r="H44" s="160"/>
      <c r="I44" s="160"/>
      <c r="J44" s="160"/>
      <c r="K44" s="160"/>
      <c r="L44" s="160"/>
      <c r="M44" s="160"/>
      <c r="N44" s="160"/>
      <c r="O44" s="160"/>
      <c r="P44" s="160"/>
      <c r="Q44" s="160"/>
      <c r="R44" s="160"/>
      <c r="S44" s="160"/>
      <c r="T44" s="160"/>
      <c r="U44" s="160"/>
      <c r="V44" s="161"/>
      <c r="W44" s="160"/>
    </row>
    <row r="45" spans="1:23" x14ac:dyDescent="0.2">
      <c r="A45" s="106">
        <v>44</v>
      </c>
      <c r="B45" s="159"/>
      <c r="C45" s="160"/>
      <c r="D45" s="161"/>
      <c r="E45" s="160"/>
      <c r="F45" s="190"/>
      <c r="G45" s="160"/>
      <c r="H45" s="160"/>
      <c r="I45" s="160"/>
      <c r="J45" s="160"/>
      <c r="K45" s="160"/>
      <c r="L45" s="160"/>
      <c r="M45" s="160"/>
      <c r="N45" s="160"/>
      <c r="O45" s="160"/>
      <c r="P45" s="160"/>
      <c r="Q45" s="160"/>
      <c r="R45" s="160"/>
      <c r="S45" s="160"/>
      <c r="T45" s="160"/>
      <c r="U45" s="160"/>
      <c r="V45" s="161"/>
      <c r="W45" s="160"/>
    </row>
    <row r="46" spans="1:23" x14ac:dyDescent="0.2">
      <c r="A46" s="106">
        <v>45</v>
      </c>
      <c r="B46" s="159"/>
      <c r="C46" s="160"/>
      <c r="D46" s="161"/>
      <c r="E46" s="160"/>
      <c r="F46" s="190"/>
      <c r="G46" s="160"/>
      <c r="H46" s="160"/>
      <c r="I46" s="160"/>
      <c r="J46" s="160"/>
      <c r="K46" s="160"/>
      <c r="L46" s="160"/>
      <c r="M46" s="160"/>
      <c r="N46" s="160"/>
      <c r="O46" s="160"/>
      <c r="P46" s="160"/>
      <c r="Q46" s="160"/>
      <c r="R46" s="160"/>
      <c r="S46" s="160"/>
      <c r="T46" s="160"/>
      <c r="U46" s="160"/>
      <c r="V46" s="161"/>
      <c r="W46" s="160"/>
    </row>
    <row r="47" spans="1:23" x14ac:dyDescent="0.2">
      <c r="A47" s="106">
        <v>46</v>
      </c>
      <c r="B47" s="159"/>
      <c r="C47" s="160"/>
      <c r="D47" s="161"/>
      <c r="E47" s="160"/>
      <c r="F47" s="190"/>
      <c r="G47" s="160"/>
      <c r="H47" s="160"/>
      <c r="I47" s="160"/>
      <c r="J47" s="160"/>
      <c r="K47" s="160"/>
      <c r="L47" s="160"/>
      <c r="M47" s="160"/>
      <c r="N47" s="160"/>
      <c r="O47" s="160"/>
      <c r="P47" s="160"/>
      <c r="Q47" s="160"/>
      <c r="R47" s="160"/>
      <c r="S47" s="160"/>
      <c r="T47" s="160"/>
      <c r="U47" s="160"/>
      <c r="V47" s="161"/>
      <c r="W47" s="160"/>
    </row>
    <row r="48" spans="1:23" x14ac:dyDescent="0.2">
      <c r="A48" s="106">
        <v>47</v>
      </c>
      <c r="B48" s="159"/>
      <c r="C48" s="160"/>
      <c r="D48" s="161"/>
      <c r="E48" s="160"/>
      <c r="F48" s="190"/>
      <c r="G48" s="160"/>
      <c r="H48" s="160"/>
      <c r="I48" s="160"/>
      <c r="J48" s="160"/>
      <c r="K48" s="160"/>
      <c r="L48" s="160"/>
      <c r="M48" s="160"/>
      <c r="N48" s="160"/>
      <c r="O48" s="160"/>
      <c r="P48" s="160"/>
      <c r="Q48" s="160"/>
      <c r="R48" s="160"/>
      <c r="S48" s="160"/>
      <c r="T48" s="160"/>
      <c r="U48" s="160"/>
      <c r="V48" s="161"/>
      <c r="W48" s="160"/>
    </row>
    <row r="49" spans="1:23" x14ac:dyDescent="0.2">
      <c r="A49" s="106">
        <v>48</v>
      </c>
      <c r="B49" s="159"/>
      <c r="C49" s="160"/>
      <c r="D49" s="161"/>
      <c r="E49" s="160"/>
      <c r="F49" s="182"/>
      <c r="G49" s="160"/>
      <c r="H49" s="160"/>
      <c r="I49" s="160"/>
      <c r="J49" s="160"/>
      <c r="K49" s="160"/>
      <c r="L49" s="160"/>
      <c r="M49" s="160"/>
      <c r="N49" s="160"/>
      <c r="O49" s="160"/>
      <c r="P49" s="160"/>
      <c r="Q49" s="160"/>
      <c r="R49" s="160"/>
      <c r="S49" s="160"/>
      <c r="T49" s="160"/>
      <c r="U49" s="160"/>
      <c r="V49" s="161"/>
      <c r="W49" s="160"/>
    </row>
    <row r="50" spans="1:23" x14ac:dyDescent="0.2">
      <c r="A50" s="106">
        <v>49</v>
      </c>
      <c r="B50" s="159"/>
      <c r="C50" s="160"/>
      <c r="D50" s="161"/>
      <c r="E50" s="160"/>
      <c r="F50" s="182"/>
      <c r="G50" s="160"/>
      <c r="H50" s="160"/>
      <c r="I50" s="160"/>
      <c r="J50" s="160"/>
      <c r="K50" s="160"/>
      <c r="L50" s="160"/>
      <c r="M50" s="160"/>
      <c r="N50" s="160"/>
      <c r="O50" s="160"/>
      <c r="P50" s="160"/>
      <c r="Q50" s="160"/>
      <c r="R50" s="160"/>
      <c r="S50" s="160"/>
      <c r="T50" s="160"/>
      <c r="U50" s="160"/>
      <c r="V50" s="161"/>
      <c r="W50" s="160"/>
    </row>
    <row r="51" spans="1:23" x14ac:dyDescent="0.2">
      <c r="A51" s="5">
        <v>50</v>
      </c>
      <c r="B51" s="159"/>
      <c r="C51" s="160"/>
      <c r="D51" s="161"/>
      <c r="E51" s="160"/>
      <c r="F51" s="182"/>
      <c r="G51" s="160"/>
      <c r="H51" s="160"/>
      <c r="I51" s="160"/>
      <c r="J51" s="160"/>
      <c r="K51" s="160"/>
      <c r="L51" s="160"/>
      <c r="M51" s="160"/>
      <c r="N51" s="160"/>
      <c r="O51" s="160"/>
      <c r="P51" s="160"/>
      <c r="Q51" s="160"/>
      <c r="R51" s="160"/>
      <c r="S51" s="160"/>
      <c r="T51" s="160"/>
      <c r="U51" s="160"/>
      <c r="V51" s="161"/>
      <c r="W51" s="160"/>
    </row>
    <row r="52" spans="1:23" x14ac:dyDescent="0.2">
      <c r="A52" s="5">
        <v>51</v>
      </c>
      <c r="B52" s="159"/>
      <c r="C52" s="160"/>
      <c r="D52" s="161"/>
      <c r="E52" s="160"/>
      <c r="F52" s="182"/>
      <c r="G52" s="160"/>
      <c r="H52" s="160"/>
      <c r="I52" s="160"/>
      <c r="J52" s="160"/>
      <c r="K52" s="160"/>
      <c r="L52" s="160"/>
      <c r="M52" s="160"/>
      <c r="N52" s="160"/>
      <c r="O52" s="160"/>
      <c r="P52" s="160"/>
      <c r="Q52" s="160"/>
      <c r="R52" s="160"/>
      <c r="S52" s="160"/>
      <c r="T52" s="160"/>
      <c r="U52" s="160"/>
      <c r="V52" s="161"/>
      <c r="W52" s="160"/>
    </row>
    <row r="53" spans="1:23" x14ac:dyDescent="0.2">
      <c r="A53" s="5">
        <v>52</v>
      </c>
      <c r="B53" s="159"/>
      <c r="C53" s="160"/>
      <c r="D53" s="161"/>
      <c r="E53" s="160"/>
      <c r="F53" s="182"/>
      <c r="G53" s="160"/>
      <c r="H53" s="160"/>
      <c r="I53" s="160"/>
      <c r="J53" s="160"/>
      <c r="K53" s="160"/>
      <c r="L53" s="160"/>
      <c r="M53" s="160"/>
      <c r="N53" s="160"/>
      <c r="O53" s="160"/>
      <c r="P53" s="160"/>
      <c r="Q53" s="160"/>
      <c r="R53" s="160"/>
      <c r="S53" s="160"/>
      <c r="T53" s="160"/>
      <c r="U53" s="160"/>
      <c r="V53" s="161"/>
      <c r="W53" s="160"/>
    </row>
    <row r="54" spans="1:23" x14ac:dyDescent="0.2">
      <c r="A54" s="5">
        <v>53</v>
      </c>
      <c r="B54" s="159"/>
      <c r="C54" s="160"/>
      <c r="D54" s="161"/>
      <c r="E54" s="160"/>
      <c r="F54" s="182"/>
      <c r="G54" s="160"/>
      <c r="H54" s="160"/>
      <c r="I54" s="160"/>
      <c r="J54" s="160"/>
      <c r="K54" s="160"/>
      <c r="L54" s="160"/>
      <c r="M54" s="160"/>
      <c r="N54" s="160"/>
      <c r="O54" s="160"/>
      <c r="P54" s="160"/>
      <c r="Q54" s="160"/>
      <c r="R54" s="160"/>
      <c r="S54" s="160"/>
      <c r="T54" s="160"/>
      <c r="U54" s="160"/>
      <c r="V54" s="161"/>
      <c r="W54" s="160"/>
    </row>
    <row r="55" spans="1:23" x14ac:dyDescent="0.2">
      <c r="A55" s="5">
        <v>54</v>
      </c>
      <c r="B55" s="159"/>
      <c r="C55" s="160"/>
      <c r="D55" s="161"/>
      <c r="E55" s="160"/>
      <c r="F55" s="182"/>
      <c r="G55" s="160"/>
      <c r="H55" s="160"/>
      <c r="I55" s="160"/>
      <c r="J55" s="160"/>
      <c r="K55" s="160"/>
      <c r="L55" s="160"/>
      <c r="M55" s="160"/>
      <c r="N55" s="160"/>
      <c r="O55" s="160"/>
      <c r="P55" s="160"/>
      <c r="Q55" s="160"/>
      <c r="R55" s="160"/>
      <c r="S55" s="160"/>
      <c r="T55" s="160"/>
      <c r="U55" s="160"/>
      <c r="V55" s="161"/>
      <c r="W55" s="160"/>
    </row>
    <row r="56" spans="1:23" x14ac:dyDescent="0.2">
      <c r="A56" s="5">
        <v>55</v>
      </c>
      <c r="B56" s="159"/>
      <c r="C56" s="160"/>
      <c r="D56" s="161"/>
      <c r="E56" s="160"/>
      <c r="F56" s="182"/>
      <c r="G56" s="160"/>
      <c r="H56" s="160"/>
      <c r="I56" s="160"/>
      <c r="J56" s="160"/>
      <c r="K56" s="160"/>
      <c r="L56" s="160"/>
      <c r="M56" s="160"/>
      <c r="N56" s="160"/>
      <c r="O56" s="160"/>
      <c r="P56" s="160"/>
      <c r="Q56" s="160"/>
      <c r="R56" s="160"/>
      <c r="S56" s="160"/>
      <c r="T56" s="160"/>
      <c r="U56" s="160"/>
      <c r="V56" s="161"/>
      <c r="W56" s="160"/>
    </row>
    <row r="57" spans="1:23" x14ac:dyDescent="0.2">
      <c r="A57" s="5">
        <v>56</v>
      </c>
      <c r="B57" s="159"/>
      <c r="C57" s="160"/>
      <c r="D57" s="161"/>
      <c r="E57" s="160"/>
      <c r="F57" s="182"/>
      <c r="G57" s="160"/>
      <c r="H57" s="160"/>
      <c r="I57" s="160"/>
      <c r="J57" s="160"/>
      <c r="K57" s="160"/>
      <c r="L57" s="160"/>
      <c r="M57" s="160"/>
      <c r="N57" s="160"/>
      <c r="O57" s="160"/>
      <c r="P57" s="160"/>
      <c r="Q57" s="160"/>
      <c r="R57" s="160"/>
      <c r="S57" s="160"/>
      <c r="T57" s="160"/>
      <c r="U57" s="160"/>
      <c r="V57" s="161"/>
      <c r="W57" s="160"/>
    </row>
    <row r="58" spans="1:23" x14ac:dyDescent="0.2">
      <c r="A58" s="5">
        <v>57</v>
      </c>
      <c r="B58" s="159"/>
      <c r="C58" s="160"/>
      <c r="D58" s="161"/>
      <c r="E58" s="160"/>
      <c r="F58" s="182"/>
      <c r="G58" s="160"/>
      <c r="H58" s="160"/>
      <c r="I58" s="160"/>
      <c r="J58" s="160"/>
      <c r="K58" s="160"/>
      <c r="L58" s="160"/>
      <c r="M58" s="160"/>
      <c r="N58" s="160"/>
      <c r="O58" s="160"/>
      <c r="P58" s="160"/>
      <c r="Q58" s="160"/>
      <c r="R58" s="160"/>
      <c r="S58" s="160"/>
      <c r="T58" s="160"/>
      <c r="U58" s="160"/>
      <c r="V58" s="161"/>
      <c r="W58" s="160"/>
    </row>
    <row r="59" spans="1:23" x14ac:dyDescent="0.2">
      <c r="A59" s="5">
        <v>58</v>
      </c>
      <c r="B59" s="159"/>
      <c r="C59" s="160"/>
      <c r="D59" s="161"/>
      <c r="E59" s="160"/>
      <c r="F59" s="182"/>
      <c r="G59" s="160"/>
      <c r="H59" s="160"/>
      <c r="I59" s="160"/>
      <c r="J59" s="160"/>
      <c r="K59" s="160"/>
      <c r="L59" s="160"/>
      <c r="M59" s="160"/>
      <c r="N59" s="160"/>
      <c r="O59" s="160"/>
      <c r="P59" s="160"/>
      <c r="Q59" s="160"/>
      <c r="R59" s="160"/>
      <c r="S59" s="160"/>
      <c r="T59" s="160"/>
      <c r="U59" s="160"/>
      <c r="V59" s="161"/>
      <c r="W59" s="160"/>
    </row>
    <row r="60" spans="1:23" x14ac:dyDescent="0.2">
      <c r="A60" s="5">
        <v>59</v>
      </c>
      <c r="B60" s="159"/>
      <c r="C60" s="160"/>
      <c r="D60" s="161"/>
      <c r="E60" s="160"/>
      <c r="F60" s="182"/>
      <c r="G60" s="160"/>
      <c r="H60" s="160"/>
      <c r="I60" s="160"/>
      <c r="J60" s="160"/>
      <c r="K60" s="160"/>
      <c r="L60" s="160"/>
      <c r="M60" s="160"/>
      <c r="N60" s="160"/>
      <c r="O60" s="160"/>
      <c r="P60" s="160"/>
      <c r="Q60" s="160"/>
      <c r="R60" s="160"/>
      <c r="S60" s="160"/>
      <c r="T60" s="160"/>
      <c r="U60" s="160"/>
      <c r="V60" s="161"/>
      <c r="W60" s="160"/>
    </row>
    <row r="61" spans="1:23" x14ac:dyDescent="0.2">
      <c r="A61" s="5">
        <v>60</v>
      </c>
      <c r="B61" s="159"/>
      <c r="C61" s="160"/>
      <c r="D61" s="161"/>
      <c r="E61" s="160"/>
      <c r="F61" s="182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1"/>
      <c r="W61" s="160"/>
    </row>
    <row r="62" spans="1:23" x14ac:dyDescent="0.2">
      <c r="A62" s="5">
        <v>61</v>
      </c>
      <c r="B62" s="159"/>
      <c r="C62" s="160"/>
      <c r="D62" s="161"/>
      <c r="E62" s="160"/>
      <c r="F62" s="182"/>
      <c r="G62" s="160"/>
      <c r="H62" s="160"/>
      <c r="I62" s="160"/>
      <c r="J62" s="160"/>
      <c r="K62" s="160"/>
      <c r="L62" s="160"/>
      <c r="M62" s="160"/>
      <c r="N62" s="160"/>
      <c r="O62" s="160"/>
      <c r="P62" s="160"/>
      <c r="Q62" s="160"/>
      <c r="R62" s="160"/>
      <c r="S62" s="160"/>
      <c r="T62" s="160"/>
      <c r="U62" s="160"/>
      <c r="V62" s="161"/>
      <c r="W62" s="160"/>
    </row>
    <row r="63" spans="1:23" x14ac:dyDescent="0.2">
      <c r="A63" s="5">
        <v>62</v>
      </c>
      <c r="B63" s="159"/>
      <c r="C63" s="160"/>
      <c r="D63" s="161"/>
      <c r="E63" s="160"/>
      <c r="F63" s="182"/>
      <c r="G63" s="160"/>
      <c r="H63" s="160"/>
      <c r="I63" s="160"/>
      <c r="J63" s="160"/>
      <c r="K63" s="160"/>
      <c r="L63" s="160"/>
      <c r="M63" s="160"/>
      <c r="N63" s="160"/>
      <c r="O63" s="160"/>
      <c r="P63" s="160"/>
      <c r="Q63" s="160"/>
      <c r="R63" s="160"/>
      <c r="S63" s="160"/>
      <c r="T63" s="160"/>
      <c r="U63" s="160"/>
      <c r="V63" s="161"/>
      <c r="W63" s="160"/>
    </row>
    <row r="64" spans="1:23" x14ac:dyDescent="0.2">
      <c r="A64" s="5">
        <v>63</v>
      </c>
      <c r="B64" s="159"/>
      <c r="C64" s="160"/>
      <c r="D64" s="161"/>
      <c r="E64" s="160"/>
      <c r="F64" s="182"/>
      <c r="G64" s="160"/>
      <c r="H64" s="160"/>
      <c r="I64" s="160"/>
      <c r="J64" s="160"/>
      <c r="K64" s="160"/>
      <c r="L64" s="160"/>
      <c r="M64" s="160"/>
      <c r="N64" s="160"/>
      <c r="O64" s="160"/>
      <c r="P64" s="160"/>
      <c r="Q64" s="160"/>
      <c r="R64" s="160"/>
      <c r="S64" s="160"/>
      <c r="T64" s="160"/>
      <c r="U64" s="160"/>
      <c r="V64" s="161"/>
      <c r="W64" s="160"/>
    </row>
    <row r="65" spans="1:23" x14ac:dyDescent="0.2">
      <c r="A65" s="5">
        <v>64</v>
      </c>
      <c r="B65" s="159"/>
      <c r="C65" s="160"/>
      <c r="D65" s="161"/>
      <c r="E65" s="160"/>
      <c r="F65" s="182"/>
      <c r="G65" s="160"/>
      <c r="H65" s="160"/>
      <c r="I65" s="160"/>
      <c r="J65" s="160"/>
      <c r="K65" s="160"/>
      <c r="L65" s="160"/>
      <c r="M65" s="160"/>
      <c r="N65" s="160"/>
      <c r="O65" s="160"/>
      <c r="P65" s="160"/>
      <c r="Q65" s="160"/>
      <c r="R65" s="160"/>
      <c r="S65" s="160"/>
      <c r="T65" s="160"/>
      <c r="U65" s="160"/>
      <c r="V65" s="161"/>
      <c r="W65" s="160"/>
    </row>
    <row r="66" spans="1:23" x14ac:dyDescent="0.2">
      <c r="A66" s="5">
        <v>65</v>
      </c>
      <c r="B66" s="159"/>
      <c r="C66" s="160"/>
      <c r="D66" s="161"/>
      <c r="E66" s="160"/>
      <c r="F66" s="182"/>
      <c r="G66" s="160"/>
      <c r="H66" s="160"/>
      <c r="I66" s="160"/>
      <c r="J66" s="160"/>
      <c r="K66" s="160"/>
      <c r="L66" s="160"/>
      <c r="M66" s="160"/>
      <c r="N66" s="160"/>
      <c r="O66" s="160"/>
      <c r="P66" s="160"/>
      <c r="Q66" s="160"/>
      <c r="R66" s="160"/>
      <c r="S66" s="160"/>
      <c r="T66" s="160"/>
      <c r="U66" s="160"/>
      <c r="V66" s="161"/>
      <c r="W66" s="160"/>
    </row>
    <row r="67" spans="1:23" x14ac:dyDescent="0.2">
      <c r="A67" s="5">
        <v>66</v>
      </c>
      <c r="B67" s="159"/>
      <c r="C67" s="160"/>
      <c r="D67" s="161"/>
      <c r="E67" s="160"/>
      <c r="F67" s="182"/>
      <c r="G67" s="160"/>
      <c r="H67" s="160"/>
      <c r="I67" s="160"/>
      <c r="J67" s="160"/>
      <c r="K67" s="160"/>
      <c r="L67" s="160"/>
      <c r="M67" s="160"/>
      <c r="N67" s="160"/>
      <c r="O67" s="160"/>
      <c r="P67" s="160"/>
      <c r="Q67" s="160"/>
      <c r="R67" s="160"/>
      <c r="S67" s="160"/>
      <c r="T67" s="160"/>
      <c r="U67" s="160"/>
      <c r="V67" s="161"/>
      <c r="W67" s="160"/>
    </row>
    <row r="68" spans="1:23" x14ac:dyDescent="0.2">
      <c r="A68" s="5">
        <v>67</v>
      </c>
      <c r="B68" s="159"/>
      <c r="C68" s="160"/>
      <c r="D68" s="161"/>
      <c r="E68" s="160"/>
      <c r="F68" s="182"/>
      <c r="G68" s="160"/>
      <c r="H68" s="160"/>
      <c r="I68" s="160"/>
      <c r="J68" s="160"/>
      <c r="K68" s="160"/>
      <c r="L68" s="160"/>
      <c r="M68" s="160"/>
      <c r="N68" s="160"/>
      <c r="O68" s="160"/>
      <c r="P68" s="160"/>
      <c r="Q68" s="160"/>
      <c r="R68" s="160"/>
      <c r="S68" s="160"/>
      <c r="T68" s="160"/>
      <c r="U68" s="160"/>
      <c r="V68" s="161"/>
      <c r="W68" s="160"/>
    </row>
    <row r="69" spans="1:23" x14ac:dyDescent="0.2">
      <c r="A69" s="5">
        <v>68</v>
      </c>
      <c r="B69" s="159"/>
      <c r="C69" s="160"/>
      <c r="D69" s="161"/>
      <c r="E69" s="160"/>
      <c r="F69" s="182"/>
      <c r="G69" s="160"/>
      <c r="H69" s="160"/>
      <c r="I69" s="160"/>
      <c r="J69" s="160"/>
      <c r="K69" s="160"/>
      <c r="L69" s="160"/>
      <c r="M69" s="160"/>
      <c r="N69" s="160"/>
      <c r="O69" s="160"/>
      <c r="P69" s="160"/>
      <c r="Q69" s="160"/>
      <c r="R69" s="160"/>
      <c r="S69" s="160"/>
      <c r="T69" s="160"/>
      <c r="U69" s="160"/>
      <c r="V69" s="161"/>
      <c r="W69" s="160"/>
    </row>
    <row r="70" spans="1:23" x14ac:dyDescent="0.2">
      <c r="A70" s="5">
        <v>69</v>
      </c>
      <c r="B70" s="159"/>
      <c r="C70" s="160"/>
      <c r="D70" s="161"/>
      <c r="E70" s="160"/>
      <c r="F70" s="182"/>
      <c r="G70" s="160"/>
      <c r="H70" s="160"/>
      <c r="I70" s="160"/>
      <c r="J70" s="160"/>
      <c r="K70" s="160"/>
      <c r="L70" s="160"/>
      <c r="M70" s="160"/>
      <c r="N70" s="160"/>
      <c r="O70" s="160"/>
      <c r="P70" s="160"/>
      <c r="Q70" s="160"/>
      <c r="R70" s="160"/>
      <c r="S70" s="160"/>
      <c r="T70" s="160"/>
      <c r="U70" s="160"/>
      <c r="V70" s="161"/>
      <c r="W70" s="160"/>
    </row>
    <row r="71" spans="1:23" x14ac:dyDescent="0.2">
      <c r="A71" s="5">
        <v>70</v>
      </c>
      <c r="B71" s="159"/>
      <c r="C71" s="160"/>
      <c r="D71" s="161"/>
      <c r="E71" s="160"/>
      <c r="F71" s="182"/>
      <c r="G71" s="160"/>
      <c r="H71" s="160"/>
      <c r="I71" s="160"/>
      <c r="J71" s="160"/>
      <c r="K71" s="160"/>
      <c r="L71" s="160"/>
      <c r="M71" s="160"/>
      <c r="N71" s="160"/>
      <c r="O71" s="160"/>
      <c r="P71" s="160"/>
      <c r="Q71" s="160"/>
      <c r="R71" s="160"/>
      <c r="S71" s="160"/>
      <c r="T71" s="160"/>
      <c r="U71" s="160"/>
      <c r="V71" s="161"/>
      <c r="W71" s="160"/>
    </row>
    <row r="72" spans="1:23" x14ac:dyDescent="0.2">
      <c r="A72" s="5">
        <v>71</v>
      </c>
      <c r="B72" s="159"/>
      <c r="C72" s="160"/>
      <c r="D72" s="161"/>
      <c r="E72" s="160"/>
      <c r="F72" s="182"/>
      <c r="G72" s="160"/>
      <c r="H72" s="160"/>
      <c r="I72" s="160"/>
      <c r="J72" s="160"/>
      <c r="K72" s="160"/>
      <c r="L72" s="160"/>
      <c r="M72" s="160"/>
      <c r="N72" s="160"/>
      <c r="O72" s="160"/>
      <c r="P72" s="160"/>
      <c r="Q72" s="160"/>
      <c r="R72" s="160"/>
      <c r="S72" s="160"/>
      <c r="T72" s="160"/>
      <c r="U72" s="160"/>
      <c r="V72" s="161"/>
      <c r="W72" s="160"/>
    </row>
    <row r="73" spans="1:23" x14ac:dyDescent="0.2">
      <c r="A73" s="5">
        <v>72</v>
      </c>
      <c r="B73" s="159"/>
      <c r="C73" s="160"/>
      <c r="D73" s="161"/>
      <c r="E73" s="160"/>
      <c r="F73" s="182"/>
      <c r="G73" s="160"/>
      <c r="H73" s="160"/>
      <c r="I73" s="160"/>
      <c r="J73" s="160"/>
      <c r="K73" s="160"/>
      <c r="L73" s="160"/>
      <c r="M73" s="160"/>
      <c r="N73" s="160"/>
      <c r="O73" s="160"/>
      <c r="P73" s="160"/>
      <c r="Q73" s="160"/>
      <c r="R73" s="160"/>
      <c r="S73" s="160"/>
      <c r="T73" s="160"/>
      <c r="U73" s="160"/>
      <c r="V73" s="161"/>
      <c r="W73" s="160"/>
    </row>
    <row r="74" spans="1:23" x14ac:dyDescent="0.2">
      <c r="A74" s="5">
        <v>73</v>
      </c>
      <c r="B74" s="159"/>
      <c r="C74" s="160"/>
      <c r="D74" s="161"/>
      <c r="E74" s="160"/>
      <c r="F74" s="182"/>
      <c r="G74" s="160"/>
      <c r="H74" s="160"/>
      <c r="I74" s="160"/>
      <c r="J74" s="160"/>
      <c r="K74" s="160"/>
      <c r="L74" s="160"/>
      <c r="M74" s="160"/>
      <c r="N74" s="160"/>
      <c r="O74" s="160"/>
      <c r="P74" s="160"/>
      <c r="Q74" s="160"/>
      <c r="R74" s="160"/>
      <c r="S74" s="160"/>
      <c r="T74" s="160"/>
      <c r="U74" s="160"/>
      <c r="V74" s="161"/>
      <c r="W74" s="160"/>
    </row>
    <row r="75" spans="1:23" x14ac:dyDescent="0.2">
      <c r="A75" s="5">
        <v>74</v>
      </c>
      <c r="B75" s="159"/>
      <c r="C75" s="160"/>
      <c r="D75" s="161"/>
      <c r="E75" s="160"/>
      <c r="F75" s="182"/>
      <c r="G75" s="160"/>
      <c r="H75" s="160"/>
      <c r="I75" s="160"/>
      <c r="J75" s="160"/>
      <c r="K75" s="160"/>
      <c r="L75" s="160"/>
      <c r="M75" s="160"/>
      <c r="N75" s="160"/>
      <c r="O75" s="160"/>
      <c r="P75" s="160"/>
      <c r="Q75" s="160"/>
      <c r="R75" s="160"/>
      <c r="S75" s="160"/>
      <c r="T75" s="160"/>
      <c r="U75" s="160"/>
      <c r="V75" s="161"/>
      <c r="W75" s="160"/>
    </row>
    <row r="76" spans="1:23" x14ac:dyDescent="0.2">
      <c r="A76" s="5">
        <v>75</v>
      </c>
      <c r="B76" s="159"/>
      <c r="C76" s="160"/>
      <c r="D76" s="161"/>
      <c r="E76" s="160"/>
      <c r="F76" s="182"/>
      <c r="G76" s="160"/>
      <c r="H76" s="160"/>
      <c r="I76" s="160"/>
      <c r="J76" s="160"/>
      <c r="K76" s="160"/>
      <c r="L76" s="160"/>
      <c r="M76" s="160"/>
      <c r="N76" s="160"/>
      <c r="O76" s="160"/>
      <c r="P76" s="160"/>
      <c r="Q76" s="160"/>
      <c r="R76" s="160"/>
      <c r="S76" s="160"/>
      <c r="T76" s="160"/>
      <c r="U76" s="160"/>
      <c r="V76" s="161"/>
      <c r="W76" s="160"/>
    </row>
    <row r="77" spans="1:23" x14ac:dyDescent="0.2">
      <c r="A77" s="5">
        <v>76</v>
      </c>
      <c r="B77" s="159"/>
      <c r="C77" s="160"/>
      <c r="D77" s="161"/>
      <c r="E77" s="160"/>
      <c r="F77" s="182"/>
      <c r="G77" s="160"/>
      <c r="H77" s="160"/>
      <c r="I77" s="160"/>
      <c r="J77" s="160"/>
      <c r="K77" s="160"/>
      <c r="L77" s="160"/>
      <c r="M77" s="160"/>
      <c r="N77" s="160"/>
      <c r="O77" s="160"/>
      <c r="P77" s="160"/>
      <c r="Q77" s="160"/>
      <c r="R77" s="160"/>
      <c r="S77" s="160"/>
      <c r="T77" s="160"/>
      <c r="U77" s="160"/>
      <c r="V77" s="161"/>
      <c r="W77" s="160"/>
    </row>
    <row r="78" spans="1:23" x14ac:dyDescent="0.2">
      <c r="A78" s="5">
        <v>77</v>
      </c>
      <c r="B78" s="159"/>
      <c r="C78" s="160"/>
      <c r="D78" s="161"/>
      <c r="E78" s="160"/>
      <c r="F78" s="182"/>
      <c r="G78" s="160"/>
      <c r="H78" s="160"/>
      <c r="I78" s="160"/>
      <c r="J78" s="160"/>
      <c r="K78" s="160"/>
      <c r="L78" s="160"/>
      <c r="M78" s="160"/>
      <c r="N78" s="160"/>
      <c r="O78" s="160"/>
      <c r="P78" s="160"/>
      <c r="Q78" s="160"/>
      <c r="R78" s="160"/>
      <c r="S78" s="160"/>
      <c r="T78" s="160"/>
      <c r="U78" s="160"/>
      <c r="V78" s="161"/>
      <c r="W78" s="160"/>
    </row>
    <row r="79" spans="1:23" x14ac:dyDescent="0.2">
      <c r="A79" s="5">
        <v>78</v>
      </c>
      <c r="B79" s="159"/>
      <c r="C79" s="160"/>
      <c r="D79" s="161"/>
      <c r="E79" s="160"/>
      <c r="F79" s="182"/>
      <c r="G79" s="160"/>
      <c r="H79" s="160"/>
      <c r="I79" s="160"/>
      <c r="J79" s="160"/>
      <c r="K79" s="160"/>
      <c r="L79" s="160"/>
      <c r="M79" s="160"/>
      <c r="N79" s="160"/>
      <c r="O79" s="160"/>
      <c r="P79" s="160"/>
      <c r="Q79" s="160"/>
      <c r="R79" s="160"/>
      <c r="S79" s="160"/>
      <c r="T79" s="160"/>
      <c r="U79" s="160"/>
      <c r="V79" s="161"/>
      <c r="W79" s="160"/>
    </row>
    <row r="80" spans="1:23" x14ac:dyDescent="0.2">
      <c r="A80" s="5">
        <v>79</v>
      </c>
      <c r="B80" s="159"/>
      <c r="C80" s="160"/>
      <c r="D80" s="161"/>
      <c r="E80" s="160"/>
      <c r="F80" s="182"/>
      <c r="G80" s="160"/>
      <c r="H80" s="160"/>
      <c r="I80" s="160"/>
      <c r="J80" s="160"/>
      <c r="K80" s="160"/>
      <c r="L80" s="160"/>
      <c r="M80" s="160"/>
      <c r="N80" s="160"/>
      <c r="O80" s="160"/>
      <c r="P80" s="160"/>
      <c r="Q80" s="160"/>
      <c r="R80" s="160"/>
      <c r="S80" s="160"/>
      <c r="T80" s="160"/>
      <c r="U80" s="160"/>
      <c r="V80" s="161"/>
      <c r="W80" s="160"/>
    </row>
    <row r="81" spans="1:23" x14ac:dyDescent="0.2">
      <c r="A81" s="5">
        <v>80</v>
      </c>
      <c r="B81" s="159"/>
      <c r="C81" s="160"/>
      <c r="D81" s="161"/>
      <c r="E81" s="160"/>
      <c r="F81" s="182"/>
      <c r="G81" s="160"/>
      <c r="H81" s="160"/>
      <c r="I81" s="160"/>
      <c r="J81" s="160"/>
      <c r="K81" s="160"/>
      <c r="L81" s="160"/>
      <c r="M81" s="160"/>
      <c r="N81" s="160"/>
      <c r="O81" s="160"/>
      <c r="P81" s="160"/>
      <c r="Q81" s="160"/>
      <c r="R81" s="160"/>
      <c r="S81" s="160"/>
      <c r="T81" s="160"/>
      <c r="U81" s="160"/>
      <c r="V81" s="161"/>
      <c r="W81" s="160"/>
    </row>
    <row r="82" spans="1:23" x14ac:dyDescent="0.2">
      <c r="A82" s="5">
        <v>81</v>
      </c>
      <c r="B82" s="159"/>
      <c r="C82" s="160"/>
      <c r="D82" s="161"/>
      <c r="E82" s="160"/>
      <c r="F82" s="182"/>
      <c r="G82" s="160"/>
      <c r="H82" s="160"/>
      <c r="I82" s="160"/>
      <c r="J82" s="160"/>
      <c r="K82" s="160"/>
      <c r="L82" s="160"/>
      <c r="M82" s="160"/>
      <c r="N82" s="160"/>
      <c r="O82" s="160"/>
      <c r="P82" s="160"/>
      <c r="Q82" s="160"/>
      <c r="R82" s="160"/>
      <c r="S82" s="160"/>
      <c r="T82" s="160"/>
      <c r="U82" s="160"/>
      <c r="V82" s="161"/>
      <c r="W82" s="160"/>
    </row>
    <row r="83" spans="1:23" x14ac:dyDescent="0.2">
      <c r="A83" s="5">
        <v>82</v>
      </c>
      <c r="B83" s="159"/>
      <c r="C83" s="160"/>
      <c r="D83" s="161"/>
      <c r="E83" s="160"/>
      <c r="F83" s="182"/>
      <c r="G83" s="160"/>
      <c r="H83" s="160"/>
      <c r="I83" s="160"/>
      <c r="J83" s="160"/>
      <c r="K83" s="160"/>
      <c r="L83" s="160"/>
      <c r="M83" s="160"/>
      <c r="N83" s="160"/>
      <c r="O83" s="160"/>
      <c r="P83" s="160"/>
      <c r="Q83" s="160"/>
      <c r="R83" s="160"/>
      <c r="S83" s="160"/>
      <c r="T83" s="160"/>
      <c r="U83" s="160"/>
      <c r="V83" s="161"/>
      <c r="W83" s="160"/>
    </row>
    <row r="84" spans="1:23" x14ac:dyDescent="0.2">
      <c r="A84" s="5">
        <v>83</v>
      </c>
      <c r="B84" s="159"/>
      <c r="C84" s="160"/>
      <c r="D84" s="161"/>
      <c r="E84" s="160"/>
      <c r="F84" s="182"/>
      <c r="G84" s="160"/>
      <c r="H84" s="160"/>
      <c r="I84" s="160"/>
      <c r="J84" s="160"/>
      <c r="K84" s="160"/>
      <c r="L84" s="160"/>
      <c r="M84" s="160"/>
      <c r="N84" s="160"/>
      <c r="O84" s="160"/>
      <c r="P84" s="160"/>
      <c r="Q84" s="160"/>
      <c r="R84" s="160"/>
      <c r="S84" s="160"/>
      <c r="T84" s="160"/>
      <c r="U84" s="160"/>
      <c r="V84" s="161"/>
      <c r="W84" s="160"/>
    </row>
    <row r="85" spans="1:23" x14ac:dyDescent="0.2">
      <c r="A85" s="5">
        <v>84</v>
      </c>
      <c r="B85" s="159"/>
      <c r="C85" s="160"/>
      <c r="D85" s="161"/>
      <c r="E85" s="160"/>
      <c r="F85" s="182"/>
      <c r="G85" s="160"/>
      <c r="H85" s="160"/>
      <c r="I85" s="160"/>
      <c r="J85" s="160"/>
      <c r="K85" s="160"/>
      <c r="L85" s="160"/>
      <c r="M85" s="160"/>
      <c r="N85" s="160"/>
      <c r="O85" s="160"/>
      <c r="P85" s="160"/>
      <c r="Q85" s="160"/>
      <c r="R85" s="160"/>
      <c r="S85" s="160"/>
      <c r="T85" s="160"/>
      <c r="U85" s="160"/>
      <c r="V85" s="161"/>
      <c r="W85" s="160"/>
    </row>
    <row r="86" spans="1:23" x14ac:dyDescent="0.2">
      <c r="A86" s="5">
        <v>85</v>
      </c>
      <c r="B86" s="159"/>
      <c r="C86" s="160"/>
      <c r="D86" s="161"/>
      <c r="E86" s="160"/>
      <c r="F86" s="182"/>
      <c r="G86" s="160"/>
      <c r="H86" s="160"/>
      <c r="I86" s="160"/>
      <c r="J86" s="160"/>
      <c r="K86" s="160"/>
      <c r="L86" s="160"/>
      <c r="M86" s="160"/>
      <c r="N86" s="160"/>
      <c r="O86" s="160"/>
      <c r="P86" s="160"/>
      <c r="Q86" s="160"/>
      <c r="R86" s="160"/>
      <c r="S86" s="160"/>
      <c r="T86" s="160"/>
      <c r="U86" s="160"/>
      <c r="V86" s="161"/>
      <c r="W86" s="160"/>
    </row>
    <row r="87" spans="1:23" x14ac:dyDescent="0.2">
      <c r="A87" s="5">
        <v>86</v>
      </c>
      <c r="B87" s="159"/>
      <c r="C87" s="160"/>
      <c r="D87" s="161"/>
      <c r="E87" s="160"/>
      <c r="F87" s="182"/>
      <c r="G87" s="160"/>
      <c r="H87" s="160"/>
      <c r="I87" s="160"/>
      <c r="J87" s="160"/>
      <c r="K87" s="160"/>
      <c r="L87" s="160"/>
      <c r="M87" s="160"/>
      <c r="N87" s="160"/>
      <c r="O87" s="160"/>
      <c r="P87" s="160"/>
      <c r="Q87" s="160"/>
      <c r="R87" s="160"/>
      <c r="S87" s="160"/>
      <c r="T87" s="160"/>
      <c r="U87" s="160"/>
      <c r="V87" s="161"/>
      <c r="W87" s="160"/>
    </row>
    <row r="88" spans="1:23" x14ac:dyDescent="0.2">
      <c r="A88" s="5">
        <v>87</v>
      </c>
      <c r="B88" s="159"/>
      <c r="C88" s="160"/>
      <c r="D88" s="161"/>
      <c r="E88" s="160"/>
      <c r="F88" s="182"/>
      <c r="G88" s="160"/>
      <c r="H88" s="160"/>
      <c r="I88" s="160"/>
      <c r="J88" s="160"/>
      <c r="K88" s="160"/>
      <c r="L88" s="160"/>
      <c r="M88" s="160"/>
      <c r="N88" s="160"/>
      <c r="O88" s="160"/>
      <c r="P88" s="160"/>
      <c r="Q88" s="160"/>
      <c r="R88" s="160"/>
      <c r="S88" s="160"/>
      <c r="T88" s="160"/>
      <c r="U88" s="160"/>
      <c r="V88" s="161"/>
      <c r="W88" s="160"/>
    </row>
    <row r="89" spans="1:23" x14ac:dyDescent="0.2">
      <c r="A89" s="5">
        <v>88</v>
      </c>
      <c r="B89" s="159"/>
      <c r="C89" s="160"/>
      <c r="D89" s="161"/>
      <c r="E89" s="160"/>
      <c r="F89" s="182"/>
      <c r="G89" s="160"/>
      <c r="H89" s="160"/>
      <c r="I89" s="160"/>
      <c r="J89" s="160"/>
      <c r="K89" s="160"/>
      <c r="L89" s="160"/>
      <c r="M89" s="160"/>
      <c r="N89" s="160"/>
      <c r="O89" s="160"/>
      <c r="P89" s="160"/>
      <c r="Q89" s="160"/>
      <c r="R89" s="160"/>
      <c r="S89" s="160"/>
      <c r="T89" s="160"/>
      <c r="U89" s="160"/>
      <c r="V89" s="161"/>
      <c r="W89" s="160"/>
    </row>
    <row r="90" spans="1:23" x14ac:dyDescent="0.2">
      <c r="A90" s="5">
        <v>89</v>
      </c>
      <c r="B90" s="159"/>
      <c r="C90" s="160"/>
      <c r="D90" s="161"/>
      <c r="E90" s="160"/>
      <c r="F90" s="182"/>
      <c r="G90" s="160"/>
      <c r="H90" s="160"/>
      <c r="I90" s="160"/>
      <c r="J90" s="160"/>
      <c r="K90" s="160"/>
      <c r="L90" s="160"/>
      <c r="M90" s="160"/>
      <c r="N90" s="160"/>
      <c r="O90" s="160"/>
      <c r="P90" s="160"/>
      <c r="Q90" s="160"/>
      <c r="R90" s="160"/>
      <c r="S90" s="160"/>
      <c r="T90" s="160"/>
      <c r="U90" s="160"/>
      <c r="V90" s="161"/>
      <c r="W90" s="160"/>
    </row>
    <row r="91" spans="1:23" x14ac:dyDescent="0.2">
      <c r="A91" s="5">
        <v>90</v>
      </c>
      <c r="B91" s="159"/>
      <c r="C91" s="160"/>
      <c r="D91" s="161"/>
      <c r="E91" s="160"/>
      <c r="F91" s="182"/>
      <c r="G91" s="160"/>
      <c r="H91" s="160"/>
      <c r="I91" s="160"/>
      <c r="J91" s="160"/>
      <c r="K91" s="160"/>
      <c r="L91" s="160"/>
      <c r="M91" s="160"/>
      <c r="N91" s="160"/>
      <c r="O91" s="160"/>
      <c r="P91" s="160"/>
      <c r="Q91" s="160"/>
      <c r="R91" s="160"/>
      <c r="S91" s="160"/>
      <c r="T91" s="160"/>
      <c r="U91" s="160"/>
      <c r="V91" s="161"/>
      <c r="W91" s="160"/>
    </row>
    <row r="92" spans="1:23" x14ac:dyDescent="0.2">
      <c r="A92" s="5">
        <v>91</v>
      </c>
      <c r="B92" s="159"/>
      <c r="C92" s="160"/>
      <c r="D92" s="161"/>
      <c r="E92" s="160"/>
      <c r="F92" s="182"/>
      <c r="G92" s="160"/>
      <c r="H92" s="160"/>
      <c r="I92" s="160"/>
      <c r="J92" s="160"/>
      <c r="K92" s="160"/>
      <c r="L92" s="160"/>
      <c r="M92" s="160"/>
      <c r="N92" s="160"/>
      <c r="O92" s="160"/>
      <c r="P92" s="160"/>
      <c r="Q92" s="160"/>
      <c r="R92" s="160"/>
      <c r="S92" s="160"/>
      <c r="T92" s="160"/>
      <c r="U92" s="160"/>
      <c r="V92" s="161"/>
      <c r="W92" s="160"/>
    </row>
    <row r="93" spans="1:23" x14ac:dyDescent="0.2">
      <c r="A93" s="5">
        <v>92</v>
      </c>
      <c r="B93" s="159"/>
      <c r="C93" s="160"/>
      <c r="D93" s="161"/>
      <c r="E93" s="160"/>
      <c r="F93" s="182"/>
      <c r="G93" s="160"/>
      <c r="H93" s="160"/>
      <c r="I93" s="160"/>
      <c r="J93" s="160"/>
      <c r="K93" s="160"/>
      <c r="L93" s="160"/>
      <c r="M93" s="160"/>
      <c r="N93" s="160"/>
      <c r="O93" s="160"/>
      <c r="P93" s="160"/>
      <c r="Q93" s="160"/>
      <c r="R93" s="160"/>
      <c r="S93" s="160"/>
      <c r="T93" s="160"/>
      <c r="U93" s="160"/>
      <c r="V93" s="161"/>
      <c r="W93" s="160"/>
    </row>
    <row r="94" spans="1:23" x14ac:dyDescent="0.2">
      <c r="A94" s="5">
        <v>93</v>
      </c>
      <c r="B94" s="159"/>
      <c r="C94" s="160"/>
      <c r="D94" s="161"/>
      <c r="E94" s="160"/>
      <c r="F94" s="182"/>
      <c r="G94" s="160"/>
      <c r="H94" s="160"/>
      <c r="I94" s="160"/>
      <c r="J94" s="160"/>
      <c r="K94" s="160"/>
      <c r="L94" s="160"/>
      <c r="M94" s="160"/>
      <c r="N94" s="160"/>
      <c r="O94" s="160"/>
      <c r="P94" s="160"/>
      <c r="Q94" s="160"/>
      <c r="R94" s="160"/>
      <c r="S94" s="160"/>
      <c r="T94" s="160"/>
      <c r="U94" s="160"/>
      <c r="V94" s="161"/>
      <c r="W94" s="160"/>
    </row>
    <row r="95" spans="1:23" x14ac:dyDescent="0.2">
      <c r="A95" s="5">
        <v>94</v>
      </c>
      <c r="B95" s="159"/>
      <c r="C95" s="160"/>
      <c r="D95" s="161"/>
      <c r="E95" s="160"/>
      <c r="F95" s="182"/>
      <c r="G95" s="160"/>
      <c r="H95" s="160"/>
      <c r="I95" s="160"/>
      <c r="J95" s="160"/>
      <c r="K95" s="160"/>
      <c r="L95" s="160"/>
      <c r="M95" s="160"/>
      <c r="N95" s="160"/>
      <c r="O95" s="160"/>
      <c r="P95" s="160"/>
      <c r="Q95" s="160"/>
      <c r="R95" s="160"/>
      <c r="S95" s="160"/>
      <c r="T95" s="160"/>
      <c r="U95" s="160"/>
      <c r="V95" s="161"/>
      <c r="W95" s="160"/>
    </row>
    <row r="96" spans="1:23" x14ac:dyDescent="0.2">
      <c r="A96" s="5">
        <v>95</v>
      </c>
      <c r="B96" s="159"/>
      <c r="C96" s="160"/>
      <c r="D96" s="161"/>
      <c r="E96" s="160"/>
      <c r="F96" s="182"/>
      <c r="G96" s="160"/>
      <c r="H96" s="160"/>
      <c r="I96" s="160"/>
      <c r="J96" s="160"/>
      <c r="K96" s="160"/>
      <c r="L96" s="160"/>
      <c r="M96" s="160"/>
      <c r="N96" s="160"/>
      <c r="O96" s="160"/>
      <c r="P96" s="160"/>
      <c r="Q96" s="160"/>
      <c r="R96" s="160"/>
      <c r="S96" s="160"/>
      <c r="T96" s="160"/>
      <c r="U96" s="160"/>
      <c r="V96" s="161"/>
      <c r="W96" s="160"/>
    </row>
    <row r="97" spans="1:23" x14ac:dyDescent="0.2">
      <c r="A97" s="5">
        <v>96</v>
      </c>
      <c r="B97" s="159"/>
      <c r="C97" s="160"/>
      <c r="D97" s="161"/>
      <c r="E97" s="160"/>
      <c r="F97" s="182"/>
      <c r="G97" s="160"/>
      <c r="H97" s="160"/>
      <c r="I97" s="160"/>
      <c r="J97" s="160"/>
      <c r="K97" s="160"/>
      <c r="L97" s="160"/>
      <c r="M97" s="160"/>
      <c r="N97" s="160"/>
      <c r="O97" s="160"/>
      <c r="P97" s="160"/>
      <c r="Q97" s="160"/>
      <c r="R97" s="160"/>
      <c r="S97" s="160"/>
      <c r="T97" s="160"/>
      <c r="U97" s="160"/>
      <c r="V97" s="161"/>
      <c r="W97" s="160"/>
    </row>
    <row r="98" spans="1:23" x14ac:dyDescent="0.2">
      <c r="A98" s="5">
        <v>97</v>
      </c>
      <c r="B98" s="159"/>
      <c r="C98" s="160"/>
      <c r="D98" s="161"/>
      <c r="E98" s="160"/>
      <c r="F98" s="182"/>
      <c r="G98" s="160"/>
      <c r="H98" s="160"/>
      <c r="I98" s="160"/>
      <c r="J98" s="160"/>
      <c r="K98" s="160"/>
      <c r="L98" s="160"/>
      <c r="M98" s="160"/>
      <c r="N98" s="160"/>
      <c r="O98" s="160"/>
      <c r="P98" s="160"/>
      <c r="Q98" s="160"/>
      <c r="R98" s="160"/>
      <c r="S98" s="160"/>
      <c r="T98" s="160"/>
      <c r="U98" s="160"/>
      <c r="V98" s="161"/>
      <c r="W98" s="160"/>
    </row>
    <row r="99" spans="1:23" x14ac:dyDescent="0.2">
      <c r="A99" s="5">
        <v>98</v>
      </c>
      <c r="B99" s="159"/>
      <c r="C99" s="160"/>
      <c r="D99" s="161"/>
      <c r="E99" s="160"/>
      <c r="F99" s="182"/>
      <c r="G99" s="160"/>
      <c r="H99" s="160"/>
      <c r="I99" s="160"/>
      <c r="J99" s="160"/>
      <c r="K99" s="160"/>
      <c r="L99" s="160"/>
      <c r="M99" s="160"/>
      <c r="N99" s="160"/>
      <c r="O99" s="160"/>
      <c r="P99" s="160"/>
      <c r="Q99" s="160"/>
      <c r="R99" s="160"/>
      <c r="S99" s="160"/>
      <c r="T99" s="160"/>
      <c r="U99" s="160"/>
      <c r="V99" s="161"/>
      <c r="W99" s="160"/>
    </row>
    <row r="100" spans="1:23" x14ac:dyDescent="0.2">
      <c r="A100" s="5">
        <v>99</v>
      </c>
      <c r="B100" s="159"/>
      <c r="C100" s="160"/>
      <c r="D100" s="161"/>
      <c r="E100" s="160"/>
      <c r="F100" s="182"/>
      <c r="G100" s="160"/>
      <c r="H100" s="160"/>
      <c r="I100" s="160"/>
      <c r="J100" s="160"/>
      <c r="K100" s="160"/>
      <c r="L100" s="160"/>
      <c r="M100" s="160"/>
      <c r="N100" s="160"/>
      <c r="O100" s="160"/>
      <c r="P100" s="160"/>
      <c r="Q100" s="160"/>
      <c r="R100" s="160"/>
      <c r="S100" s="160"/>
      <c r="T100" s="160"/>
      <c r="U100" s="160"/>
      <c r="V100" s="161"/>
      <c r="W100" s="160"/>
    </row>
    <row r="101" spans="1:23" x14ac:dyDescent="0.2">
      <c r="A101" s="5">
        <v>100</v>
      </c>
      <c r="B101" s="159"/>
      <c r="C101" s="160"/>
      <c r="D101" s="161"/>
      <c r="E101" s="160"/>
      <c r="F101" s="182"/>
      <c r="G101" s="160"/>
      <c r="H101" s="160"/>
      <c r="I101" s="160"/>
      <c r="J101" s="160"/>
      <c r="K101" s="160"/>
      <c r="L101" s="160"/>
      <c r="M101" s="160"/>
      <c r="N101" s="160"/>
      <c r="O101" s="160"/>
      <c r="P101" s="160"/>
      <c r="Q101" s="160"/>
      <c r="R101" s="160"/>
      <c r="S101" s="160"/>
      <c r="T101" s="160"/>
      <c r="U101" s="160"/>
      <c r="V101" s="161"/>
      <c r="W101" s="160"/>
    </row>
    <row r="102" spans="1:23" x14ac:dyDescent="0.2">
      <c r="A102" s="5">
        <v>101</v>
      </c>
      <c r="B102" s="159"/>
      <c r="C102" s="160"/>
      <c r="D102" s="161"/>
      <c r="E102" s="160"/>
      <c r="F102" s="182"/>
      <c r="G102" s="160"/>
      <c r="H102" s="160"/>
      <c r="I102" s="160"/>
      <c r="J102" s="160"/>
      <c r="K102" s="160"/>
      <c r="L102" s="160"/>
      <c r="M102" s="160"/>
      <c r="N102" s="160"/>
      <c r="O102" s="160"/>
      <c r="P102" s="160"/>
      <c r="Q102" s="160"/>
      <c r="R102" s="160"/>
      <c r="S102" s="160"/>
      <c r="T102" s="160"/>
      <c r="U102" s="160"/>
      <c r="V102" s="161"/>
      <c r="W102" s="160"/>
    </row>
    <row r="103" spans="1:23" x14ac:dyDescent="0.2">
      <c r="A103" s="5">
        <v>102</v>
      </c>
      <c r="B103" s="159"/>
      <c r="C103" s="160"/>
      <c r="D103" s="161"/>
      <c r="E103" s="160"/>
      <c r="F103" s="182"/>
      <c r="G103" s="160"/>
      <c r="H103" s="160"/>
      <c r="I103" s="160"/>
      <c r="J103" s="160"/>
      <c r="K103" s="160"/>
      <c r="L103" s="160"/>
      <c r="M103" s="160"/>
      <c r="N103" s="160"/>
      <c r="O103" s="160"/>
      <c r="P103" s="160"/>
      <c r="Q103" s="160"/>
      <c r="R103" s="160"/>
      <c r="S103" s="160"/>
      <c r="T103" s="160"/>
      <c r="U103" s="160"/>
      <c r="V103" s="161"/>
      <c r="W103" s="160"/>
    </row>
    <row r="104" spans="1:23" x14ac:dyDescent="0.2">
      <c r="A104" s="5">
        <v>103</v>
      </c>
      <c r="B104" s="159"/>
      <c r="C104" s="160"/>
      <c r="D104" s="161"/>
      <c r="E104" s="160"/>
      <c r="F104" s="182"/>
      <c r="G104" s="160"/>
      <c r="H104" s="160"/>
      <c r="I104" s="160"/>
      <c r="J104" s="160"/>
      <c r="K104" s="160"/>
      <c r="L104" s="160"/>
      <c r="M104" s="160"/>
      <c r="N104" s="160"/>
      <c r="O104" s="160"/>
      <c r="P104" s="160"/>
      <c r="Q104" s="160"/>
      <c r="R104" s="160"/>
      <c r="S104" s="160"/>
      <c r="T104" s="160"/>
      <c r="U104" s="160"/>
      <c r="V104" s="161"/>
      <c r="W104" s="160"/>
    </row>
    <row r="105" spans="1:23" x14ac:dyDescent="0.2">
      <c r="A105" s="5">
        <v>104</v>
      </c>
      <c r="B105" s="159"/>
      <c r="C105" s="160"/>
      <c r="D105" s="161"/>
      <c r="E105" s="160"/>
      <c r="F105" s="182"/>
      <c r="G105" s="160"/>
      <c r="H105" s="160"/>
      <c r="I105" s="160"/>
      <c r="J105" s="160"/>
      <c r="K105" s="160"/>
      <c r="L105" s="160"/>
      <c r="M105" s="160"/>
      <c r="N105" s="160"/>
      <c r="O105" s="160"/>
      <c r="P105" s="160"/>
      <c r="Q105" s="160"/>
      <c r="R105" s="160"/>
      <c r="S105" s="160"/>
      <c r="T105" s="160"/>
      <c r="U105" s="160"/>
      <c r="V105" s="161"/>
      <c r="W105" s="160"/>
    </row>
    <row r="106" spans="1:23" x14ac:dyDescent="0.2">
      <c r="A106" s="5">
        <v>105</v>
      </c>
      <c r="B106" s="159"/>
      <c r="C106" s="160"/>
      <c r="D106" s="161"/>
      <c r="E106" s="160"/>
      <c r="F106" s="182"/>
      <c r="G106" s="160"/>
      <c r="H106" s="160"/>
      <c r="I106" s="160"/>
      <c r="J106" s="160"/>
      <c r="K106" s="160"/>
      <c r="L106" s="160"/>
      <c r="M106" s="160"/>
      <c r="N106" s="160"/>
      <c r="O106" s="160"/>
      <c r="P106" s="160"/>
      <c r="Q106" s="160"/>
      <c r="R106" s="160"/>
      <c r="S106" s="160"/>
      <c r="T106" s="160"/>
      <c r="U106" s="160"/>
      <c r="V106" s="161"/>
      <c r="W106" s="160"/>
    </row>
    <row r="107" spans="1:23" x14ac:dyDescent="0.2">
      <c r="A107" s="5">
        <v>106</v>
      </c>
      <c r="B107" s="159"/>
      <c r="C107" s="160"/>
      <c r="D107" s="161"/>
      <c r="E107" s="160"/>
      <c r="F107" s="182"/>
      <c r="G107" s="160"/>
      <c r="H107" s="160"/>
      <c r="I107" s="160"/>
      <c r="J107" s="160"/>
      <c r="K107" s="160"/>
      <c r="L107" s="160"/>
      <c r="M107" s="160"/>
      <c r="N107" s="160"/>
      <c r="O107" s="160"/>
      <c r="P107" s="160"/>
      <c r="Q107" s="160"/>
      <c r="R107" s="160"/>
      <c r="S107" s="160"/>
      <c r="T107" s="160"/>
      <c r="U107" s="160"/>
      <c r="V107" s="161"/>
      <c r="W107" s="160"/>
    </row>
    <row r="108" spans="1:23" x14ac:dyDescent="0.2">
      <c r="A108" s="5">
        <v>107</v>
      </c>
      <c r="B108" s="159"/>
      <c r="C108" s="160"/>
      <c r="D108" s="161"/>
      <c r="E108" s="160"/>
      <c r="F108" s="182"/>
      <c r="G108" s="160"/>
      <c r="H108" s="160"/>
      <c r="I108" s="160"/>
      <c r="J108" s="160"/>
      <c r="K108" s="160"/>
      <c r="L108" s="160"/>
      <c r="M108" s="160"/>
      <c r="N108" s="160"/>
      <c r="O108" s="160"/>
      <c r="P108" s="160"/>
      <c r="Q108" s="160"/>
      <c r="R108" s="160"/>
      <c r="S108" s="160"/>
      <c r="T108" s="160"/>
      <c r="U108" s="160"/>
      <c r="V108" s="161"/>
      <c r="W108" s="160"/>
    </row>
    <row r="109" spans="1:23" x14ac:dyDescent="0.2">
      <c r="A109" s="5">
        <v>108</v>
      </c>
      <c r="B109" s="159"/>
      <c r="C109" s="160"/>
      <c r="D109" s="161"/>
      <c r="E109" s="160"/>
      <c r="F109" s="182"/>
      <c r="G109" s="160"/>
      <c r="H109" s="160"/>
      <c r="I109" s="160"/>
      <c r="J109" s="160"/>
      <c r="K109" s="160"/>
      <c r="L109" s="160"/>
      <c r="M109" s="160"/>
      <c r="N109" s="160"/>
      <c r="O109" s="160"/>
      <c r="P109" s="160"/>
      <c r="Q109" s="160"/>
      <c r="R109" s="160"/>
      <c r="S109" s="160"/>
      <c r="T109" s="160"/>
      <c r="U109" s="160"/>
      <c r="V109" s="161"/>
      <c r="W109" s="160"/>
    </row>
    <row r="110" spans="1:23" x14ac:dyDescent="0.2">
      <c r="A110" s="5">
        <v>109</v>
      </c>
      <c r="B110" s="159"/>
      <c r="C110" s="160"/>
      <c r="D110" s="161"/>
      <c r="E110" s="160"/>
      <c r="F110" s="182"/>
      <c r="G110" s="160"/>
      <c r="H110" s="160"/>
      <c r="I110" s="160"/>
      <c r="J110" s="160"/>
      <c r="K110" s="160"/>
      <c r="L110" s="160"/>
      <c r="M110" s="160"/>
      <c r="N110" s="160"/>
      <c r="O110" s="160"/>
      <c r="P110" s="160"/>
      <c r="Q110" s="160"/>
      <c r="R110" s="160"/>
      <c r="S110" s="160"/>
      <c r="T110" s="160"/>
      <c r="U110" s="160"/>
      <c r="V110" s="161"/>
      <c r="W110" s="160"/>
    </row>
    <row r="111" spans="1:23" x14ac:dyDescent="0.2">
      <c r="A111" s="5">
        <v>110</v>
      </c>
      <c r="B111" s="159"/>
      <c r="C111" s="160"/>
      <c r="D111" s="161"/>
      <c r="E111" s="160"/>
      <c r="F111" s="182"/>
      <c r="G111" s="160"/>
      <c r="H111" s="160"/>
      <c r="I111" s="160"/>
      <c r="J111" s="160"/>
      <c r="K111" s="160"/>
      <c r="L111" s="160"/>
      <c r="M111" s="160"/>
      <c r="N111" s="160"/>
      <c r="O111" s="160"/>
      <c r="P111" s="160"/>
      <c r="Q111" s="160"/>
      <c r="R111" s="160"/>
      <c r="S111" s="160"/>
      <c r="T111" s="160"/>
      <c r="U111" s="160"/>
      <c r="V111" s="161"/>
      <c r="W111" s="160"/>
    </row>
    <row r="112" spans="1:23" x14ac:dyDescent="0.2">
      <c r="A112" s="5">
        <v>111</v>
      </c>
      <c r="B112" s="159"/>
      <c r="C112" s="160"/>
      <c r="D112" s="161"/>
      <c r="E112" s="160"/>
      <c r="F112" s="182"/>
      <c r="G112" s="160"/>
      <c r="H112" s="160"/>
      <c r="I112" s="160"/>
      <c r="J112" s="160"/>
      <c r="K112" s="160"/>
      <c r="L112" s="160"/>
      <c r="M112" s="160"/>
      <c r="N112" s="160"/>
      <c r="O112" s="160"/>
      <c r="P112" s="160"/>
      <c r="Q112" s="160"/>
      <c r="R112" s="160"/>
      <c r="S112" s="160"/>
      <c r="T112" s="160"/>
      <c r="U112" s="160"/>
      <c r="V112" s="161"/>
      <c r="W112" s="160"/>
    </row>
    <row r="113" spans="1:23" x14ac:dyDescent="0.2">
      <c r="A113" s="5">
        <v>112</v>
      </c>
      <c r="B113" s="159"/>
      <c r="C113" s="160"/>
      <c r="D113" s="161"/>
      <c r="E113" s="160"/>
      <c r="F113" s="182"/>
      <c r="G113" s="160"/>
      <c r="H113" s="160"/>
      <c r="I113" s="160"/>
      <c r="J113" s="160"/>
      <c r="K113" s="160"/>
      <c r="L113" s="160"/>
      <c r="M113" s="160"/>
      <c r="N113" s="160"/>
      <c r="O113" s="160"/>
      <c r="P113" s="160"/>
      <c r="Q113" s="160"/>
      <c r="R113" s="160"/>
      <c r="S113" s="160"/>
      <c r="T113" s="160"/>
      <c r="U113" s="160"/>
      <c r="V113" s="161"/>
      <c r="W113" s="160"/>
    </row>
    <row r="114" spans="1:23" x14ac:dyDescent="0.2">
      <c r="A114" s="5">
        <v>113</v>
      </c>
      <c r="B114" s="159"/>
      <c r="C114" s="160"/>
      <c r="D114" s="161"/>
      <c r="E114" s="160"/>
      <c r="F114" s="182"/>
      <c r="G114" s="160"/>
      <c r="H114" s="160"/>
      <c r="I114" s="160"/>
      <c r="J114" s="160"/>
      <c r="K114" s="160"/>
      <c r="L114" s="160"/>
      <c r="M114" s="160"/>
      <c r="N114" s="160"/>
      <c r="O114" s="160"/>
      <c r="P114" s="160"/>
      <c r="Q114" s="160"/>
      <c r="R114" s="160"/>
      <c r="S114" s="160"/>
      <c r="T114" s="160"/>
      <c r="U114" s="160"/>
      <c r="V114" s="161"/>
      <c r="W114" s="160"/>
    </row>
    <row r="115" spans="1:23" x14ac:dyDescent="0.2">
      <c r="A115" s="5">
        <v>114</v>
      </c>
      <c r="B115" s="159"/>
      <c r="C115" s="160"/>
      <c r="D115" s="161"/>
      <c r="E115" s="160"/>
      <c r="F115" s="182"/>
      <c r="G115" s="160"/>
      <c r="H115" s="160"/>
      <c r="I115" s="160"/>
      <c r="J115" s="160"/>
      <c r="K115" s="160"/>
      <c r="L115" s="160"/>
      <c r="M115" s="160"/>
      <c r="N115" s="160"/>
      <c r="O115" s="160"/>
      <c r="P115" s="160"/>
      <c r="Q115" s="160"/>
      <c r="R115" s="160"/>
      <c r="S115" s="160"/>
      <c r="T115" s="160"/>
      <c r="U115" s="160"/>
      <c r="V115" s="161"/>
      <c r="W115" s="160"/>
    </row>
    <row r="116" spans="1:23" x14ac:dyDescent="0.2">
      <c r="A116" s="5">
        <v>115</v>
      </c>
      <c r="B116" s="159"/>
      <c r="C116" s="160"/>
      <c r="D116" s="161"/>
      <c r="E116" s="160"/>
      <c r="F116" s="182"/>
      <c r="G116" s="160"/>
      <c r="H116" s="160"/>
      <c r="I116" s="160"/>
      <c r="J116" s="160"/>
      <c r="K116" s="160"/>
      <c r="L116" s="160"/>
      <c r="M116" s="160"/>
      <c r="N116" s="160"/>
      <c r="O116" s="160"/>
      <c r="P116" s="160"/>
      <c r="Q116" s="160"/>
      <c r="R116" s="160"/>
      <c r="S116" s="160"/>
      <c r="T116" s="160"/>
      <c r="U116" s="160"/>
      <c r="V116" s="161"/>
      <c r="W116" s="160"/>
    </row>
    <row r="117" spans="1:23" x14ac:dyDescent="0.2">
      <c r="A117" s="5">
        <v>116</v>
      </c>
      <c r="B117" s="159"/>
      <c r="C117" s="160"/>
      <c r="D117" s="161"/>
      <c r="E117" s="160"/>
      <c r="F117" s="182"/>
      <c r="G117" s="160"/>
      <c r="H117" s="160"/>
      <c r="I117" s="160"/>
      <c r="J117" s="160"/>
      <c r="K117" s="160"/>
      <c r="L117" s="160"/>
      <c r="M117" s="160"/>
      <c r="N117" s="160"/>
      <c r="O117" s="160"/>
      <c r="P117" s="160"/>
      <c r="Q117" s="160"/>
      <c r="R117" s="160"/>
      <c r="S117" s="160"/>
      <c r="T117" s="160"/>
      <c r="U117" s="160"/>
      <c r="V117" s="161"/>
      <c r="W117" s="160"/>
    </row>
    <row r="118" spans="1:23" x14ac:dyDescent="0.2">
      <c r="A118" s="5">
        <v>117</v>
      </c>
      <c r="B118" s="159"/>
      <c r="C118" s="160"/>
      <c r="D118" s="161"/>
      <c r="E118" s="160"/>
      <c r="F118" s="182"/>
      <c r="G118" s="160"/>
      <c r="H118" s="160"/>
      <c r="I118" s="160"/>
      <c r="J118" s="160"/>
      <c r="K118" s="160"/>
      <c r="L118" s="160"/>
      <c r="M118" s="160"/>
      <c r="N118" s="160"/>
      <c r="O118" s="160"/>
      <c r="P118" s="160"/>
      <c r="Q118" s="160"/>
      <c r="R118" s="160"/>
      <c r="S118" s="160"/>
      <c r="T118" s="160"/>
      <c r="U118" s="160"/>
      <c r="V118" s="161"/>
      <c r="W118" s="160"/>
    </row>
    <row r="119" spans="1:23" x14ac:dyDescent="0.2">
      <c r="A119" s="5">
        <v>118</v>
      </c>
      <c r="B119" s="159"/>
      <c r="C119" s="160"/>
      <c r="D119" s="161"/>
      <c r="E119" s="160"/>
      <c r="F119" s="182"/>
      <c r="G119" s="160"/>
      <c r="H119" s="160"/>
      <c r="I119" s="160"/>
      <c r="J119" s="160"/>
      <c r="K119" s="160"/>
      <c r="L119" s="160"/>
      <c r="M119" s="160"/>
      <c r="N119" s="160"/>
      <c r="O119" s="160"/>
      <c r="P119" s="160"/>
      <c r="Q119" s="160"/>
      <c r="R119" s="160"/>
      <c r="S119" s="160"/>
      <c r="T119" s="160"/>
      <c r="U119" s="160"/>
      <c r="V119" s="161"/>
      <c r="W119" s="160"/>
    </row>
    <row r="120" spans="1:23" x14ac:dyDescent="0.2">
      <c r="A120" s="5">
        <v>119</v>
      </c>
      <c r="B120" s="159"/>
      <c r="C120" s="160"/>
      <c r="D120" s="161"/>
      <c r="E120" s="160"/>
      <c r="F120" s="182"/>
      <c r="G120" s="160"/>
      <c r="H120" s="160"/>
      <c r="I120" s="160"/>
      <c r="J120" s="160"/>
      <c r="K120" s="160"/>
      <c r="L120" s="160"/>
      <c r="M120" s="160"/>
      <c r="N120" s="160"/>
      <c r="O120" s="160"/>
      <c r="P120" s="160"/>
      <c r="Q120" s="160"/>
      <c r="R120" s="160"/>
      <c r="S120" s="160"/>
      <c r="T120" s="160"/>
      <c r="U120" s="160"/>
      <c r="V120" s="161"/>
      <c r="W120" s="160"/>
    </row>
    <row r="121" spans="1:23" x14ac:dyDescent="0.2">
      <c r="A121" s="5">
        <v>120</v>
      </c>
      <c r="B121" s="159"/>
      <c r="C121" s="160"/>
      <c r="D121" s="161"/>
      <c r="E121" s="160"/>
      <c r="F121" s="182"/>
      <c r="G121" s="160"/>
      <c r="H121" s="160"/>
      <c r="I121" s="160"/>
      <c r="J121" s="160"/>
      <c r="K121" s="160"/>
      <c r="L121" s="160"/>
      <c r="M121" s="160"/>
      <c r="N121" s="160"/>
      <c r="O121" s="160"/>
      <c r="P121" s="160"/>
      <c r="Q121" s="160"/>
      <c r="R121" s="160"/>
      <c r="S121" s="160"/>
      <c r="T121" s="160"/>
      <c r="U121" s="160"/>
      <c r="V121" s="161"/>
      <c r="W121" s="160"/>
    </row>
    <row r="122" spans="1:23" x14ac:dyDescent="0.2">
      <c r="A122" s="5">
        <v>121</v>
      </c>
      <c r="B122" s="159"/>
      <c r="C122" s="160"/>
      <c r="D122" s="161"/>
      <c r="E122" s="160"/>
      <c r="F122" s="182"/>
      <c r="G122" s="160"/>
      <c r="H122" s="160"/>
      <c r="I122" s="160"/>
      <c r="J122" s="160"/>
      <c r="K122" s="160"/>
      <c r="L122" s="160"/>
      <c r="M122" s="160"/>
      <c r="N122" s="160"/>
      <c r="O122" s="160"/>
      <c r="P122" s="160"/>
      <c r="Q122" s="160"/>
      <c r="R122" s="160"/>
      <c r="S122" s="160"/>
      <c r="T122" s="160"/>
      <c r="U122" s="160"/>
      <c r="V122" s="161"/>
      <c r="W122" s="160"/>
    </row>
    <row r="123" spans="1:23" x14ac:dyDescent="0.2">
      <c r="A123" s="5">
        <v>122</v>
      </c>
      <c r="B123" s="159"/>
      <c r="C123" s="160"/>
      <c r="D123" s="161"/>
      <c r="E123" s="160"/>
      <c r="F123" s="182"/>
      <c r="G123" s="160"/>
      <c r="H123" s="160"/>
      <c r="I123" s="160"/>
      <c r="J123" s="160"/>
      <c r="K123" s="160"/>
      <c r="L123" s="160"/>
      <c r="M123" s="160"/>
      <c r="N123" s="160"/>
      <c r="O123" s="160"/>
      <c r="P123" s="160"/>
      <c r="Q123" s="160"/>
      <c r="R123" s="160"/>
      <c r="S123" s="160"/>
      <c r="T123" s="160"/>
      <c r="U123" s="160"/>
      <c r="V123" s="161"/>
      <c r="W123" s="160"/>
    </row>
    <row r="124" spans="1:23" x14ac:dyDescent="0.2">
      <c r="A124" s="5">
        <v>123</v>
      </c>
      <c r="B124" s="159"/>
      <c r="C124" s="160"/>
      <c r="D124" s="161"/>
      <c r="E124" s="160"/>
      <c r="F124" s="182"/>
      <c r="G124" s="160"/>
      <c r="H124" s="160"/>
      <c r="I124" s="160"/>
      <c r="J124" s="160"/>
      <c r="K124" s="160"/>
      <c r="L124" s="160"/>
      <c r="M124" s="160"/>
      <c r="N124" s="160"/>
      <c r="O124" s="160"/>
      <c r="P124" s="160"/>
      <c r="Q124" s="160"/>
      <c r="R124" s="160"/>
      <c r="S124" s="160"/>
      <c r="T124" s="160"/>
      <c r="U124" s="160"/>
      <c r="V124" s="161"/>
      <c r="W124" s="160"/>
    </row>
    <row r="125" spans="1:23" x14ac:dyDescent="0.2">
      <c r="A125" s="5">
        <v>124</v>
      </c>
      <c r="B125" s="159"/>
      <c r="C125" s="160"/>
      <c r="D125" s="161"/>
      <c r="E125" s="160"/>
      <c r="F125" s="182"/>
      <c r="G125" s="160"/>
      <c r="H125" s="160"/>
      <c r="I125" s="160"/>
      <c r="J125" s="160"/>
      <c r="K125" s="160"/>
      <c r="L125" s="160"/>
      <c r="M125" s="160"/>
      <c r="N125" s="160"/>
      <c r="O125" s="160"/>
      <c r="P125" s="160"/>
      <c r="Q125" s="160"/>
      <c r="R125" s="160"/>
      <c r="S125" s="160"/>
      <c r="T125" s="160"/>
      <c r="U125" s="160"/>
      <c r="V125" s="161"/>
      <c r="W125" s="160"/>
    </row>
    <row r="126" spans="1:23" x14ac:dyDescent="0.2">
      <c r="A126" s="5">
        <v>125</v>
      </c>
      <c r="B126" s="159"/>
      <c r="C126" s="160"/>
      <c r="D126" s="161"/>
      <c r="E126" s="160"/>
      <c r="F126" s="182"/>
      <c r="G126" s="160"/>
      <c r="H126" s="160"/>
      <c r="I126" s="160"/>
      <c r="J126" s="160"/>
      <c r="K126" s="160"/>
      <c r="L126" s="160"/>
      <c r="M126" s="160"/>
      <c r="N126" s="160"/>
      <c r="O126" s="160"/>
      <c r="P126" s="160"/>
      <c r="Q126" s="160"/>
      <c r="R126" s="160"/>
      <c r="S126" s="160"/>
      <c r="T126" s="160"/>
      <c r="U126" s="160"/>
      <c r="V126" s="161"/>
      <c r="W126" s="160"/>
    </row>
    <row r="127" spans="1:23" x14ac:dyDescent="0.2">
      <c r="A127" s="5">
        <v>126</v>
      </c>
      <c r="B127" s="159"/>
      <c r="C127" s="160"/>
      <c r="D127" s="161"/>
      <c r="E127" s="160"/>
      <c r="F127" s="182"/>
      <c r="G127" s="160"/>
      <c r="H127" s="160"/>
      <c r="I127" s="160"/>
      <c r="J127" s="160"/>
      <c r="K127" s="160"/>
      <c r="L127" s="160"/>
      <c r="M127" s="160"/>
      <c r="N127" s="160"/>
      <c r="O127" s="160"/>
      <c r="P127" s="160"/>
      <c r="Q127" s="160"/>
      <c r="R127" s="160"/>
      <c r="S127" s="160"/>
      <c r="T127" s="160"/>
      <c r="U127" s="160"/>
      <c r="V127" s="161"/>
      <c r="W127" s="160"/>
    </row>
    <row r="128" spans="1:23" x14ac:dyDescent="0.2">
      <c r="A128" s="5">
        <v>127</v>
      </c>
      <c r="B128" s="159"/>
      <c r="C128" s="160"/>
      <c r="D128" s="161"/>
      <c r="E128" s="160"/>
      <c r="F128" s="182"/>
      <c r="G128" s="160"/>
      <c r="H128" s="160"/>
      <c r="I128" s="160"/>
      <c r="J128" s="160"/>
      <c r="K128" s="160"/>
      <c r="L128" s="160"/>
      <c r="M128" s="160"/>
      <c r="N128" s="160"/>
      <c r="O128" s="160"/>
      <c r="P128" s="160"/>
      <c r="Q128" s="160"/>
      <c r="R128" s="160"/>
      <c r="S128" s="160"/>
      <c r="T128" s="160"/>
      <c r="U128" s="160"/>
      <c r="V128" s="161"/>
      <c r="W128" s="160"/>
    </row>
    <row r="129" spans="1:23" x14ac:dyDescent="0.2">
      <c r="A129" s="5">
        <v>128</v>
      </c>
      <c r="B129" s="159"/>
      <c r="C129" s="160"/>
      <c r="D129" s="161"/>
      <c r="E129" s="160"/>
      <c r="F129" s="182"/>
      <c r="G129" s="160"/>
      <c r="H129" s="160"/>
      <c r="I129" s="160"/>
      <c r="J129" s="160"/>
      <c r="K129" s="160"/>
      <c r="L129" s="160"/>
      <c r="M129" s="160"/>
      <c r="N129" s="160"/>
      <c r="O129" s="160"/>
      <c r="P129" s="160"/>
      <c r="Q129" s="160"/>
      <c r="R129" s="160"/>
      <c r="S129" s="160"/>
      <c r="T129" s="160"/>
      <c r="U129" s="160"/>
      <c r="V129" s="161"/>
      <c r="W129" s="160"/>
    </row>
    <row r="130" spans="1:23" x14ac:dyDescent="0.2">
      <c r="A130" s="5">
        <v>129</v>
      </c>
      <c r="B130" s="159"/>
      <c r="C130" s="160"/>
      <c r="D130" s="161"/>
      <c r="E130" s="160"/>
      <c r="F130" s="182"/>
      <c r="G130" s="160"/>
      <c r="H130" s="160"/>
      <c r="I130" s="160"/>
      <c r="J130" s="160"/>
      <c r="K130" s="160"/>
      <c r="L130" s="160"/>
      <c r="M130" s="160"/>
      <c r="N130" s="160"/>
      <c r="O130" s="160"/>
      <c r="P130" s="160"/>
      <c r="Q130" s="160"/>
      <c r="R130" s="160"/>
      <c r="S130" s="160"/>
      <c r="T130" s="160"/>
      <c r="U130" s="160"/>
      <c r="V130" s="161"/>
      <c r="W130" s="160"/>
    </row>
    <row r="131" spans="1:23" x14ac:dyDescent="0.2">
      <c r="A131" s="5">
        <v>130</v>
      </c>
      <c r="B131" s="159"/>
      <c r="C131" s="160"/>
      <c r="D131" s="161"/>
      <c r="E131" s="160"/>
      <c r="F131" s="182"/>
      <c r="G131" s="160"/>
      <c r="H131" s="160"/>
      <c r="I131" s="160"/>
      <c r="J131" s="160"/>
      <c r="K131" s="160"/>
      <c r="L131" s="160"/>
      <c r="M131" s="160"/>
      <c r="N131" s="160"/>
      <c r="O131" s="160"/>
      <c r="P131" s="160"/>
      <c r="Q131" s="160"/>
      <c r="R131" s="160"/>
      <c r="S131" s="160"/>
      <c r="T131" s="160"/>
      <c r="U131" s="160"/>
      <c r="V131" s="161"/>
      <c r="W131" s="160"/>
    </row>
    <row r="132" spans="1:23" x14ac:dyDescent="0.2">
      <c r="A132" s="5">
        <v>131</v>
      </c>
      <c r="B132" s="159"/>
      <c r="C132" s="160"/>
      <c r="D132" s="161"/>
      <c r="E132" s="160"/>
      <c r="F132" s="182"/>
      <c r="G132" s="160"/>
      <c r="H132" s="160"/>
      <c r="I132" s="160"/>
      <c r="J132" s="160"/>
      <c r="K132" s="160"/>
      <c r="L132" s="160"/>
      <c r="M132" s="160"/>
      <c r="N132" s="160"/>
      <c r="O132" s="160"/>
      <c r="P132" s="160"/>
      <c r="Q132" s="160"/>
      <c r="R132" s="160"/>
      <c r="S132" s="160"/>
      <c r="T132" s="160"/>
      <c r="U132" s="160"/>
      <c r="V132" s="161"/>
      <c r="W132" s="160"/>
    </row>
    <row r="133" spans="1:23" x14ac:dyDescent="0.2">
      <c r="A133" s="5">
        <v>132</v>
      </c>
      <c r="B133" s="159"/>
      <c r="C133" s="160"/>
      <c r="D133" s="161"/>
      <c r="E133" s="160"/>
      <c r="F133" s="182"/>
      <c r="G133" s="160"/>
      <c r="H133" s="160"/>
      <c r="I133" s="160"/>
      <c r="J133" s="160"/>
      <c r="K133" s="160"/>
      <c r="L133" s="160"/>
      <c r="M133" s="160"/>
      <c r="N133" s="160"/>
      <c r="O133" s="160"/>
      <c r="P133" s="160"/>
      <c r="Q133" s="160"/>
      <c r="R133" s="160"/>
      <c r="S133" s="160"/>
      <c r="T133" s="160"/>
      <c r="U133" s="160"/>
      <c r="V133" s="161"/>
      <c r="W133" s="160"/>
    </row>
    <row r="134" spans="1:23" x14ac:dyDescent="0.2">
      <c r="A134" s="5">
        <v>133</v>
      </c>
      <c r="B134" s="159"/>
      <c r="C134" s="160"/>
      <c r="D134" s="161"/>
      <c r="E134" s="160"/>
      <c r="F134" s="182"/>
      <c r="G134" s="160"/>
      <c r="H134" s="160"/>
      <c r="I134" s="160"/>
      <c r="J134" s="160"/>
      <c r="K134" s="160"/>
      <c r="L134" s="160"/>
      <c r="M134" s="160"/>
      <c r="N134" s="160"/>
      <c r="O134" s="160"/>
      <c r="P134" s="160"/>
      <c r="Q134" s="160"/>
      <c r="R134" s="160"/>
      <c r="S134" s="160"/>
      <c r="T134" s="160"/>
      <c r="U134" s="160"/>
      <c r="V134" s="161"/>
      <c r="W134" s="160"/>
    </row>
    <row r="135" spans="1:23" x14ac:dyDescent="0.2">
      <c r="A135" s="5">
        <v>134</v>
      </c>
      <c r="B135" s="159"/>
      <c r="C135" s="160"/>
      <c r="D135" s="161"/>
      <c r="E135" s="160"/>
      <c r="F135" s="182"/>
      <c r="G135" s="160"/>
      <c r="H135" s="160"/>
      <c r="I135" s="160"/>
      <c r="J135" s="160"/>
      <c r="K135" s="160"/>
      <c r="L135" s="160"/>
      <c r="M135" s="160"/>
      <c r="N135" s="160"/>
      <c r="O135" s="160"/>
      <c r="P135" s="160"/>
      <c r="Q135" s="160"/>
      <c r="R135" s="160"/>
      <c r="S135" s="160"/>
      <c r="T135" s="160"/>
      <c r="U135" s="160"/>
      <c r="V135" s="161"/>
      <c r="W135" s="160"/>
    </row>
    <row r="136" spans="1:23" x14ac:dyDescent="0.2">
      <c r="A136" s="5">
        <v>135</v>
      </c>
      <c r="B136" s="159"/>
      <c r="C136" s="160"/>
      <c r="D136" s="161"/>
      <c r="E136" s="160"/>
      <c r="F136" s="182"/>
      <c r="G136" s="160"/>
      <c r="H136" s="160"/>
      <c r="I136" s="160"/>
      <c r="J136" s="160"/>
      <c r="K136" s="160"/>
      <c r="L136" s="160"/>
      <c r="M136" s="160"/>
      <c r="N136" s="160"/>
      <c r="O136" s="160"/>
      <c r="P136" s="160"/>
      <c r="Q136" s="160"/>
      <c r="R136" s="160"/>
      <c r="S136" s="160"/>
      <c r="T136" s="160"/>
      <c r="U136" s="160"/>
      <c r="V136" s="161"/>
      <c r="W136" s="160"/>
    </row>
    <row r="137" spans="1:23" x14ac:dyDescent="0.2">
      <c r="A137" s="5">
        <v>136</v>
      </c>
      <c r="B137" s="159"/>
      <c r="C137" s="160"/>
      <c r="D137" s="161"/>
      <c r="E137" s="160"/>
      <c r="F137" s="182"/>
      <c r="G137" s="160"/>
      <c r="H137" s="160"/>
      <c r="I137" s="160"/>
      <c r="J137" s="160"/>
      <c r="K137" s="160"/>
      <c r="L137" s="160"/>
      <c r="M137" s="160"/>
      <c r="N137" s="160"/>
      <c r="O137" s="160"/>
      <c r="P137" s="160"/>
      <c r="Q137" s="160"/>
      <c r="R137" s="160"/>
      <c r="S137" s="160"/>
      <c r="T137" s="160"/>
      <c r="U137" s="160"/>
      <c r="V137" s="161"/>
      <c r="W137" s="160"/>
    </row>
    <row r="138" spans="1:23" x14ac:dyDescent="0.2">
      <c r="A138" s="5">
        <v>137</v>
      </c>
      <c r="B138" s="159"/>
      <c r="C138" s="160"/>
      <c r="D138" s="161"/>
      <c r="E138" s="160"/>
      <c r="F138" s="182"/>
      <c r="G138" s="160"/>
      <c r="H138" s="160"/>
      <c r="I138" s="160"/>
      <c r="J138" s="160"/>
      <c r="K138" s="160"/>
      <c r="L138" s="160"/>
      <c r="M138" s="160"/>
      <c r="N138" s="160"/>
      <c r="O138" s="160"/>
      <c r="P138" s="160"/>
      <c r="Q138" s="160"/>
      <c r="R138" s="160"/>
      <c r="S138" s="160"/>
      <c r="T138" s="160"/>
      <c r="U138" s="160"/>
      <c r="V138" s="161"/>
      <c r="W138" s="160"/>
    </row>
    <row r="139" spans="1:23" x14ac:dyDescent="0.2">
      <c r="A139" s="5">
        <v>138</v>
      </c>
      <c r="B139" s="159"/>
      <c r="C139" s="160"/>
      <c r="D139" s="161"/>
      <c r="E139" s="160"/>
      <c r="F139" s="182"/>
      <c r="G139" s="160"/>
      <c r="H139" s="160"/>
      <c r="I139" s="160"/>
      <c r="J139" s="160"/>
      <c r="K139" s="160"/>
      <c r="L139" s="160"/>
      <c r="M139" s="160"/>
      <c r="N139" s="160"/>
      <c r="O139" s="160"/>
      <c r="P139" s="160"/>
      <c r="Q139" s="160"/>
      <c r="R139" s="160"/>
      <c r="S139" s="160"/>
      <c r="T139" s="160"/>
      <c r="U139" s="160"/>
      <c r="V139" s="161"/>
      <c r="W139" s="160"/>
    </row>
    <row r="140" spans="1:23" x14ac:dyDescent="0.2">
      <c r="A140" s="5">
        <v>139</v>
      </c>
      <c r="B140" s="159"/>
      <c r="C140" s="160"/>
      <c r="D140" s="161"/>
      <c r="E140" s="160"/>
      <c r="F140" s="182"/>
      <c r="G140" s="160"/>
      <c r="H140" s="160"/>
      <c r="I140" s="160"/>
      <c r="J140" s="160"/>
      <c r="K140" s="160"/>
      <c r="L140" s="160"/>
      <c r="M140" s="160"/>
      <c r="N140" s="160"/>
      <c r="O140" s="160"/>
      <c r="P140" s="160"/>
      <c r="Q140" s="160"/>
      <c r="R140" s="160"/>
      <c r="S140" s="160"/>
      <c r="T140" s="160"/>
      <c r="U140" s="160"/>
      <c r="V140" s="161"/>
      <c r="W140" s="160"/>
    </row>
    <row r="141" spans="1:23" x14ac:dyDescent="0.2">
      <c r="A141" s="5">
        <v>140</v>
      </c>
      <c r="B141" s="159"/>
      <c r="C141" s="160"/>
      <c r="D141" s="161"/>
      <c r="E141" s="160"/>
      <c r="F141" s="182"/>
      <c r="G141" s="160"/>
      <c r="H141" s="160"/>
      <c r="I141" s="160"/>
      <c r="J141" s="160"/>
      <c r="K141" s="160"/>
      <c r="L141" s="160"/>
      <c r="M141" s="160"/>
      <c r="N141" s="160"/>
      <c r="O141" s="160"/>
      <c r="P141" s="160"/>
      <c r="Q141" s="160"/>
      <c r="R141" s="160"/>
      <c r="S141" s="160"/>
      <c r="T141" s="160"/>
      <c r="U141" s="160"/>
      <c r="V141" s="161"/>
      <c r="W141" s="160"/>
    </row>
    <row r="142" spans="1:23" x14ac:dyDescent="0.2">
      <c r="A142" s="5">
        <v>141</v>
      </c>
      <c r="B142" s="159"/>
      <c r="C142" s="160"/>
      <c r="D142" s="161"/>
      <c r="E142" s="160"/>
      <c r="F142" s="182"/>
      <c r="G142" s="160"/>
      <c r="H142" s="160"/>
      <c r="I142" s="160"/>
      <c r="J142" s="160"/>
      <c r="K142" s="160"/>
      <c r="L142" s="160"/>
      <c r="M142" s="160"/>
      <c r="N142" s="160"/>
      <c r="O142" s="160"/>
      <c r="P142" s="160"/>
      <c r="Q142" s="160"/>
      <c r="R142" s="160"/>
      <c r="S142" s="160"/>
      <c r="T142" s="160"/>
      <c r="U142" s="160"/>
      <c r="V142" s="161"/>
      <c r="W142" s="160"/>
    </row>
    <row r="143" spans="1:23" x14ac:dyDescent="0.2">
      <c r="A143" s="5">
        <v>142</v>
      </c>
      <c r="B143" s="159"/>
      <c r="C143" s="160"/>
      <c r="D143" s="161"/>
      <c r="E143" s="160"/>
      <c r="F143" s="182"/>
      <c r="G143" s="160"/>
      <c r="H143" s="160"/>
      <c r="I143" s="160"/>
      <c r="J143" s="160"/>
      <c r="K143" s="160"/>
      <c r="L143" s="160"/>
      <c r="M143" s="160"/>
      <c r="N143" s="160"/>
      <c r="O143" s="160"/>
      <c r="P143" s="160"/>
      <c r="Q143" s="160"/>
      <c r="R143" s="160"/>
      <c r="S143" s="160"/>
      <c r="T143" s="160"/>
      <c r="U143" s="160"/>
      <c r="V143" s="161"/>
      <c r="W143" s="160"/>
    </row>
    <row r="144" spans="1:23" x14ac:dyDescent="0.2">
      <c r="A144" s="5">
        <v>143</v>
      </c>
      <c r="B144" s="159"/>
      <c r="C144" s="160"/>
      <c r="D144" s="161"/>
      <c r="E144" s="160"/>
      <c r="F144" s="182"/>
      <c r="G144" s="160"/>
      <c r="H144" s="160"/>
      <c r="I144" s="160"/>
      <c r="J144" s="160"/>
      <c r="K144" s="160"/>
      <c r="L144" s="160"/>
      <c r="M144" s="160"/>
      <c r="N144" s="160"/>
      <c r="O144" s="160"/>
      <c r="P144" s="160"/>
      <c r="Q144" s="160"/>
      <c r="R144" s="160"/>
      <c r="S144" s="160"/>
      <c r="T144" s="160"/>
      <c r="U144" s="160"/>
      <c r="V144" s="161"/>
      <c r="W144" s="160"/>
    </row>
    <row r="145" spans="1:23" x14ac:dyDescent="0.2">
      <c r="A145" s="5">
        <v>144</v>
      </c>
      <c r="B145" s="159"/>
      <c r="C145" s="160"/>
      <c r="D145" s="161"/>
      <c r="E145" s="160"/>
      <c r="F145" s="182"/>
      <c r="G145" s="160"/>
      <c r="H145" s="160"/>
      <c r="I145" s="160"/>
      <c r="J145" s="160"/>
      <c r="K145" s="160"/>
      <c r="L145" s="160"/>
      <c r="M145" s="160"/>
      <c r="N145" s="160"/>
      <c r="O145" s="160"/>
      <c r="P145" s="160"/>
      <c r="Q145" s="160"/>
      <c r="R145" s="160"/>
      <c r="S145" s="160"/>
      <c r="T145" s="160"/>
      <c r="U145" s="160"/>
      <c r="V145" s="161"/>
      <c r="W145" s="160"/>
    </row>
    <row r="146" spans="1:23" x14ac:dyDescent="0.2">
      <c r="A146" s="5">
        <v>145</v>
      </c>
      <c r="B146" s="159"/>
      <c r="C146" s="160"/>
      <c r="D146" s="161"/>
      <c r="E146" s="160"/>
      <c r="F146" s="182"/>
      <c r="G146" s="160"/>
      <c r="H146" s="160"/>
      <c r="I146" s="160"/>
      <c r="J146" s="160"/>
      <c r="K146" s="160"/>
      <c r="L146" s="160"/>
      <c r="M146" s="160"/>
      <c r="N146" s="160"/>
      <c r="O146" s="160"/>
      <c r="P146" s="160"/>
      <c r="Q146" s="160"/>
      <c r="R146" s="160"/>
      <c r="S146" s="160"/>
      <c r="T146" s="160"/>
      <c r="U146" s="160"/>
      <c r="V146" s="161"/>
      <c r="W146" s="160"/>
    </row>
    <row r="147" spans="1:23" x14ac:dyDescent="0.2">
      <c r="A147" s="5">
        <v>146</v>
      </c>
      <c r="B147" s="159"/>
      <c r="C147" s="160"/>
      <c r="D147" s="161"/>
      <c r="E147" s="160"/>
      <c r="F147" s="182"/>
      <c r="G147" s="160"/>
      <c r="H147" s="160"/>
      <c r="I147" s="160"/>
      <c r="J147" s="160"/>
      <c r="K147" s="160"/>
      <c r="L147" s="160"/>
      <c r="M147" s="160"/>
      <c r="N147" s="160"/>
      <c r="O147" s="160"/>
      <c r="P147" s="160"/>
      <c r="Q147" s="160"/>
      <c r="R147" s="160"/>
      <c r="S147" s="160"/>
      <c r="T147" s="160"/>
      <c r="U147" s="160"/>
      <c r="V147" s="161"/>
      <c r="W147" s="160"/>
    </row>
    <row r="148" spans="1:23" x14ac:dyDescent="0.2">
      <c r="A148" s="5">
        <v>147</v>
      </c>
      <c r="B148" s="159"/>
      <c r="C148" s="160"/>
      <c r="D148" s="161"/>
      <c r="E148" s="160"/>
      <c r="F148" s="182"/>
      <c r="G148" s="160"/>
      <c r="H148" s="160"/>
      <c r="I148" s="160"/>
      <c r="J148" s="160"/>
      <c r="K148" s="160"/>
      <c r="L148" s="160"/>
      <c r="M148" s="160"/>
      <c r="N148" s="160"/>
      <c r="O148" s="160"/>
      <c r="P148" s="160"/>
      <c r="Q148" s="160"/>
      <c r="R148" s="160"/>
      <c r="S148" s="160"/>
      <c r="T148" s="160"/>
      <c r="U148" s="160"/>
      <c r="V148" s="161"/>
      <c r="W148" s="160"/>
    </row>
    <row r="149" spans="1:23" x14ac:dyDescent="0.2">
      <c r="A149" s="5">
        <v>148</v>
      </c>
      <c r="B149" s="159"/>
      <c r="C149" s="160"/>
      <c r="D149" s="161"/>
      <c r="E149" s="160"/>
      <c r="F149" s="182"/>
      <c r="G149" s="160"/>
      <c r="H149" s="160"/>
      <c r="I149" s="160"/>
      <c r="J149" s="160"/>
      <c r="K149" s="160"/>
      <c r="L149" s="160"/>
      <c r="M149" s="160"/>
      <c r="N149" s="160"/>
      <c r="O149" s="160"/>
      <c r="P149" s="160"/>
      <c r="Q149" s="160"/>
      <c r="R149" s="160"/>
      <c r="S149" s="160"/>
      <c r="T149" s="160"/>
      <c r="U149" s="160"/>
      <c r="V149" s="161"/>
      <c r="W149" s="160"/>
    </row>
    <row r="150" spans="1:23" x14ac:dyDescent="0.2">
      <c r="A150" s="5">
        <v>149</v>
      </c>
      <c r="B150" s="159"/>
      <c r="C150" s="160"/>
      <c r="D150" s="161"/>
      <c r="E150" s="160"/>
      <c r="F150" s="182"/>
      <c r="G150" s="160"/>
      <c r="H150" s="160"/>
      <c r="I150" s="160"/>
      <c r="J150" s="160"/>
      <c r="K150" s="160"/>
      <c r="L150" s="160"/>
      <c r="M150" s="160"/>
      <c r="N150" s="160"/>
      <c r="O150" s="160"/>
      <c r="P150" s="160"/>
      <c r="Q150" s="160"/>
      <c r="R150" s="160"/>
      <c r="S150" s="160"/>
      <c r="T150" s="160"/>
      <c r="U150" s="160"/>
      <c r="V150" s="161"/>
      <c r="W150" s="160"/>
    </row>
    <row r="151" spans="1:23" x14ac:dyDescent="0.2">
      <c r="A151" s="5">
        <v>150</v>
      </c>
      <c r="B151" s="159"/>
      <c r="C151" s="160"/>
      <c r="D151" s="161"/>
      <c r="E151" s="160"/>
      <c r="F151" s="182"/>
      <c r="G151" s="160"/>
      <c r="H151" s="160"/>
      <c r="I151" s="160"/>
      <c r="J151" s="160"/>
      <c r="K151" s="160"/>
      <c r="L151" s="160"/>
      <c r="M151" s="160"/>
      <c r="N151" s="160"/>
      <c r="O151" s="160"/>
      <c r="P151" s="160"/>
      <c r="Q151" s="160"/>
      <c r="R151" s="160"/>
      <c r="S151" s="160"/>
      <c r="T151" s="160"/>
      <c r="U151" s="160"/>
      <c r="V151" s="161"/>
      <c r="W151" s="160"/>
    </row>
    <row r="152" spans="1:23" x14ac:dyDescent="0.2">
      <c r="F152" s="158"/>
    </row>
    <row r="153" spans="1:23" x14ac:dyDescent="0.2">
      <c r="F153" s="158"/>
    </row>
    <row r="154" spans="1:23" x14ac:dyDescent="0.2">
      <c r="F154" s="158"/>
    </row>
    <row r="155" spans="1:23" x14ac:dyDescent="0.2">
      <c r="F155" s="158"/>
    </row>
    <row r="156" spans="1:23" x14ac:dyDescent="0.2">
      <c r="F156" s="158"/>
    </row>
    <row r="157" spans="1:23" x14ac:dyDescent="0.2">
      <c r="F157" s="158"/>
    </row>
    <row r="158" spans="1:23" x14ac:dyDescent="0.2">
      <c r="F158" s="158"/>
    </row>
    <row r="159" spans="1:23" x14ac:dyDescent="0.2">
      <c r="F159" s="158"/>
    </row>
    <row r="160" spans="1:23" x14ac:dyDescent="0.2">
      <c r="F160" s="158"/>
    </row>
    <row r="161" spans="6:6" x14ac:dyDescent="0.2">
      <c r="F161" s="158"/>
    </row>
    <row r="162" spans="6:6" x14ac:dyDescent="0.2">
      <c r="F162" s="158"/>
    </row>
    <row r="163" spans="6:6" x14ac:dyDescent="0.2">
      <c r="F163" s="158"/>
    </row>
    <row r="164" spans="6:6" x14ac:dyDescent="0.2">
      <c r="F164" s="158"/>
    </row>
    <row r="165" spans="6:6" x14ac:dyDescent="0.2">
      <c r="F165" s="158"/>
    </row>
    <row r="166" spans="6:6" x14ac:dyDescent="0.2">
      <c r="F166" s="158"/>
    </row>
    <row r="167" spans="6:6" x14ac:dyDescent="0.2">
      <c r="F167" s="158"/>
    </row>
    <row r="168" spans="6:6" x14ac:dyDescent="0.2">
      <c r="F168" s="158"/>
    </row>
    <row r="169" spans="6:6" x14ac:dyDescent="0.2">
      <c r="F169" s="158"/>
    </row>
    <row r="170" spans="6:6" x14ac:dyDescent="0.2">
      <c r="F170" s="158"/>
    </row>
    <row r="171" spans="6:6" x14ac:dyDescent="0.2">
      <c r="F171" s="158"/>
    </row>
    <row r="172" spans="6:6" x14ac:dyDescent="0.2">
      <c r="F172" s="158"/>
    </row>
    <row r="173" spans="6:6" x14ac:dyDescent="0.2">
      <c r="F173" s="158"/>
    </row>
  </sheetData>
  <phoneticPr fontId="1"/>
  <dataValidations count="6">
    <dataValidation imeMode="hiragana" allowBlank="1" showInputMessage="1" promptTitle="注意" prompt="半角カナ、特殊記号は入力しないで下さい。" sqref="G2:H2351" xr:uid="{76EBB339-8F06-48D5-9CFD-29B976010646}"/>
    <dataValidation imeMode="hiragana" allowBlank="1" showInputMessage="1" showErrorMessage="1" sqref="I2:L2351" xr:uid="{5A0E2021-ADC1-4000-B381-60197D1DC07C}"/>
    <dataValidation imeMode="hiragana" allowBlank="1" showInputMessage="1" prompt="このセルに着色すると、検索結果に色が反映されます。_x000a_案内用ナンバリングを設定した場合は、この項目は省略可能です。" sqref="F6:F2351" xr:uid="{70DC41F4-CA12-4BD9-BBC4-D14A9B534072}"/>
    <dataValidation allowBlank="1" showInputMessage="1" showErrorMessage="1" prompt="このセルに着色すると、検索結果に色が反映されます。" sqref="D2:D2351" xr:uid="{426BC05D-C51E-48A4-BD5C-B5DF0EEE7200}"/>
    <dataValidation type="list" allowBlank="1" showInputMessage="1" showErrorMessage="1" sqref="W2:W151" xr:uid="{83CC814E-35D9-4B47-A634-BFF2D7B4BB46}">
      <formula1>"往,復"</formula1>
    </dataValidation>
    <dataValidation type="whole" imeMode="off" allowBlank="1" showErrorMessage="1" errorTitle="無効データ" error="運行系統idは半角数字で入力して下さい。" sqref="B8:B2351 B2:B5" xr:uid="{00000000-0002-0000-0300-000000000000}">
      <formula1>0</formula1>
      <formula2>999999999</formula2>
    </dataValidation>
  </dataValidations>
  <pageMargins left="0.23" right="0.23" top="0.75" bottom="0.75" header="0.3" footer="0.3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0A085BF-7874-41FC-BA52-003AAD9B7765}">
          <x14:formula1>
            <xm:f>'03営業所'!$B$2:$B$6</xm:f>
          </x14:formula1>
          <xm:sqref>E2:E2351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Q38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3" sqref="B3"/>
    </sheetView>
  </sheetViews>
  <sheetFormatPr defaultRowHeight="13" x14ac:dyDescent="0.2"/>
  <cols>
    <col min="1" max="1" width="4.08984375" bestFit="1" customWidth="1"/>
    <col min="2" max="2" width="15.08984375" customWidth="1"/>
    <col min="3" max="10" width="4.36328125" customWidth="1"/>
    <col min="11" max="11" width="10.90625" customWidth="1"/>
    <col min="12" max="12" width="6.453125" customWidth="1"/>
    <col min="13" max="13" width="16.36328125" customWidth="1"/>
    <col min="14" max="43" width="16.90625" customWidth="1"/>
  </cols>
  <sheetData>
    <row r="1" spans="1:43" ht="39" x14ac:dyDescent="0.2">
      <c r="A1" s="124" t="s">
        <v>7</v>
      </c>
      <c r="B1" s="124" t="s">
        <v>90</v>
      </c>
      <c r="C1" s="122" t="s">
        <v>91</v>
      </c>
      <c r="D1" s="122" t="s">
        <v>92</v>
      </c>
      <c r="E1" s="122" t="s">
        <v>93</v>
      </c>
      <c r="F1" s="122" t="s">
        <v>94</v>
      </c>
      <c r="G1" s="122" t="s">
        <v>95</v>
      </c>
      <c r="H1" s="122" t="s">
        <v>96</v>
      </c>
      <c r="I1" s="122" t="s">
        <v>97</v>
      </c>
      <c r="J1" s="122" t="s">
        <v>98</v>
      </c>
      <c r="K1" s="125" t="s">
        <v>99</v>
      </c>
      <c r="L1" s="131" t="s">
        <v>104</v>
      </c>
      <c r="M1" s="126" t="s">
        <v>101</v>
      </c>
      <c r="N1" s="127" t="s">
        <v>100</v>
      </c>
      <c r="O1" s="127" t="s">
        <v>100</v>
      </c>
      <c r="P1" s="127" t="s">
        <v>100</v>
      </c>
      <c r="Q1" s="127" t="s">
        <v>221</v>
      </c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</row>
    <row r="2" spans="1:43" x14ac:dyDescent="0.2">
      <c r="A2" s="2">
        <v>1</v>
      </c>
      <c r="B2" s="137" t="s">
        <v>186</v>
      </c>
      <c r="C2" s="137" t="s">
        <v>187</v>
      </c>
      <c r="D2" s="137" t="s">
        <v>187</v>
      </c>
      <c r="E2" s="137" t="s">
        <v>187</v>
      </c>
      <c r="F2" s="137" t="s">
        <v>187</v>
      </c>
      <c r="G2" s="137" t="s">
        <v>187</v>
      </c>
      <c r="H2" s="137" t="s">
        <v>187</v>
      </c>
      <c r="I2" s="137" t="s">
        <v>187</v>
      </c>
      <c r="J2" s="137" t="s">
        <v>187</v>
      </c>
      <c r="K2" s="137"/>
      <c r="L2" s="5" t="str">
        <f>A2&amp;"　"&amp;B2</f>
        <v>1　全日</v>
      </c>
      <c r="M2" s="5"/>
      <c r="N2" s="128" t="s">
        <v>204</v>
      </c>
      <c r="O2" s="128"/>
      <c r="P2" s="128"/>
      <c r="Q2" s="128"/>
      <c r="R2" s="128"/>
      <c r="S2" s="128"/>
      <c r="T2" s="128"/>
      <c r="U2" s="128"/>
      <c r="V2" s="128"/>
      <c r="W2" s="128"/>
      <c r="X2" s="128"/>
      <c r="Y2" s="128"/>
      <c r="Z2" s="128"/>
      <c r="AA2" s="128"/>
      <c r="AB2" s="128"/>
      <c r="AC2" s="128"/>
      <c r="AD2" s="128"/>
      <c r="AE2" s="128"/>
      <c r="AF2" s="128"/>
      <c r="AG2" s="128"/>
      <c r="AH2" s="128"/>
      <c r="AI2" s="128"/>
      <c r="AJ2" s="128"/>
      <c r="AK2" s="128"/>
      <c r="AL2" s="128"/>
      <c r="AM2" s="128"/>
      <c r="AN2" s="128"/>
      <c r="AO2" s="128"/>
      <c r="AP2" s="128"/>
      <c r="AQ2" s="128"/>
    </row>
    <row r="3" spans="1:43" x14ac:dyDescent="0.2">
      <c r="A3" s="2">
        <v>2</v>
      </c>
      <c r="B3" s="137" t="s">
        <v>188</v>
      </c>
      <c r="C3" s="137" t="s">
        <v>187</v>
      </c>
      <c r="D3" s="137" t="s">
        <v>187</v>
      </c>
      <c r="E3" s="137" t="s">
        <v>187</v>
      </c>
      <c r="F3" s="137" t="s">
        <v>187</v>
      </c>
      <c r="G3" s="137" t="s">
        <v>187</v>
      </c>
      <c r="H3" s="137"/>
      <c r="I3" s="137"/>
      <c r="J3" s="137"/>
      <c r="K3" s="137"/>
      <c r="L3" s="5" t="str">
        <f t="shared" ref="L3:L38" si="0">A3&amp;"　"&amp;B3</f>
        <v>2　平日</v>
      </c>
      <c r="M3" s="5"/>
      <c r="N3" s="128" t="s">
        <v>205</v>
      </c>
      <c r="O3" s="128"/>
      <c r="P3" s="128"/>
      <c r="Q3" s="128"/>
      <c r="R3" s="128"/>
      <c r="S3" s="128"/>
      <c r="T3" s="128"/>
      <c r="U3" s="128"/>
      <c r="V3" s="128"/>
      <c r="W3" s="128"/>
      <c r="X3" s="128"/>
      <c r="Y3" s="128"/>
      <c r="Z3" s="128"/>
      <c r="AA3" s="128"/>
      <c r="AB3" s="128"/>
      <c r="AC3" s="128"/>
      <c r="AD3" s="128"/>
      <c r="AE3" s="128"/>
      <c r="AF3" s="128"/>
      <c r="AG3" s="128"/>
      <c r="AH3" s="128"/>
      <c r="AI3" s="128"/>
      <c r="AJ3" s="128"/>
      <c r="AK3" s="128"/>
      <c r="AL3" s="128"/>
      <c r="AM3" s="128"/>
      <c r="AN3" s="128"/>
      <c r="AO3" s="128"/>
      <c r="AP3" s="128"/>
      <c r="AQ3" s="128"/>
    </row>
    <row r="4" spans="1:43" x14ac:dyDescent="0.2">
      <c r="A4" s="2">
        <v>3</v>
      </c>
      <c r="B4" s="137" t="s">
        <v>189</v>
      </c>
      <c r="C4" s="137"/>
      <c r="D4" s="137"/>
      <c r="E4" s="137"/>
      <c r="F4" s="137"/>
      <c r="G4" s="137"/>
      <c r="H4" s="137" t="s">
        <v>187</v>
      </c>
      <c r="I4" s="137" t="s">
        <v>187</v>
      </c>
      <c r="J4" s="137" t="s">
        <v>187</v>
      </c>
      <c r="K4" s="137"/>
      <c r="L4" s="5" t="str">
        <f t="shared" si="0"/>
        <v>3　土日祝のみ</v>
      </c>
      <c r="M4" s="5"/>
      <c r="N4" s="128" t="s">
        <v>205</v>
      </c>
      <c r="O4" s="128"/>
      <c r="P4" s="128"/>
      <c r="Q4" s="128"/>
      <c r="R4" s="128"/>
      <c r="S4" s="128"/>
      <c r="T4" s="128"/>
      <c r="U4" s="128"/>
      <c r="V4" s="128"/>
      <c r="W4" s="128"/>
      <c r="X4" s="128"/>
      <c r="Y4" s="128"/>
      <c r="Z4" s="128"/>
      <c r="AA4" s="128"/>
      <c r="AB4" s="128"/>
      <c r="AC4" s="128"/>
      <c r="AD4" s="128"/>
      <c r="AE4" s="128"/>
      <c r="AF4" s="128"/>
      <c r="AG4" s="128"/>
      <c r="AH4" s="128"/>
      <c r="AI4" s="128"/>
      <c r="AJ4" s="128"/>
      <c r="AK4" s="128"/>
      <c r="AL4" s="128"/>
      <c r="AM4" s="128"/>
      <c r="AN4" s="128"/>
      <c r="AO4" s="128"/>
      <c r="AP4" s="128"/>
      <c r="AQ4" s="128"/>
    </row>
    <row r="5" spans="1:43" x14ac:dyDescent="0.2">
      <c r="A5" s="2">
        <v>4</v>
      </c>
      <c r="B5" s="137" t="s">
        <v>190</v>
      </c>
      <c r="C5" s="137"/>
      <c r="D5" s="137"/>
      <c r="E5" s="137"/>
      <c r="F5" s="137"/>
      <c r="G5" s="137"/>
      <c r="H5" s="137"/>
      <c r="I5" s="137"/>
      <c r="J5" s="137"/>
      <c r="K5" s="137"/>
      <c r="L5" s="5" t="str">
        <f t="shared" si="0"/>
        <v>4　正月運行</v>
      </c>
      <c r="M5" s="5"/>
      <c r="N5" s="128"/>
      <c r="O5" s="128"/>
      <c r="P5" s="128"/>
      <c r="Q5" s="128" t="s">
        <v>205</v>
      </c>
      <c r="R5" s="128"/>
      <c r="S5" s="128"/>
      <c r="T5" s="128"/>
      <c r="U5" s="128"/>
      <c r="V5" s="128"/>
      <c r="W5" s="128"/>
      <c r="X5" s="128"/>
      <c r="Y5" s="128"/>
      <c r="Z5" s="128"/>
      <c r="AA5" s="128"/>
      <c r="AB5" s="128"/>
      <c r="AC5" s="128"/>
      <c r="AD5" s="128"/>
      <c r="AE5" s="128"/>
      <c r="AF5" s="128"/>
      <c r="AG5" s="128"/>
      <c r="AH5" s="128"/>
      <c r="AI5" s="128"/>
      <c r="AJ5" s="128"/>
      <c r="AK5" s="128"/>
      <c r="AL5" s="128"/>
      <c r="AM5" s="128"/>
      <c r="AN5" s="128"/>
      <c r="AO5" s="128"/>
      <c r="AP5" s="128"/>
      <c r="AQ5" s="128"/>
    </row>
    <row r="6" spans="1:43" x14ac:dyDescent="0.2">
      <c r="A6" s="2">
        <v>5</v>
      </c>
      <c r="B6" s="137" t="s">
        <v>191</v>
      </c>
      <c r="C6" s="137" t="s">
        <v>187</v>
      </c>
      <c r="D6" s="137" t="s">
        <v>187</v>
      </c>
      <c r="E6" s="137" t="s">
        <v>187</v>
      </c>
      <c r="F6" s="137" t="s">
        <v>187</v>
      </c>
      <c r="G6" s="137" t="s">
        <v>187</v>
      </c>
      <c r="H6" s="137"/>
      <c r="I6" s="137"/>
      <c r="J6" s="137"/>
      <c r="K6" s="137"/>
      <c r="L6" s="5" t="str">
        <f t="shared" si="0"/>
        <v>5　10～4月運行</v>
      </c>
      <c r="M6" s="5"/>
      <c r="N6" s="128" t="s">
        <v>204</v>
      </c>
      <c r="O6" s="128" t="s">
        <v>206</v>
      </c>
      <c r="P6" s="128" t="s">
        <v>207</v>
      </c>
      <c r="Q6" s="128"/>
      <c r="R6" s="128"/>
      <c r="S6" s="128"/>
      <c r="T6" s="128"/>
      <c r="U6" s="128"/>
      <c r="V6" s="128"/>
      <c r="W6" s="128"/>
      <c r="X6" s="128"/>
      <c r="Y6" s="128"/>
      <c r="Z6" s="128"/>
      <c r="AA6" s="128"/>
      <c r="AB6" s="128"/>
      <c r="AC6" s="128"/>
      <c r="AD6" s="128"/>
      <c r="AE6" s="128"/>
      <c r="AF6" s="128"/>
      <c r="AG6" s="128"/>
      <c r="AH6" s="128"/>
      <c r="AI6" s="128"/>
      <c r="AJ6" s="128"/>
      <c r="AK6" s="128"/>
      <c r="AL6" s="128"/>
      <c r="AM6" s="128"/>
      <c r="AN6" s="128"/>
      <c r="AO6" s="128"/>
      <c r="AP6" s="128"/>
      <c r="AQ6" s="128"/>
    </row>
    <row r="7" spans="1:43" x14ac:dyDescent="0.2">
      <c r="A7" s="2">
        <v>6</v>
      </c>
      <c r="B7" s="137" t="s">
        <v>192</v>
      </c>
      <c r="C7" s="137" t="s">
        <v>187</v>
      </c>
      <c r="D7" s="137" t="s">
        <v>187</v>
      </c>
      <c r="E7" s="137" t="s">
        <v>187</v>
      </c>
      <c r="F7" s="137" t="s">
        <v>187</v>
      </c>
      <c r="G7" s="137" t="s">
        <v>187</v>
      </c>
      <c r="H7" s="137"/>
      <c r="I7" s="137"/>
      <c r="J7" s="137"/>
      <c r="K7" s="137"/>
      <c r="L7" s="5" t="str">
        <f t="shared" si="0"/>
        <v>6　5～9月運行</v>
      </c>
      <c r="M7" s="5"/>
      <c r="N7" s="128" t="s">
        <v>205</v>
      </c>
      <c r="O7" s="128" t="s">
        <v>208</v>
      </c>
      <c r="P7" s="128" t="s">
        <v>209</v>
      </c>
      <c r="Q7" s="128"/>
      <c r="R7" s="128"/>
      <c r="S7" s="128"/>
      <c r="T7" s="128"/>
      <c r="U7" s="128"/>
      <c r="V7" s="128"/>
      <c r="W7" s="128"/>
      <c r="X7" s="128"/>
      <c r="Y7" s="128"/>
      <c r="Z7" s="128"/>
      <c r="AA7" s="128"/>
      <c r="AB7" s="128"/>
      <c r="AC7" s="128"/>
      <c r="AD7" s="128"/>
      <c r="AE7" s="128"/>
      <c r="AF7" s="128"/>
      <c r="AG7" s="128"/>
      <c r="AH7" s="128"/>
      <c r="AI7" s="128"/>
      <c r="AJ7" s="128"/>
      <c r="AK7" s="128"/>
      <c r="AL7" s="128"/>
      <c r="AM7" s="128"/>
      <c r="AN7" s="128"/>
      <c r="AO7" s="128"/>
      <c r="AP7" s="128"/>
      <c r="AQ7" s="128"/>
    </row>
    <row r="8" spans="1:43" x14ac:dyDescent="0.2">
      <c r="A8" s="2">
        <v>7</v>
      </c>
      <c r="B8" s="137" t="s">
        <v>193</v>
      </c>
      <c r="C8" s="137" t="s">
        <v>187</v>
      </c>
      <c r="D8" s="137" t="s">
        <v>187</v>
      </c>
      <c r="E8" s="137" t="s">
        <v>187</v>
      </c>
      <c r="F8" s="137" t="s">
        <v>187</v>
      </c>
      <c r="G8" s="137" t="s">
        <v>187</v>
      </c>
      <c r="H8" s="137"/>
      <c r="I8" s="137"/>
      <c r="J8" s="137"/>
      <c r="K8" s="137"/>
      <c r="L8" s="5" t="str">
        <f t="shared" si="0"/>
        <v>7　平日（夏）</v>
      </c>
      <c r="M8" s="5"/>
      <c r="N8" s="128" t="s">
        <v>205</v>
      </c>
      <c r="O8" s="128" t="s">
        <v>210</v>
      </c>
      <c r="P8" s="128" t="s">
        <v>211</v>
      </c>
      <c r="Q8" s="128"/>
      <c r="R8" s="128"/>
      <c r="S8" s="128"/>
      <c r="T8" s="128"/>
      <c r="U8" s="128"/>
      <c r="V8" s="128"/>
      <c r="W8" s="128"/>
      <c r="X8" s="128"/>
      <c r="Y8" s="128"/>
      <c r="Z8" s="128"/>
      <c r="AA8" s="128"/>
      <c r="AB8" s="128"/>
      <c r="AC8" s="128"/>
      <c r="AD8" s="128"/>
      <c r="AE8" s="128"/>
      <c r="AF8" s="128"/>
      <c r="AG8" s="128"/>
      <c r="AH8" s="128"/>
      <c r="AI8" s="128"/>
      <c r="AJ8" s="128"/>
      <c r="AK8" s="128"/>
      <c r="AL8" s="128"/>
      <c r="AM8" s="128"/>
      <c r="AN8" s="128"/>
      <c r="AO8" s="128"/>
      <c r="AP8" s="128"/>
      <c r="AQ8" s="128"/>
    </row>
    <row r="9" spans="1:43" x14ac:dyDescent="0.2">
      <c r="A9" s="2">
        <v>8</v>
      </c>
      <c r="B9" s="137" t="s">
        <v>194</v>
      </c>
      <c r="C9" s="137" t="s">
        <v>187</v>
      </c>
      <c r="D9" s="137" t="s">
        <v>187</v>
      </c>
      <c r="E9" s="137" t="s">
        <v>187</v>
      </c>
      <c r="F9" s="137" t="s">
        <v>187</v>
      </c>
      <c r="G9" s="137" t="s">
        <v>187</v>
      </c>
      <c r="H9" s="137"/>
      <c r="I9" s="137"/>
      <c r="J9" s="137"/>
      <c r="K9" s="137"/>
      <c r="L9" s="5" t="str">
        <f t="shared" si="0"/>
        <v>8　平日（冬）</v>
      </c>
      <c r="M9" s="5"/>
      <c r="N9" s="128" t="s">
        <v>205</v>
      </c>
      <c r="O9" s="128" t="s">
        <v>212</v>
      </c>
      <c r="P9" s="128" t="s">
        <v>213</v>
      </c>
      <c r="Q9" s="128"/>
      <c r="R9" s="128"/>
      <c r="S9" s="128"/>
      <c r="T9" s="128"/>
      <c r="U9" s="128"/>
      <c r="V9" s="128"/>
      <c r="W9" s="128"/>
      <c r="X9" s="128"/>
      <c r="Y9" s="128"/>
      <c r="Z9" s="128"/>
      <c r="AA9" s="128"/>
      <c r="AB9" s="128"/>
      <c r="AC9" s="128"/>
      <c r="AD9" s="128"/>
      <c r="AE9" s="128"/>
      <c r="AF9" s="128"/>
      <c r="AG9" s="128"/>
      <c r="AH9" s="128"/>
      <c r="AI9" s="128"/>
      <c r="AJ9" s="128"/>
      <c r="AK9" s="128"/>
      <c r="AL9" s="128"/>
      <c r="AM9" s="128"/>
      <c r="AN9" s="128"/>
      <c r="AO9" s="128"/>
      <c r="AP9" s="128"/>
      <c r="AQ9" s="128"/>
    </row>
    <row r="10" spans="1:43" x14ac:dyDescent="0.2">
      <c r="A10" s="2">
        <v>9</v>
      </c>
      <c r="B10" s="138" t="s">
        <v>195</v>
      </c>
      <c r="C10" s="138" t="s">
        <v>187</v>
      </c>
      <c r="D10" s="138" t="s">
        <v>187</v>
      </c>
      <c r="E10" s="138" t="s">
        <v>187</v>
      </c>
      <c r="F10" s="138" t="s">
        <v>187</v>
      </c>
      <c r="G10" s="138" t="s">
        <v>187</v>
      </c>
      <c r="H10" s="138"/>
      <c r="I10" s="138"/>
      <c r="J10" s="138"/>
      <c r="K10" s="138"/>
      <c r="L10" s="5" t="str">
        <f t="shared" si="0"/>
        <v>9　4～11月</v>
      </c>
      <c r="M10" s="106"/>
      <c r="N10" s="129" t="s">
        <v>205</v>
      </c>
      <c r="O10" s="129" t="s">
        <v>214</v>
      </c>
      <c r="P10" s="129" t="s">
        <v>215</v>
      </c>
      <c r="Q10" s="129"/>
      <c r="R10" s="129"/>
      <c r="S10" s="129"/>
      <c r="T10" s="129"/>
      <c r="U10" s="129"/>
      <c r="V10" s="129"/>
      <c r="W10" s="129"/>
      <c r="X10" s="129"/>
      <c r="Y10" s="129"/>
      <c r="Z10" s="129"/>
      <c r="AA10" s="129"/>
      <c r="AB10" s="129"/>
      <c r="AC10" s="129"/>
      <c r="AD10" s="129"/>
      <c r="AE10" s="129"/>
      <c r="AF10" s="129"/>
      <c r="AG10" s="129"/>
      <c r="AH10" s="129"/>
      <c r="AI10" s="129"/>
      <c r="AJ10" s="129"/>
      <c r="AK10" s="129"/>
      <c r="AL10" s="129"/>
      <c r="AM10" s="129"/>
      <c r="AN10" s="129"/>
      <c r="AO10" s="129"/>
      <c r="AP10" s="129"/>
      <c r="AQ10" s="129"/>
    </row>
    <row r="11" spans="1:43" x14ac:dyDescent="0.2">
      <c r="A11" s="2">
        <v>10</v>
      </c>
      <c r="B11" s="137" t="s">
        <v>196</v>
      </c>
      <c r="C11" s="137" t="s">
        <v>187</v>
      </c>
      <c r="D11" s="137" t="s">
        <v>187</v>
      </c>
      <c r="E11" s="137" t="s">
        <v>187</v>
      </c>
      <c r="F11" s="137" t="s">
        <v>187</v>
      </c>
      <c r="G11" s="137" t="s">
        <v>187</v>
      </c>
      <c r="H11" s="137"/>
      <c r="I11" s="137"/>
      <c r="J11" s="137"/>
      <c r="K11" s="137"/>
      <c r="L11" s="5" t="str">
        <f t="shared" si="0"/>
        <v>10　12～3月</v>
      </c>
      <c r="M11" s="5"/>
      <c r="N11" s="128" t="s">
        <v>205</v>
      </c>
      <c r="O11" s="128" t="s">
        <v>216</v>
      </c>
      <c r="P11" s="128" t="s">
        <v>217</v>
      </c>
      <c r="Q11" s="128"/>
      <c r="R11" s="128"/>
      <c r="S11" s="128"/>
      <c r="T11" s="128"/>
      <c r="U11" s="128"/>
      <c r="V11" s="128"/>
      <c r="W11" s="128"/>
      <c r="X11" s="128"/>
      <c r="Y11" s="128"/>
      <c r="Z11" s="128"/>
      <c r="AA11" s="128"/>
      <c r="AB11" s="128"/>
      <c r="AC11" s="128"/>
      <c r="AD11" s="128"/>
      <c r="AE11" s="128"/>
      <c r="AF11" s="128"/>
      <c r="AG11" s="128"/>
      <c r="AH11" s="128"/>
      <c r="AI11" s="128"/>
      <c r="AJ11" s="128"/>
      <c r="AK11" s="128"/>
      <c r="AL11" s="128"/>
      <c r="AM11" s="128"/>
      <c r="AN11" s="128"/>
      <c r="AO11" s="128"/>
      <c r="AP11" s="128"/>
      <c r="AQ11" s="128"/>
    </row>
    <row r="12" spans="1:43" x14ac:dyDescent="0.2">
      <c r="A12" s="2">
        <v>11</v>
      </c>
      <c r="B12" s="137" t="s">
        <v>197</v>
      </c>
      <c r="C12" s="137" t="s">
        <v>187</v>
      </c>
      <c r="D12" s="137" t="s">
        <v>187</v>
      </c>
      <c r="E12" s="137" t="s">
        <v>187</v>
      </c>
      <c r="F12" s="137" t="s">
        <v>187</v>
      </c>
      <c r="G12" s="137" t="s">
        <v>187</v>
      </c>
      <c r="H12" s="137" t="s">
        <v>187</v>
      </c>
      <c r="I12" s="137"/>
      <c r="J12" s="137"/>
      <c r="K12" s="137"/>
      <c r="L12" s="5" t="str">
        <f t="shared" si="0"/>
        <v>11　平日土</v>
      </c>
      <c r="M12" s="5"/>
      <c r="N12" s="128" t="s">
        <v>205</v>
      </c>
      <c r="O12" s="128" t="s">
        <v>218</v>
      </c>
      <c r="P12" s="128" t="s">
        <v>219</v>
      </c>
      <c r="Q12" s="128"/>
      <c r="R12" s="128"/>
      <c r="S12" s="128"/>
      <c r="T12" s="128"/>
      <c r="U12" s="128"/>
      <c r="V12" s="128"/>
      <c r="W12" s="128"/>
      <c r="X12" s="128"/>
      <c r="Y12" s="128"/>
      <c r="Z12" s="128"/>
      <c r="AA12" s="128"/>
      <c r="AB12" s="128"/>
      <c r="AC12" s="128"/>
      <c r="AD12" s="128"/>
      <c r="AE12" s="128"/>
      <c r="AF12" s="128"/>
      <c r="AG12" s="128"/>
      <c r="AH12" s="128"/>
      <c r="AI12" s="128"/>
      <c r="AJ12" s="128"/>
      <c r="AK12" s="128"/>
      <c r="AL12" s="128"/>
      <c r="AM12" s="128"/>
      <c r="AN12" s="128"/>
      <c r="AO12" s="128"/>
      <c r="AP12" s="128"/>
      <c r="AQ12" s="128"/>
    </row>
    <row r="13" spans="1:43" x14ac:dyDescent="0.2">
      <c r="A13" s="2">
        <v>12</v>
      </c>
      <c r="B13" s="137" t="s">
        <v>198</v>
      </c>
      <c r="C13" s="137"/>
      <c r="D13" s="137"/>
      <c r="E13" s="137"/>
      <c r="F13" s="137"/>
      <c r="G13" s="137"/>
      <c r="H13" s="137"/>
      <c r="I13" s="137" t="s">
        <v>187</v>
      </c>
      <c r="J13" s="137" t="s">
        <v>187</v>
      </c>
      <c r="K13" s="137"/>
      <c r="L13" s="5" t="str">
        <f t="shared" si="0"/>
        <v>12　日祝のみ</v>
      </c>
      <c r="M13" s="5"/>
      <c r="N13" s="128" t="s">
        <v>205</v>
      </c>
      <c r="O13" s="128"/>
      <c r="P13" s="128"/>
      <c r="Q13" s="128"/>
      <c r="R13" s="128"/>
      <c r="S13" s="128"/>
      <c r="T13" s="128"/>
      <c r="U13" s="128"/>
      <c r="V13" s="128"/>
      <c r="W13" s="128"/>
      <c r="X13" s="128"/>
      <c r="Y13" s="128"/>
      <c r="Z13" s="128"/>
      <c r="AA13" s="128"/>
      <c r="AB13" s="128"/>
      <c r="AC13" s="128"/>
      <c r="AD13" s="128"/>
      <c r="AE13" s="128"/>
      <c r="AF13" s="128"/>
      <c r="AG13" s="128"/>
      <c r="AH13" s="128"/>
      <c r="AI13" s="128"/>
      <c r="AJ13" s="128"/>
      <c r="AK13" s="128"/>
      <c r="AL13" s="128"/>
      <c r="AM13" s="128"/>
      <c r="AN13" s="128"/>
      <c r="AO13" s="128"/>
      <c r="AP13" s="128"/>
      <c r="AQ13" s="128"/>
    </row>
    <row r="14" spans="1:43" x14ac:dyDescent="0.2">
      <c r="A14" s="2">
        <v>13</v>
      </c>
      <c r="B14" s="137" t="s">
        <v>199</v>
      </c>
      <c r="C14" s="137" t="s">
        <v>187</v>
      </c>
      <c r="D14" s="137" t="s">
        <v>187</v>
      </c>
      <c r="E14" s="137" t="s">
        <v>187</v>
      </c>
      <c r="F14" s="137" t="s">
        <v>187</v>
      </c>
      <c r="G14" s="137" t="s">
        <v>187</v>
      </c>
      <c r="H14" s="137"/>
      <c r="I14" s="137"/>
      <c r="J14" s="137"/>
      <c r="K14" s="137"/>
      <c r="L14" s="5" t="str">
        <f t="shared" si="0"/>
        <v>13　休校日（平日）</v>
      </c>
      <c r="M14" s="5"/>
      <c r="N14" s="128" t="s">
        <v>205</v>
      </c>
      <c r="O14" s="128" t="s">
        <v>218</v>
      </c>
      <c r="P14" s="128" t="s">
        <v>219</v>
      </c>
      <c r="Q14" s="128"/>
      <c r="R14" s="128"/>
      <c r="S14" s="128"/>
      <c r="T14" s="128"/>
      <c r="U14" s="128"/>
      <c r="V14" s="128"/>
      <c r="W14" s="128"/>
      <c r="X14" s="128"/>
      <c r="Y14" s="128"/>
      <c r="Z14" s="128"/>
      <c r="AA14" s="128"/>
      <c r="AB14" s="128"/>
      <c r="AC14" s="128"/>
      <c r="AD14" s="128"/>
      <c r="AE14" s="128"/>
      <c r="AF14" s="128"/>
      <c r="AG14" s="128"/>
      <c r="AH14" s="128"/>
      <c r="AI14" s="128"/>
      <c r="AJ14" s="128"/>
      <c r="AK14" s="128"/>
      <c r="AL14" s="128"/>
      <c r="AM14" s="128"/>
      <c r="AN14" s="128"/>
      <c r="AO14" s="128"/>
      <c r="AP14" s="128"/>
      <c r="AQ14" s="128"/>
    </row>
    <row r="15" spans="1:43" x14ac:dyDescent="0.2">
      <c r="A15" s="2">
        <v>14</v>
      </c>
      <c r="B15" s="137" t="s">
        <v>200</v>
      </c>
      <c r="C15" s="137" t="s">
        <v>187</v>
      </c>
      <c r="D15" s="137" t="s">
        <v>187</v>
      </c>
      <c r="E15" s="137" t="s">
        <v>201</v>
      </c>
      <c r="F15" s="137" t="s">
        <v>187</v>
      </c>
      <c r="G15" s="137" t="s">
        <v>187</v>
      </c>
      <c r="H15" s="137"/>
      <c r="I15" s="137"/>
      <c r="J15" s="137"/>
      <c r="K15" s="137"/>
      <c r="L15" s="5" t="str">
        <f t="shared" si="0"/>
        <v>14　休校日（夏）</v>
      </c>
      <c r="M15" s="5"/>
      <c r="N15" s="128" t="s">
        <v>205</v>
      </c>
      <c r="O15" s="129" t="s">
        <v>210</v>
      </c>
      <c r="P15" s="129" t="s">
        <v>211</v>
      </c>
      <c r="Q15" s="129"/>
      <c r="R15" s="128"/>
      <c r="S15" s="128"/>
      <c r="T15" s="128"/>
      <c r="U15" s="128"/>
      <c r="V15" s="128"/>
      <c r="W15" s="128"/>
      <c r="X15" s="128"/>
      <c r="Y15" s="128"/>
      <c r="Z15" s="128"/>
      <c r="AA15" s="128"/>
      <c r="AB15" s="128"/>
      <c r="AC15" s="128"/>
      <c r="AD15" s="128"/>
      <c r="AE15" s="128"/>
      <c r="AF15" s="128"/>
      <c r="AG15" s="128"/>
      <c r="AH15" s="128"/>
      <c r="AI15" s="128"/>
      <c r="AJ15" s="128"/>
      <c r="AK15" s="128"/>
      <c r="AL15" s="128"/>
      <c r="AM15" s="128"/>
      <c r="AN15" s="128"/>
      <c r="AO15" s="128"/>
      <c r="AP15" s="128"/>
      <c r="AQ15" s="128"/>
    </row>
    <row r="16" spans="1:43" x14ac:dyDescent="0.2">
      <c r="A16" s="2">
        <v>15</v>
      </c>
      <c r="B16" s="137" t="s">
        <v>202</v>
      </c>
      <c r="C16" s="137" t="s">
        <v>187</v>
      </c>
      <c r="D16" s="137" t="s">
        <v>187</v>
      </c>
      <c r="E16" s="137" t="s">
        <v>187</v>
      </c>
      <c r="F16" s="137" t="s">
        <v>187</v>
      </c>
      <c r="G16" s="137" t="s">
        <v>187</v>
      </c>
      <c r="H16" s="137"/>
      <c r="I16" s="137"/>
      <c r="J16" s="137"/>
      <c r="K16" s="137"/>
      <c r="L16" s="5" t="str">
        <f t="shared" si="0"/>
        <v>15　休校日（冬）</v>
      </c>
      <c r="M16" s="5"/>
      <c r="N16" s="128" t="s">
        <v>205</v>
      </c>
      <c r="O16" s="128" t="s">
        <v>220</v>
      </c>
      <c r="P16" s="128" t="s">
        <v>213</v>
      </c>
      <c r="Q16" s="128"/>
      <c r="R16" s="128"/>
      <c r="S16" s="128"/>
      <c r="T16" s="128"/>
      <c r="U16" s="128"/>
      <c r="V16" s="128"/>
      <c r="W16" s="128"/>
      <c r="X16" s="128"/>
      <c r="Y16" s="128"/>
      <c r="Z16" s="128"/>
      <c r="AA16" s="128"/>
      <c r="AB16" s="128"/>
      <c r="AC16" s="128"/>
      <c r="AD16" s="128"/>
      <c r="AE16" s="128"/>
      <c r="AF16" s="128"/>
      <c r="AG16" s="128"/>
      <c r="AH16" s="128"/>
      <c r="AI16" s="128"/>
      <c r="AJ16" s="128"/>
      <c r="AK16" s="128"/>
      <c r="AL16" s="128"/>
      <c r="AM16" s="128"/>
      <c r="AN16" s="128"/>
      <c r="AO16" s="128"/>
      <c r="AP16" s="128"/>
      <c r="AQ16" s="128"/>
    </row>
    <row r="17" spans="1:43" x14ac:dyDescent="0.2">
      <c r="A17" s="2">
        <v>16</v>
      </c>
      <c r="B17" s="137" t="s">
        <v>203</v>
      </c>
      <c r="C17" s="137" t="s">
        <v>187</v>
      </c>
      <c r="D17" s="137" t="s">
        <v>187</v>
      </c>
      <c r="E17" s="137" t="s">
        <v>187</v>
      </c>
      <c r="F17" s="137" t="s">
        <v>187</v>
      </c>
      <c r="G17" s="137" t="s">
        <v>187</v>
      </c>
      <c r="H17" s="137" t="s">
        <v>187</v>
      </c>
      <c r="I17" s="137"/>
      <c r="J17" s="137"/>
      <c r="K17" s="137"/>
      <c r="L17" s="5" t="str">
        <f t="shared" si="0"/>
        <v>16　休校日（平日土）</v>
      </c>
      <c r="M17" s="5"/>
      <c r="N17" s="128" t="s">
        <v>205</v>
      </c>
      <c r="O17" s="128" t="s">
        <v>218</v>
      </c>
      <c r="P17" s="128" t="s">
        <v>219</v>
      </c>
      <c r="Q17" s="128"/>
      <c r="R17" s="128"/>
      <c r="S17" s="128"/>
      <c r="T17" s="128"/>
      <c r="U17" s="128"/>
      <c r="V17" s="128"/>
      <c r="W17" s="128"/>
      <c r="X17" s="128"/>
      <c r="Y17" s="128"/>
      <c r="Z17" s="128"/>
      <c r="AA17" s="128"/>
      <c r="AB17" s="128"/>
      <c r="AC17" s="128"/>
      <c r="AD17" s="128"/>
      <c r="AE17" s="128"/>
      <c r="AF17" s="128"/>
      <c r="AG17" s="128"/>
      <c r="AH17" s="128"/>
      <c r="AI17" s="128"/>
      <c r="AJ17" s="128"/>
      <c r="AK17" s="128"/>
      <c r="AL17" s="128"/>
      <c r="AM17" s="128"/>
      <c r="AN17" s="128"/>
      <c r="AO17" s="128"/>
      <c r="AP17" s="128"/>
      <c r="AQ17" s="128"/>
    </row>
    <row r="18" spans="1:43" x14ac:dyDescent="0.2">
      <c r="A18" s="2"/>
      <c r="B18" s="137"/>
      <c r="C18" s="137"/>
      <c r="D18" s="137"/>
      <c r="E18" s="137"/>
      <c r="F18" s="137"/>
      <c r="G18" s="137"/>
      <c r="H18" s="137"/>
      <c r="I18" s="137"/>
      <c r="J18" s="137"/>
      <c r="K18" s="137"/>
      <c r="L18" s="5" t="str">
        <f t="shared" si="0"/>
        <v>　</v>
      </c>
      <c r="M18" s="5"/>
      <c r="N18" s="128"/>
      <c r="O18" s="128"/>
      <c r="P18" s="128"/>
      <c r="Q18" s="128"/>
      <c r="R18" s="128"/>
      <c r="S18" s="128"/>
      <c r="T18" s="128"/>
      <c r="U18" s="128"/>
      <c r="V18" s="128"/>
      <c r="W18" s="128"/>
      <c r="X18" s="128"/>
      <c r="Y18" s="128"/>
      <c r="Z18" s="128"/>
      <c r="AA18" s="128"/>
      <c r="AB18" s="128"/>
      <c r="AC18" s="128"/>
      <c r="AD18" s="128"/>
      <c r="AE18" s="128"/>
      <c r="AF18" s="128"/>
      <c r="AG18" s="128"/>
      <c r="AH18" s="128"/>
      <c r="AI18" s="128"/>
      <c r="AJ18" s="128"/>
      <c r="AK18" s="128"/>
      <c r="AL18" s="128"/>
      <c r="AM18" s="128"/>
      <c r="AN18" s="128"/>
      <c r="AO18" s="128"/>
      <c r="AP18" s="128"/>
      <c r="AQ18" s="128"/>
    </row>
    <row r="19" spans="1:43" x14ac:dyDescent="0.2">
      <c r="A19" s="2"/>
      <c r="B19" s="137"/>
      <c r="C19" s="137"/>
      <c r="D19" s="137"/>
      <c r="E19" s="137"/>
      <c r="F19" s="137"/>
      <c r="G19" s="137"/>
      <c r="H19" s="137"/>
      <c r="I19" s="137"/>
      <c r="J19" s="137"/>
      <c r="K19" s="137"/>
      <c r="L19" s="5" t="str">
        <f t="shared" si="0"/>
        <v>　</v>
      </c>
      <c r="M19" s="5"/>
      <c r="N19" s="128"/>
      <c r="O19" s="128"/>
      <c r="P19" s="128"/>
      <c r="Q19" s="128"/>
      <c r="R19" s="128"/>
      <c r="S19" s="128"/>
      <c r="T19" s="128"/>
      <c r="U19" s="128"/>
      <c r="V19" s="128"/>
      <c r="W19" s="128"/>
      <c r="X19" s="128"/>
      <c r="Y19" s="128"/>
      <c r="Z19" s="128"/>
      <c r="AA19" s="128"/>
      <c r="AB19" s="128"/>
      <c r="AC19" s="128"/>
      <c r="AD19" s="128"/>
      <c r="AE19" s="128"/>
      <c r="AF19" s="128"/>
      <c r="AG19" s="128"/>
      <c r="AH19" s="128"/>
      <c r="AI19" s="128"/>
      <c r="AJ19" s="128"/>
      <c r="AK19" s="128"/>
      <c r="AL19" s="128"/>
      <c r="AM19" s="128"/>
      <c r="AN19" s="128"/>
      <c r="AO19" s="128"/>
      <c r="AP19" s="128"/>
      <c r="AQ19" s="128"/>
    </row>
    <row r="20" spans="1:43" x14ac:dyDescent="0.2">
      <c r="A20" s="2"/>
      <c r="B20" s="137"/>
      <c r="C20" s="137"/>
      <c r="D20" s="137"/>
      <c r="E20" s="137"/>
      <c r="F20" s="137"/>
      <c r="G20" s="137"/>
      <c r="H20" s="137"/>
      <c r="I20" s="137"/>
      <c r="J20" s="137"/>
      <c r="K20" s="137"/>
      <c r="L20" s="5" t="str">
        <f t="shared" si="0"/>
        <v>　</v>
      </c>
      <c r="M20" s="5"/>
      <c r="N20" s="128"/>
      <c r="O20" s="128"/>
      <c r="P20" s="128"/>
      <c r="Q20" s="128"/>
      <c r="R20" s="128"/>
      <c r="S20" s="128"/>
      <c r="T20" s="128"/>
      <c r="U20" s="128"/>
      <c r="V20" s="128"/>
      <c r="W20" s="128"/>
      <c r="X20" s="128"/>
      <c r="Y20" s="128"/>
      <c r="Z20" s="128"/>
      <c r="AA20" s="128"/>
      <c r="AB20" s="128"/>
      <c r="AC20" s="128"/>
      <c r="AD20" s="128"/>
      <c r="AE20" s="128"/>
      <c r="AF20" s="128"/>
      <c r="AG20" s="128"/>
      <c r="AH20" s="128"/>
      <c r="AI20" s="128"/>
      <c r="AJ20" s="128"/>
      <c r="AK20" s="128"/>
      <c r="AL20" s="128"/>
      <c r="AM20" s="128"/>
      <c r="AN20" s="128"/>
      <c r="AO20" s="128"/>
      <c r="AP20" s="128"/>
      <c r="AQ20" s="128"/>
    </row>
    <row r="21" spans="1:43" x14ac:dyDescent="0.2">
      <c r="A21" s="2"/>
      <c r="B21" s="137"/>
      <c r="C21" s="137"/>
      <c r="D21" s="137"/>
      <c r="E21" s="137"/>
      <c r="F21" s="137"/>
      <c r="G21" s="137"/>
      <c r="H21" s="137"/>
      <c r="I21" s="137"/>
      <c r="J21" s="137"/>
      <c r="K21" s="137"/>
      <c r="L21" s="5" t="str">
        <f t="shared" si="0"/>
        <v>　</v>
      </c>
      <c r="M21" s="5"/>
      <c r="N21" s="128"/>
      <c r="O21" s="128"/>
      <c r="P21" s="128"/>
      <c r="Q21" s="128"/>
      <c r="R21" s="128"/>
      <c r="S21" s="128"/>
      <c r="T21" s="128"/>
      <c r="U21" s="128"/>
      <c r="V21" s="128"/>
      <c r="W21" s="128"/>
      <c r="X21" s="128"/>
      <c r="Y21" s="128"/>
      <c r="Z21" s="128"/>
      <c r="AA21" s="128"/>
      <c r="AB21" s="128"/>
      <c r="AC21" s="128"/>
      <c r="AD21" s="128"/>
      <c r="AE21" s="128"/>
      <c r="AF21" s="128"/>
      <c r="AG21" s="128"/>
      <c r="AH21" s="128"/>
      <c r="AI21" s="128"/>
      <c r="AJ21" s="128"/>
      <c r="AK21" s="128"/>
      <c r="AL21" s="128"/>
      <c r="AM21" s="128"/>
      <c r="AN21" s="128"/>
      <c r="AO21" s="128"/>
      <c r="AP21" s="128"/>
      <c r="AQ21" s="128"/>
    </row>
    <row r="22" spans="1:43" x14ac:dyDescent="0.2">
      <c r="A22" s="2"/>
      <c r="B22" s="137"/>
      <c r="C22" s="137"/>
      <c r="D22" s="137"/>
      <c r="E22" s="137"/>
      <c r="F22" s="137"/>
      <c r="G22" s="137"/>
      <c r="H22" s="137"/>
      <c r="I22" s="137"/>
      <c r="J22" s="137"/>
      <c r="K22" s="137"/>
      <c r="L22" s="5" t="str">
        <f t="shared" si="0"/>
        <v>　</v>
      </c>
      <c r="M22" s="5"/>
      <c r="N22" s="128"/>
      <c r="O22" s="128"/>
      <c r="P22" s="128"/>
      <c r="Q22" s="128"/>
      <c r="R22" s="128"/>
      <c r="S22" s="128"/>
      <c r="T22" s="128"/>
      <c r="U22" s="128"/>
      <c r="V22" s="128"/>
      <c r="W22" s="128"/>
      <c r="X22" s="128"/>
      <c r="Y22" s="128"/>
      <c r="Z22" s="128"/>
      <c r="AA22" s="128"/>
      <c r="AB22" s="128"/>
      <c r="AC22" s="128"/>
      <c r="AD22" s="128"/>
      <c r="AE22" s="128"/>
      <c r="AF22" s="128"/>
      <c r="AG22" s="128"/>
      <c r="AH22" s="128"/>
      <c r="AI22" s="128"/>
      <c r="AJ22" s="128"/>
      <c r="AK22" s="128"/>
      <c r="AL22" s="128"/>
      <c r="AM22" s="128"/>
      <c r="AN22" s="128"/>
      <c r="AO22" s="128"/>
      <c r="AP22" s="128"/>
      <c r="AQ22" s="128"/>
    </row>
    <row r="23" spans="1:43" x14ac:dyDescent="0.2">
      <c r="A23" s="2"/>
      <c r="B23" s="137"/>
      <c r="C23" s="137"/>
      <c r="D23" s="137"/>
      <c r="E23" s="137"/>
      <c r="F23" s="137"/>
      <c r="G23" s="137"/>
      <c r="H23" s="137"/>
      <c r="I23" s="137"/>
      <c r="J23" s="137"/>
      <c r="K23" s="137"/>
      <c r="L23" s="5" t="str">
        <f t="shared" si="0"/>
        <v>　</v>
      </c>
      <c r="M23" s="5"/>
      <c r="N23" s="128"/>
      <c r="O23" s="128"/>
      <c r="P23" s="128"/>
      <c r="Q23" s="128"/>
      <c r="R23" s="128"/>
      <c r="S23" s="128"/>
      <c r="T23" s="128"/>
      <c r="U23" s="128"/>
      <c r="V23" s="128"/>
      <c r="W23" s="128"/>
      <c r="X23" s="128"/>
      <c r="Y23" s="128"/>
      <c r="Z23" s="128"/>
      <c r="AA23" s="128"/>
      <c r="AB23" s="128"/>
      <c r="AC23" s="128"/>
      <c r="AD23" s="128"/>
      <c r="AE23" s="128"/>
      <c r="AF23" s="128"/>
      <c r="AG23" s="128"/>
      <c r="AH23" s="128"/>
      <c r="AI23" s="128"/>
      <c r="AJ23" s="128"/>
      <c r="AK23" s="128"/>
      <c r="AL23" s="128"/>
      <c r="AM23" s="128"/>
      <c r="AN23" s="128"/>
      <c r="AO23" s="128"/>
      <c r="AP23" s="128"/>
      <c r="AQ23" s="128"/>
    </row>
    <row r="24" spans="1:43" x14ac:dyDescent="0.2">
      <c r="A24" s="2"/>
      <c r="B24" s="137"/>
      <c r="C24" s="137"/>
      <c r="D24" s="137"/>
      <c r="E24" s="137"/>
      <c r="F24" s="137"/>
      <c r="G24" s="137"/>
      <c r="H24" s="137"/>
      <c r="I24" s="137"/>
      <c r="J24" s="137"/>
      <c r="K24" s="137"/>
      <c r="L24" s="5" t="str">
        <f t="shared" si="0"/>
        <v>　</v>
      </c>
      <c r="M24" s="5"/>
      <c r="N24" s="128"/>
      <c r="O24" s="128"/>
      <c r="P24" s="128"/>
      <c r="Q24" s="128"/>
      <c r="R24" s="128"/>
      <c r="S24" s="128"/>
      <c r="T24" s="128"/>
      <c r="U24" s="128"/>
      <c r="V24" s="128"/>
      <c r="W24" s="128"/>
      <c r="X24" s="128"/>
      <c r="Y24" s="128"/>
      <c r="Z24" s="128"/>
      <c r="AA24" s="128"/>
      <c r="AB24" s="128"/>
      <c r="AC24" s="128"/>
      <c r="AD24" s="128"/>
      <c r="AE24" s="128"/>
      <c r="AF24" s="128"/>
      <c r="AG24" s="128"/>
      <c r="AH24" s="128"/>
      <c r="AI24" s="128"/>
      <c r="AJ24" s="128"/>
      <c r="AK24" s="128"/>
      <c r="AL24" s="128"/>
      <c r="AM24" s="128"/>
      <c r="AN24" s="128"/>
      <c r="AO24" s="128"/>
      <c r="AP24" s="128"/>
      <c r="AQ24" s="128"/>
    </row>
    <row r="25" spans="1:43" x14ac:dyDescent="0.2">
      <c r="A25" s="2"/>
      <c r="B25" s="137"/>
      <c r="C25" s="137"/>
      <c r="D25" s="137"/>
      <c r="E25" s="137"/>
      <c r="F25" s="137"/>
      <c r="G25" s="137"/>
      <c r="H25" s="137"/>
      <c r="I25" s="137"/>
      <c r="J25" s="137"/>
      <c r="K25" s="137"/>
      <c r="L25" s="5" t="str">
        <f t="shared" si="0"/>
        <v>　</v>
      </c>
      <c r="M25" s="5"/>
      <c r="N25" s="128"/>
      <c r="O25" s="128"/>
      <c r="P25" s="128"/>
      <c r="Q25" s="128"/>
      <c r="R25" s="128"/>
      <c r="S25" s="128"/>
      <c r="T25" s="128"/>
      <c r="U25" s="128"/>
      <c r="V25" s="128"/>
      <c r="W25" s="128"/>
      <c r="X25" s="128"/>
      <c r="Y25" s="128"/>
      <c r="Z25" s="128"/>
      <c r="AA25" s="128"/>
      <c r="AB25" s="128"/>
      <c r="AC25" s="128"/>
      <c r="AD25" s="128"/>
      <c r="AE25" s="128"/>
      <c r="AF25" s="128"/>
      <c r="AG25" s="128"/>
      <c r="AH25" s="128"/>
      <c r="AI25" s="128"/>
      <c r="AJ25" s="128"/>
      <c r="AK25" s="128"/>
      <c r="AL25" s="128"/>
      <c r="AM25" s="128"/>
      <c r="AN25" s="128"/>
      <c r="AO25" s="128"/>
      <c r="AP25" s="128"/>
      <c r="AQ25" s="128"/>
    </row>
    <row r="26" spans="1:43" x14ac:dyDescent="0.2">
      <c r="A26" s="2"/>
      <c r="B26" s="137"/>
      <c r="C26" s="137"/>
      <c r="D26" s="137"/>
      <c r="E26" s="137"/>
      <c r="F26" s="137"/>
      <c r="G26" s="137"/>
      <c r="H26" s="137"/>
      <c r="I26" s="137"/>
      <c r="J26" s="137"/>
      <c r="K26" s="137"/>
      <c r="L26" s="5" t="str">
        <f t="shared" si="0"/>
        <v>　</v>
      </c>
      <c r="M26" s="5"/>
      <c r="N26" s="128"/>
      <c r="O26" s="128"/>
      <c r="P26" s="128"/>
      <c r="Q26" s="128"/>
      <c r="R26" s="128"/>
      <c r="S26" s="128"/>
      <c r="T26" s="128"/>
      <c r="U26" s="128"/>
      <c r="V26" s="128"/>
      <c r="W26" s="128"/>
      <c r="X26" s="128"/>
      <c r="Y26" s="128"/>
      <c r="Z26" s="128"/>
      <c r="AA26" s="128"/>
      <c r="AB26" s="128"/>
      <c r="AC26" s="128"/>
      <c r="AD26" s="128"/>
      <c r="AE26" s="128"/>
      <c r="AF26" s="128"/>
      <c r="AG26" s="128"/>
      <c r="AH26" s="128"/>
      <c r="AI26" s="128"/>
      <c r="AJ26" s="128"/>
      <c r="AK26" s="128"/>
      <c r="AL26" s="128"/>
      <c r="AM26" s="128"/>
      <c r="AN26" s="128"/>
      <c r="AO26" s="128"/>
      <c r="AP26" s="128"/>
      <c r="AQ26" s="128"/>
    </row>
    <row r="27" spans="1:43" x14ac:dyDescent="0.2">
      <c r="A27" s="2"/>
      <c r="B27" s="137"/>
      <c r="C27" s="137"/>
      <c r="D27" s="137"/>
      <c r="E27" s="137"/>
      <c r="F27" s="137"/>
      <c r="G27" s="137"/>
      <c r="H27" s="137"/>
      <c r="I27" s="137"/>
      <c r="J27" s="137"/>
      <c r="K27" s="137"/>
      <c r="L27" s="5" t="str">
        <f t="shared" si="0"/>
        <v>　</v>
      </c>
      <c r="M27" s="5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28"/>
      <c r="AO27" s="128"/>
      <c r="AP27" s="128"/>
      <c r="AQ27" s="128"/>
    </row>
    <row r="28" spans="1:43" x14ac:dyDescent="0.2">
      <c r="A28" s="2"/>
      <c r="B28" s="137"/>
      <c r="C28" s="137"/>
      <c r="D28" s="137"/>
      <c r="E28" s="137"/>
      <c r="F28" s="137"/>
      <c r="G28" s="137"/>
      <c r="H28" s="137"/>
      <c r="I28" s="137"/>
      <c r="J28" s="137"/>
      <c r="K28" s="137"/>
      <c r="L28" s="5" t="str">
        <f t="shared" si="0"/>
        <v>　</v>
      </c>
      <c r="M28" s="5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28"/>
      <c r="AO28" s="128"/>
      <c r="AP28" s="128"/>
      <c r="AQ28" s="128"/>
    </row>
    <row r="29" spans="1:43" x14ac:dyDescent="0.2">
      <c r="A29" s="2"/>
      <c r="B29" s="137"/>
      <c r="C29" s="137"/>
      <c r="D29" s="137"/>
      <c r="E29" s="137"/>
      <c r="F29" s="137"/>
      <c r="G29" s="137"/>
      <c r="H29" s="137"/>
      <c r="I29" s="137"/>
      <c r="J29" s="137"/>
      <c r="K29" s="137"/>
      <c r="L29" s="5" t="str">
        <f t="shared" si="0"/>
        <v>　</v>
      </c>
      <c r="M29" s="5"/>
      <c r="N29" s="128"/>
      <c r="O29" s="128"/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/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28"/>
      <c r="AO29" s="128"/>
      <c r="AP29" s="128"/>
      <c r="AQ29" s="128"/>
    </row>
    <row r="30" spans="1:43" x14ac:dyDescent="0.2">
      <c r="A30" s="2"/>
      <c r="B30" s="137"/>
      <c r="C30" s="137"/>
      <c r="D30" s="137"/>
      <c r="E30" s="137"/>
      <c r="F30" s="137"/>
      <c r="G30" s="137"/>
      <c r="H30" s="137"/>
      <c r="I30" s="137"/>
      <c r="J30" s="137"/>
      <c r="K30" s="137"/>
      <c r="L30" s="5" t="str">
        <f t="shared" si="0"/>
        <v>　</v>
      </c>
      <c r="M30" s="5"/>
      <c r="N30" s="128"/>
      <c r="O30" s="128"/>
      <c r="P30" s="128"/>
      <c r="Q30" s="128"/>
      <c r="R30" s="128"/>
      <c r="S30" s="128"/>
      <c r="T30" s="128"/>
      <c r="U30" s="128"/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/>
      <c r="AH30" s="128"/>
      <c r="AI30" s="128"/>
      <c r="AJ30" s="128"/>
      <c r="AK30" s="128"/>
      <c r="AL30" s="128"/>
      <c r="AM30" s="128"/>
      <c r="AN30" s="128"/>
      <c r="AO30" s="128"/>
      <c r="AP30" s="128"/>
      <c r="AQ30" s="128"/>
    </row>
    <row r="31" spans="1:43" x14ac:dyDescent="0.2">
      <c r="A31" s="2"/>
      <c r="B31" s="137"/>
      <c r="C31" s="137"/>
      <c r="D31" s="137"/>
      <c r="E31" s="137"/>
      <c r="F31" s="137"/>
      <c r="G31" s="137"/>
      <c r="H31" s="137"/>
      <c r="I31" s="137"/>
      <c r="J31" s="137"/>
      <c r="K31" s="137"/>
      <c r="L31" s="5" t="str">
        <f t="shared" si="0"/>
        <v>　</v>
      </c>
      <c r="M31" s="5"/>
      <c r="N31" s="128"/>
      <c r="O31" s="128"/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/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28"/>
      <c r="AO31" s="128"/>
      <c r="AP31" s="128"/>
      <c r="AQ31" s="128"/>
    </row>
    <row r="32" spans="1:43" x14ac:dyDescent="0.2">
      <c r="A32" s="2"/>
      <c r="B32" s="137"/>
      <c r="C32" s="137"/>
      <c r="D32" s="137"/>
      <c r="E32" s="137"/>
      <c r="F32" s="137"/>
      <c r="G32" s="137"/>
      <c r="H32" s="137"/>
      <c r="I32" s="137"/>
      <c r="J32" s="137"/>
      <c r="K32" s="137"/>
      <c r="L32" s="5" t="str">
        <f t="shared" si="0"/>
        <v>　</v>
      </c>
      <c r="M32" s="5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/>
      <c r="AN32" s="128"/>
      <c r="AO32" s="128"/>
      <c r="AP32" s="128"/>
      <c r="AQ32" s="128"/>
    </row>
    <row r="33" spans="1:43" x14ac:dyDescent="0.2">
      <c r="A33" s="2"/>
      <c r="B33" s="137"/>
      <c r="C33" s="137"/>
      <c r="D33" s="137"/>
      <c r="E33" s="137"/>
      <c r="F33" s="137"/>
      <c r="G33" s="137"/>
      <c r="H33" s="137"/>
      <c r="I33" s="137"/>
      <c r="J33" s="137"/>
      <c r="K33" s="137"/>
      <c r="L33" s="5" t="str">
        <f t="shared" si="0"/>
        <v>　</v>
      </c>
      <c r="M33" s="5"/>
      <c r="N33" s="128"/>
      <c r="O33" s="128"/>
      <c r="P33" s="128"/>
      <c r="Q33" s="128"/>
      <c r="R33" s="128"/>
      <c r="S33" s="128"/>
      <c r="T33" s="128"/>
      <c r="U33" s="128"/>
      <c r="V33" s="128"/>
      <c r="W33" s="128"/>
      <c r="X33" s="128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  <c r="AO33" s="128"/>
      <c r="AP33" s="128"/>
      <c r="AQ33" s="128"/>
    </row>
    <row r="34" spans="1:43" x14ac:dyDescent="0.2">
      <c r="A34" s="2"/>
      <c r="B34" s="137"/>
      <c r="C34" s="137"/>
      <c r="D34" s="137"/>
      <c r="E34" s="137"/>
      <c r="F34" s="137"/>
      <c r="G34" s="137"/>
      <c r="H34" s="137"/>
      <c r="I34" s="137"/>
      <c r="J34" s="137"/>
      <c r="K34" s="137"/>
      <c r="L34" s="5" t="str">
        <f t="shared" si="0"/>
        <v>　</v>
      </c>
      <c r="M34" s="5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28"/>
      <c r="AO34" s="128"/>
      <c r="AP34" s="128"/>
      <c r="AQ34" s="128"/>
    </row>
    <row r="35" spans="1:43" x14ac:dyDescent="0.2">
      <c r="A35" s="2"/>
      <c r="B35" s="137"/>
      <c r="C35" s="137"/>
      <c r="D35" s="137"/>
      <c r="E35" s="137"/>
      <c r="F35" s="137"/>
      <c r="G35" s="137"/>
      <c r="H35" s="137"/>
      <c r="I35" s="137"/>
      <c r="J35" s="137"/>
      <c r="K35" s="137"/>
      <c r="L35" s="5" t="str">
        <f t="shared" si="0"/>
        <v>　</v>
      </c>
      <c r="M35" s="5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28"/>
      <c r="AO35" s="128"/>
      <c r="AP35" s="128"/>
      <c r="AQ35" s="128"/>
    </row>
    <row r="36" spans="1:43" x14ac:dyDescent="0.2">
      <c r="A36" s="2"/>
      <c r="B36" s="137"/>
      <c r="C36" s="137"/>
      <c r="D36" s="137"/>
      <c r="E36" s="137"/>
      <c r="F36" s="137"/>
      <c r="G36" s="137"/>
      <c r="H36" s="137"/>
      <c r="I36" s="137"/>
      <c r="J36" s="137"/>
      <c r="K36" s="137"/>
      <c r="L36" s="5" t="str">
        <f t="shared" si="0"/>
        <v>　</v>
      </c>
      <c r="M36" s="5"/>
      <c r="N36" s="128"/>
      <c r="O36" s="128"/>
      <c r="P36" s="128"/>
      <c r="Q36" s="128"/>
      <c r="R36" s="128"/>
      <c r="S36" s="128"/>
      <c r="T36" s="128"/>
      <c r="U36" s="128"/>
      <c r="V36" s="128"/>
      <c r="W36" s="128"/>
      <c r="X36" s="128"/>
      <c r="Y36" s="128"/>
      <c r="Z36" s="128"/>
      <c r="AA36" s="128"/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28"/>
      <c r="AO36" s="128"/>
      <c r="AP36" s="128"/>
      <c r="AQ36" s="128"/>
    </row>
    <row r="37" spans="1:43" x14ac:dyDescent="0.2">
      <c r="A37" s="2"/>
      <c r="B37" s="137"/>
      <c r="C37" s="137"/>
      <c r="D37" s="137"/>
      <c r="E37" s="137"/>
      <c r="F37" s="137"/>
      <c r="G37" s="137"/>
      <c r="H37" s="137"/>
      <c r="I37" s="137"/>
      <c r="J37" s="137"/>
      <c r="K37" s="137"/>
      <c r="L37" s="5" t="str">
        <f t="shared" si="0"/>
        <v>　</v>
      </c>
      <c r="M37" s="5"/>
      <c r="N37" s="128"/>
      <c r="O37" s="128"/>
      <c r="P37" s="128"/>
      <c r="Q37" s="128"/>
      <c r="R37" s="128"/>
      <c r="S37" s="128"/>
      <c r="T37" s="128"/>
      <c r="U37" s="128"/>
      <c r="V37" s="128"/>
      <c r="W37" s="128"/>
      <c r="X37" s="128"/>
      <c r="Y37" s="128"/>
      <c r="Z37" s="128"/>
      <c r="AA37" s="128"/>
      <c r="AB37" s="128"/>
      <c r="AC37" s="128"/>
      <c r="AD37" s="128"/>
      <c r="AE37" s="128"/>
      <c r="AF37" s="128"/>
      <c r="AG37" s="128"/>
      <c r="AH37" s="128"/>
      <c r="AI37" s="128"/>
      <c r="AJ37" s="128"/>
      <c r="AK37" s="128"/>
      <c r="AL37" s="128"/>
      <c r="AM37" s="128"/>
      <c r="AN37" s="128"/>
      <c r="AO37" s="128"/>
      <c r="AP37" s="128"/>
      <c r="AQ37" s="128"/>
    </row>
    <row r="38" spans="1:43" x14ac:dyDescent="0.2">
      <c r="A38" s="2"/>
      <c r="B38" s="137"/>
      <c r="C38" s="137"/>
      <c r="D38" s="137"/>
      <c r="E38" s="137"/>
      <c r="F38" s="137"/>
      <c r="G38" s="137"/>
      <c r="H38" s="137"/>
      <c r="I38" s="137"/>
      <c r="J38" s="137"/>
      <c r="K38" s="137"/>
      <c r="L38" s="5" t="str">
        <f t="shared" si="0"/>
        <v>　</v>
      </c>
      <c r="M38" s="5"/>
      <c r="N38" s="128"/>
      <c r="O38" s="128"/>
      <c r="P38" s="128"/>
      <c r="Q38" s="128"/>
      <c r="R38" s="128"/>
      <c r="S38" s="128"/>
      <c r="T38" s="128"/>
      <c r="U38" s="128"/>
      <c r="V38" s="128"/>
      <c r="W38" s="128"/>
      <c r="X38" s="128"/>
      <c r="Y38" s="128"/>
      <c r="Z38" s="128"/>
      <c r="AA38" s="128"/>
      <c r="AB38" s="128"/>
      <c r="AC38" s="128"/>
      <c r="AD38" s="128"/>
      <c r="AE38" s="128"/>
      <c r="AF38" s="128"/>
      <c r="AG38" s="128"/>
      <c r="AH38" s="128"/>
      <c r="AI38" s="128"/>
      <c r="AJ38" s="128"/>
      <c r="AK38" s="128"/>
      <c r="AL38" s="128"/>
      <c r="AM38" s="128"/>
      <c r="AN38" s="128"/>
      <c r="AO38" s="128"/>
      <c r="AP38" s="128"/>
      <c r="AQ38" s="128"/>
    </row>
  </sheetData>
  <phoneticPr fontId="1"/>
  <dataValidations count="3">
    <dataValidation type="list" allowBlank="1" showInputMessage="1" showErrorMessage="1" sqref="N1:AQ1" xr:uid="{CA8C8CF3-CA42-4961-BD7A-C61A2B185C5D}">
      <formula1>"追加,除外"</formula1>
    </dataValidation>
    <dataValidation imeMode="hiragana" allowBlank="1" showInputMessage="1" showErrorMessage="1" sqref="B2:B2351 M2:AQ38" xr:uid="{E14B8CF2-FBEA-4893-AE16-1FB68C69B6D5}"/>
    <dataValidation type="list" imeMode="hiragana" allowBlank="1" showInputMessage="1" showErrorMessage="1" sqref="C2:K2351" xr:uid="{8AC12CDF-BBF4-4DB7-B100-FE5A452DC782}">
      <formula1>"○"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18983-4542-48A7-8022-DF1C45C0C300}">
  <sheetPr codeName="Sheet8"/>
  <dimension ref="A1:A52"/>
  <sheetViews>
    <sheetView workbookViewId="0">
      <selection activeCell="K42" sqref="K42"/>
    </sheetView>
  </sheetViews>
  <sheetFormatPr defaultRowHeight="13" x14ac:dyDescent="0.2"/>
  <cols>
    <col min="1" max="1" width="11.6328125" bestFit="1" customWidth="1"/>
  </cols>
  <sheetData>
    <row r="1" spans="1:1" ht="28.15" customHeight="1" x14ac:dyDescent="0.2">
      <c r="A1" s="127" t="s">
        <v>107</v>
      </c>
    </row>
    <row r="2" spans="1:1" x14ac:dyDescent="0.2">
      <c r="A2" s="133">
        <v>44197</v>
      </c>
    </row>
    <row r="3" spans="1:1" x14ac:dyDescent="0.2">
      <c r="A3" s="133">
        <v>44207</v>
      </c>
    </row>
    <row r="4" spans="1:1" x14ac:dyDescent="0.2">
      <c r="A4" s="133">
        <v>44238</v>
      </c>
    </row>
    <row r="5" spans="1:1" x14ac:dyDescent="0.2">
      <c r="A5" s="133">
        <v>44250</v>
      </c>
    </row>
    <row r="6" spans="1:1" x14ac:dyDescent="0.2">
      <c r="A6" s="133">
        <v>44275</v>
      </c>
    </row>
    <row r="7" spans="1:1" x14ac:dyDescent="0.2">
      <c r="A7" s="133">
        <v>44315</v>
      </c>
    </row>
    <row r="8" spans="1:1" x14ac:dyDescent="0.2">
      <c r="A8" s="133">
        <v>44319</v>
      </c>
    </row>
    <row r="9" spans="1:1" x14ac:dyDescent="0.2">
      <c r="A9" s="133">
        <v>44320</v>
      </c>
    </row>
    <row r="10" spans="1:1" x14ac:dyDescent="0.2">
      <c r="A10" s="133">
        <v>44321</v>
      </c>
    </row>
    <row r="11" spans="1:1" x14ac:dyDescent="0.2">
      <c r="A11" s="133">
        <v>44399</v>
      </c>
    </row>
    <row r="12" spans="1:1" x14ac:dyDescent="0.2">
      <c r="A12" s="133">
        <v>44400</v>
      </c>
    </row>
    <row r="13" spans="1:1" x14ac:dyDescent="0.2">
      <c r="A13" s="133">
        <v>44416</v>
      </c>
    </row>
    <row r="14" spans="1:1" x14ac:dyDescent="0.2">
      <c r="A14" s="133">
        <v>44417</v>
      </c>
    </row>
    <row r="15" spans="1:1" x14ac:dyDescent="0.2">
      <c r="A15" s="133">
        <v>44459</v>
      </c>
    </row>
    <row r="16" spans="1:1" x14ac:dyDescent="0.2">
      <c r="A16" s="133">
        <v>44462</v>
      </c>
    </row>
    <row r="17" spans="1:1" x14ac:dyDescent="0.2">
      <c r="A17" s="133">
        <v>44503</v>
      </c>
    </row>
    <row r="18" spans="1:1" x14ac:dyDescent="0.2">
      <c r="A18" s="133">
        <v>44523</v>
      </c>
    </row>
    <row r="19" spans="1:1" x14ac:dyDescent="0.2">
      <c r="A19" s="133">
        <v>44562</v>
      </c>
    </row>
    <row r="20" spans="1:1" x14ac:dyDescent="0.2">
      <c r="A20" s="133">
        <v>44571</v>
      </c>
    </row>
    <row r="21" spans="1:1" x14ac:dyDescent="0.2">
      <c r="A21" s="133">
        <v>44603</v>
      </c>
    </row>
    <row r="22" spans="1:1" x14ac:dyDescent="0.2">
      <c r="A22" s="133">
        <v>44615</v>
      </c>
    </row>
    <row r="23" spans="1:1" x14ac:dyDescent="0.2">
      <c r="A23" s="133">
        <v>44641</v>
      </c>
    </row>
    <row r="24" spans="1:1" x14ac:dyDescent="0.2">
      <c r="A24" s="133">
        <v>44680</v>
      </c>
    </row>
    <row r="25" spans="1:1" x14ac:dyDescent="0.2">
      <c r="A25" s="133">
        <v>44684</v>
      </c>
    </row>
    <row r="26" spans="1:1" x14ac:dyDescent="0.2">
      <c r="A26" s="133">
        <v>44685</v>
      </c>
    </row>
    <row r="27" spans="1:1" x14ac:dyDescent="0.2">
      <c r="A27" s="133">
        <v>44686</v>
      </c>
    </row>
    <row r="28" spans="1:1" x14ac:dyDescent="0.2">
      <c r="A28" s="133">
        <v>44760</v>
      </c>
    </row>
    <row r="29" spans="1:1" x14ac:dyDescent="0.2">
      <c r="A29" s="133">
        <v>44784</v>
      </c>
    </row>
    <row r="30" spans="1:1" x14ac:dyDescent="0.2">
      <c r="A30" s="133">
        <v>44823</v>
      </c>
    </row>
    <row r="31" spans="1:1" x14ac:dyDescent="0.2">
      <c r="A31" s="133">
        <v>44827</v>
      </c>
    </row>
    <row r="32" spans="1:1" x14ac:dyDescent="0.2">
      <c r="A32" s="133">
        <v>44844</v>
      </c>
    </row>
    <row r="33" spans="1:1" x14ac:dyDescent="0.2">
      <c r="A33" s="133">
        <v>44868</v>
      </c>
    </row>
    <row r="34" spans="1:1" x14ac:dyDescent="0.2">
      <c r="A34" s="133">
        <v>44888</v>
      </c>
    </row>
    <row r="37" spans="1:1" x14ac:dyDescent="0.2">
      <c r="A37" s="133"/>
    </row>
    <row r="38" spans="1:1" x14ac:dyDescent="0.2">
      <c r="A38" s="133"/>
    </row>
    <row r="39" spans="1:1" x14ac:dyDescent="0.2">
      <c r="A39" s="133"/>
    </row>
    <row r="40" spans="1:1" x14ac:dyDescent="0.2">
      <c r="A40" s="133"/>
    </row>
    <row r="41" spans="1:1" x14ac:dyDescent="0.2">
      <c r="A41" s="133"/>
    </row>
    <row r="42" spans="1:1" x14ac:dyDescent="0.2">
      <c r="A42" s="133"/>
    </row>
    <row r="43" spans="1:1" x14ac:dyDescent="0.2">
      <c r="A43" s="133"/>
    </row>
    <row r="44" spans="1:1" x14ac:dyDescent="0.2">
      <c r="A44" s="133"/>
    </row>
    <row r="45" spans="1:1" x14ac:dyDescent="0.2">
      <c r="A45" s="133"/>
    </row>
    <row r="46" spans="1:1" x14ac:dyDescent="0.2">
      <c r="A46" s="133"/>
    </row>
    <row r="47" spans="1:1" x14ac:dyDescent="0.2">
      <c r="A47" s="133"/>
    </row>
    <row r="48" spans="1:1" x14ac:dyDescent="0.2">
      <c r="A48" s="133"/>
    </row>
    <row r="49" spans="1:1" x14ac:dyDescent="0.2">
      <c r="A49" s="133"/>
    </row>
    <row r="50" spans="1:1" x14ac:dyDescent="0.2">
      <c r="A50" s="133"/>
    </row>
    <row r="51" spans="1:1" x14ac:dyDescent="0.2">
      <c r="A51" s="133"/>
    </row>
    <row r="52" spans="1:1" x14ac:dyDescent="0.2">
      <c r="A52" s="133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7" r:id="rId3" name="Button 1">
              <controlPr defaultSize="0" print="0" autoFill="0" autoPict="0" macro="[0]!btn_ShukujitsuImpport_Click">
                <anchor moveWithCells="1" sizeWithCells="1">
                  <from>
                    <xdr:col>2</xdr:col>
                    <xdr:colOff>50800</xdr:colOff>
                    <xdr:row>0</xdr:row>
                    <xdr:rowOff>31750</xdr:rowOff>
                  </from>
                  <to>
                    <xdr:col>9</xdr:col>
                    <xdr:colOff>590550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T1207"/>
  <sheetViews>
    <sheetView zoomScaleNormal="100" workbookViewId="0">
      <pane xSplit="3" ySplit="1" topLeftCell="D281" activePane="bottomRight" state="frozen"/>
      <selection pane="topRight" activeCell="D1" sqref="D1"/>
      <selection pane="bottomLeft" activeCell="A2" sqref="A2"/>
      <selection pane="bottomRight" activeCell="O28" sqref="O28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17.7265625" customWidth="1"/>
    <col min="5" max="6" width="10.90625" customWidth="1"/>
    <col min="7" max="7" width="10.7265625" customWidth="1"/>
    <col min="8" max="8" width="9.453125" customWidth="1"/>
    <col min="9" max="10" width="10.6328125" customWidth="1"/>
    <col min="11" max="14" width="3.6328125" customWidth="1"/>
    <col min="15" max="15" width="15.08984375" style="111" customWidth="1"/>
    <col min="16" max="18" width="4.08984375" style="9" customWidth="1"/>
    <col min="19" max="19" width="16.6328125" customWidth="1"/>
    <col min="20" max="20" width="7.453125" style="136" customWidth="1"/>
  </cols>
  <sheetData>
    <row r="1" spans="1:20" x14ac:dyDescent="0.2">
      <c r="A1" s="118" t="s">
        <v>7</v>
      </c>
      <c r="B1" s="119" t="s">
        <v>2</v>
      </c>
      <c r="C1" s="119" t="s">
        <v>27</v>
      </c>
      <c r="D1" s="119" t="s">
        <v>26</v>
      </c>
      <c r="E1" s="4" t="s">
        <v>33</v>
      </c>
      <c r="F1" s="4" t="s">
        <v>34</v>
      </c>
      <c r="G1" s="123" t="s">
        <v>109</v>
      </c>
      <c r="H1" s="123" t="s">
        <v>25</v>
      </c>
      <c r="I1" s="119" t="s">
        <v>4</v>
      </c>
      <c r="J1" s="119" t="s">
        <v>3</v>
      </c>
      <c r="K1" s="123" t="s">
        <v>17</v>
      </c>
      <c r="L1" s="123" t="s">
        <v>18</v>
      </c>
      <c r="M1" s="123" t="s">
        <v>16</v>
      </c>
      <c r="N1" s="123" t="s">
        <v>16</v>
      </c>
      <c r="O1" s="162" t="s">
        <v>32</v>
      </c>
      <c r="P1" s="123" t="s">
        <v>29</v>
      </c>
      <c r="Q1" s="123" t="s">
        <v>30</v>
      </c>
      <c r="R1" s="123" t="s">
        <v>31</v>
      </c>
      <c r="S1" s="4" t="s">
        <v>38</v>
      </c>
      <c r="T1" s="4" t="s">
        <v>102</v>
      </c>
    </row>
    <row r="2" spans="1:20" x14ac:dyDescent="0.2">
      <c r="A2" s="2">
        <v>1</v>
      </c>
      <c r="B2" s="110">
        <v>11</v>
      </c>
      <c r="C2" s="110" t="s">
        <v>222</v>
      </c>
      <c r="D2" s="110" t="s">
        <v>223</v>
      </c>
      <c r="E2" s="110"/>
      <c r="F2" s="110"/>
      <c r="G2" s="110" t="str">
        <f>RIGHT(B2,1)</f>
        <v>1</v>
      </c>
      <c r="H2" s="110"/>
      <c r="I2" s="110">
        <v>141.21071900000001</v>
      </c>
      <c r="J2" s="110">
        <v>40.622204000000004</v>
      </c>
      <c r="K2" s="110"/>
      <c r="L2" s="110"/>
      <c r="M2" s="110"/>
      <c r="N2" s="110"/>
      <c r="O2" s="110"/>
      <c r="P2" s="109"/>
      <c r="Q2" s="109"/>
      <c r="R2" s="109"/>
      <c r="S2" s="110" t="s">
        <v>224</v>
      </c>
      <c r="T2" s="135"/>
    </row>
    <row r="3" spans="1:20" x14ac:dyDescent="0.2">
      <c r="A3" s="2">
        <v>2</v>
      </c>
      <c r="B3" s="110">
        <v>21</v>
      </c>
      <c r="C3" s="110" t="s">
        <v>225</v>
      </c>
      <c r="D3" s="110" t="s">
        <v>226</v>
      </c>
      <c r="E3" s="110"/>
      <c r="F3" s="110"/>
      <c r="G3" s="110" t="str">
        <f t="shared" ref="G3:G66" si="0">RIGHT(B3,1)</f>
        <v>1</v>
      </c>
      <c r="H3" s="110"/>
      <c r="I3" s="110">
        <v>141.20932099999999</v>
      </c>
      <c r="J3" s="110">
        <v>40.620359999999998</v>
      </c>
      <c r="K3" s="110"/>
      <c r="L3" s="110"/>
      <c r="M3" s="110"/>
      <c r="N3" s="110"/>
      <c r="O3" s="110"/>
      <c r="P3" s="109"/>
      <c r="Q3" s="109"/>
      <c r="R3" s="109"/>
      <c r="S3" s="110" t="s">
        <v>227</v>
      </c>
      <c r="T3" s="135"/>
    </row>
    <row r="4" spans="1:20" x14ac:dyDescent="0.2">
      <c r="A4" s="2">
        <v>3</v>
      </c>
      <c r="B4" s="110">
        <v>31</v>
      </c>
      <c r="C4" s="110" t="s">
        <v>228</v>
      </c>
      <c r="D4" s="110" t="s">
        <v>229</v>
      </c>
      <c r="E4" s="110"/>
      <c r="F4" s="110"/>
      <c r="G4" s="110" t="str">
        <f t="shared" si="0"/>
        <v>1</v>
      </c>
      <c r="H4" s="110"/>
      <c r="I4" s="110">
        <v>141.21095600000001</v>
      </c>
      <c r="J4" s="110">
        <v>40.618156999999997</v>
      </c>
      <c r="K4" s="110"/>
      <c r="L4" s="110"/>
      <c r="M4" s="110"/>
      <c r="N4" s="110"/>
      <c r="O4" s="110"/>
      <c r="P4" s="109"/>
      <c r="Q4" s="109"/>
      <c r="R4" s="109"/>
      <c r="S4" s="110" t="s">
        <v>230</v>
      </c>
      <c r="T4" s="135"/>
    </row>
    <row r="5" spans="1:20" x14ac:dyDescent="0.2">
      <c r="A5" s="2">
        <v>4</v>
      </c>
      <c r="B5" s="110">
        <v>41</v>
      </c>
      <c r="C5" s="110" t="s">
        <v>231</v>
      </c>
      <c r="D5" s="110" t="s">
        <v>232</v>
      </c>
      <c r="E5" s="110"/>
      <c r="F5" s="110"/>
      <c r="G5" s="110" t="str">
        <f t="shared" si="0"/>
        <v>1</v>
      </c>
      <c r="H5" s="110"/>
      <c r="I5" s="110">
        <v>141.21253899999999</v>
      </c>
      <c r="J5" s="110">
        <v>40.616163</v>
      </c>
      <c r="K5" s="110"/>
      <c r="L5" s="110"/>
      <c r="M5" s="110"/>
      <c r="N5" s="110"/>
      <c r="O5" s="110"/>
      <c r="P5" s="109"/>
      <c r="Q5" s="109"/>
      <c r="R5" s="109"/>
      <c r="S5" s="110" t="s">
        <v>233</v>
      </c>
      <c r="T5" s="135"/>
    </row>
    <row r="6" spans="1:20" x14ac:dyDescent="0.2">
      <c r="A6" s="2">
        <v>5</v>
      </c>
      <c r="B6" s="110">
        <v>51</v>
      </c>
      <c r="C6" s="110" t="s">
        <v>234</v>
      </c>
      <c r="D6" s="110" t="s">
        <v>235</v>
      </c>
      <c r="E6" s="110"/>
      <c r="F6" s="110"/>
      <c r="G6" s="110" t="str">
        <f t="shared" si="0"/>
        <v>1</v>
      </c>
      <c r="H6" s="110"/>
      <c r="I6" s="110">
        <v>141.21475599999999</v>
      </c>
      <c r="J6" s="110">
        <v>40.613311000000003</v>
      </c>
      <c r="K6" s="110"/>
      <c r="L6" s="110"/>
      <c r="M6" s="110"/>
      <c r="N6" s="110"/>
      <c r="O6" s="110"/>
      <c r="P6" s="109"/>
      <c r="Q6" s="109"/>
      <c r="R6" s="109"/>
      <c r="S6" s="110" t="s">
        <v>236</v>
      </c>
      <c r="T6" s="135"/>
    </row>
    <row r="7" spans="1:20" x14ac:dyDescent="0.2">
      <c r="A7" s="2">
        <v>6</v>
      </c>
      <c r="B7" s="110">
        <v>61</v>
      </c>
      <c r="C7" s="110" t="s">
        <v>237</v>
      </c>
      <c r="D7" s="110" t="s">
        <v>238</v>
      </c>
      <c r="E7" s="110"/>
      <c r="F7" s="110"/>
      <c r="G7" s="110" t="str">
        <f t="shared" si="0"/>
        <v>1</v>
      </c>
      <c r="H7" s="110"/>
      <c r="I7" s="110">
        <v>141.21539899999999</v>
      </c>
      <c r="J7" s="110">
        <v>40.612495000000003</v>
      </c>
      <c r="K7" s="110"/>
      <c r="L7" s="110"/>
      <c r="M7" s="110"/>
      <c r="N7" s="110"/>
      <c r="O7" s="110"/>
      <c r="P7" s="109"/>
      <c r="Q7" s="109"/>
      <c r="R7" s="109"/>
      <c r="S7" s="110" t="s">
        <v>239</v>
      </c>
      <c r="T7" s="135"/>
    </row>
    <row r="8" spans="1:20" x14ac:dyDescent="0.2">
      <c r="A8" s="2">
        <v>7</v>
      </c>
      <c r="B8" s="110">
        <v>71</v>
      </c>
      <c r="C8" s="110" t="s">
        <v>240</v>
      </c>
      <c r="D8" s="110" t="s">
        <v>241</v>
      </c>
      <c r="E8" s="110"/>
      <c r="F8" s="110"/>
      <c r="G8" s="110" t="str">
        <f t="shared" si="0"/>
        <v>1</v>
      </c>
      <c r="H8" s="110"/>
      <c r="I8" s="110">
        <v>141.21688800000001</v>
      </c>
      <c r="J8" s="110">
        <v>40.610562999999999</v>
      </c>
      <c r="K8" s="110"/>
      <c r="L8" s="110"/>
      <c r="M8" s="110"/>
      <c r="N8" s="110"/>
      <c r="O8" s="110"/>
      <c r="P8" s="109"/>
      <c r="Q8" s="109"/>
      <c r="R8" s="109"/>
      <c r="S8" s="110" t="s">
        <v>242</v>
      </c>
      <c r="T8" s="135"/>
    </row>
    <row r="9" spans="1:20" x14ac:dyDescent="0.2">
      <c r="A9" s="2">
        <v>8</v>
      </c>
      <c r="B9" s="110">
        <v>81</v>
      </c>
      <c r="C9" s="110" t="s">
        <v>243</v>
      </c>
      <c r="D9" s="110" t="s">
        <v>244</v>
      </c>
      <c r="E9" s="110"/>
      <c r="F9" s="110"/>
      <c r="G9" s="110" t="str">
        <f t="shared" si="0"/>
        <v>1</v>
      </c>
      <c r="H9" s="110"/>
      <c r="I9" s="110">
        <v>141.22130899999999</v>
      </c>
      <c r="J9" s="110">
        <v>40.612170999999996</v>
      </c>
      <c r="K9" s="110"/>
      <c r="L9" s="110"/>
      <c r="M9" s="110"/>
      <c r="N9" s="110"/>
      <c r="O9" s="110"/>
      <c r="P9" s="109"/>
      <c r="Q9" s="109"/>
      <c r="R9" s="109"/>
      <c r="S9" t="s">
        <v>245</v>
      </c>
      <c r="T9" s="135"/>
    </row>
    <row r="10" spans="1:20" x14ac:dyDescent="0.2">
      <c r="A10" s="2">
        <v>9</v>
      </c>
      <c r="B10" s="110">
        <v>91</v>
      </c>
      <c r="C10" s="110" t="s">
        <v>246</v>
      </c>
      <c r="D10" s="110" t="s">
        <v>247</v>
      </c>
      <c r="E10" s="110"/>
      <c r="F10" s="110"/>
      <c r="G10" s="110" t="str">
        <f t="shared" si="0"/>
        <v>1</v>
      </c>
      <c r="H10" s="110"/>
      <c r="I10" s="110">
        <v>141.23033899999999</v>
      </c>
      <c r="J10" s="110">
        <v>40.614125999999999</v>
      </c>
      <c r="K10" s="110"/>
      <c r="L10" s="110"/>
      <c r="M10" s="110"/>
      <c r="N10" s="110"/>
      <c r="O10" s="110"/>
      <c r="P10" s="109"/>
      <c r="Q10" s="109"/>
      <c r="R10" s="109"/>
      <c r="S10" s="110" t="s">
        <v>248</v>
      </c>
      <c r="T10" s="135"/>
    </row>
    <row r="11" spans="1:20" x14ac:dyDescent="0.2">
      <c r="A11" s="2">
        <v>10</v>
      </c>
      <c r="B11" s="110">
        <v>101</v>
      </c>
      <c r="C11" s="110" t="s">
        <v>249</v>
      </c>
      <c r="D11" s="110" t="s">
        <v>250</v>
      </c>
      <c r="E11" s="110"/>
      <c r="F11" s="110"/>
      <c r="G11" s="110" t="str">
        <f t="shared" si="0"/>
        <v>1</v>
      </c>
      <c r="H11" s="110"/>
      <c r="I11" s="110">
        <v>141.238089</v>
      </c>
      <c r="J11" s="110">
        <v>40.613999999999997</v>
      </c>
      <c r="K11" s="110"/>
      <c r="L11" s="110"/>
      <c r="M11" s="110"/>
      <c r="N11" s="110"/>
      <c r="O11" s="110"/>
      <c r="P11" s="109"/>
      <c r="Q11" s="109"/>
      <c r="R11" s="109"/>
      <c r="S11" s="110" t="s">
        <v>251</v>
      </c>
      <c r="T11" s="135"/>
    </row>
    <row r="12" spans="1:20" x14ac:dyDescent="0.2">
      <c r="A12" s="2">
        <v>11</v>
      </c>
      <c r="B12" s="110">
        <v>111</v>
      </c>
      <c r="C12" s="110" t="s">
        <v>252</v>
      </c>
      <c r="D12" s="110" t="s">
        <v>253</v>
      </c>
      <c r="E12" s="110"/>
      <c r="F12" s="110"/>
      <c r="G12" s="110" t="str">
        <f t="shared" si="0"/>
        <v>1</v>
      </c>
      <c r="H12" s="110"/>
      <c r="I12" s="110">
        <v>141.24237199999999</v>
      </c>
      <c r="J12" s="110">
        <v>40.613961000000003</v>
      </c>
      <c r="K12" s="110"/>
      <c r="L12" s="110"/>
      <c r="M12" s="110"/>
      <c r="N12" s="110"/>
      <c r="O12" s="110"/>
      <c r="P12" s="109"/>
      <c r="Q12" s="109"/>
      <c r="R12" s="109"/>
      <c r="S12" s="110" t="s">
        <v>254</v>
      </c>
      <c r="T12" s="135"/>
    </row>
    <row r="13" spans="1:20" x14ac:dyDescent="0.2">
      <c r="A13" s="2">
        <v>12</v>
      </c>
      <c r="B13" s="110">
        <v>121</v>
      </c>
      <c r="C13" s="110" t="s">
        <v>255</v>
      </c>
      <c r="D13" s="110" t="s">
        <v>256</v>
      </c>
      <c r="E13" s="110"/>
      <c r="F13" s="110"/>
      <c r="G13" s="110" t="str">
        <f t="shared" si="0"/>
        <v>1</v>
      </c>
      <c r="H13" s="110"/>
      <c r="I13" s="110">
        <v>141.24935300000001</v>
      </c>
      <c r="J13" s="110">
        <v>40.613816999999997</v>
      </c>
      <c r="K13" s="110"/>
      <c r="L13" s="110"/>
      <c r="M13" s="110"/>
      <c r="N13" s="110"/>
      <c r="O13" s="110"/>
      <c r="P13" s="109"/>
      <c r="Q13" s="109"/>
      <c r="R13" s="109"/>
      <c r="S13" s="110" t="s">
        <v>257</v>
      </c>
      <c r="T13" s="135"/>
    </row>
    <row r="14" spans="1:20" x14ac:dyDescent="0.2">
      <c r="A14" s="2">
        <v>13</v>
      </c>
      <c r="B14" s="110">
        <v>131</v>
      </c>
      <c r="C14" s="110" t="s">
        <v>258</v>
      </c>
      <c r="D14" s="110" t="s">
        <v>259</v>
      </c>
      <c r="E14" s="110"/>
      <c r="F14" s="110"/>
      <c r="G14" s="110" t="str">
        <f t="shared" si="0"/>
        <v>1</v>
      </c>
      <c r="H14" s="110"/>
      <c r="I14" s="110">
        <v>141.258554</v>
      </c>
      <c r="J14" s="110">
        <v>40.612676999999998</v>
      </c>
      <c r="K14" s="110"/>
      <c r="L14" s="110"/>
      <c r="M14" s="110"/>
      <c r="N14" s="110"/>
      <c r="O14" s="110"/>
      <c r="P14" s="109"/>
      <c r="Q14" s="109"/>
      <c r="R14" s="109"/>
      <c r="S14" s="110"/>
      <c r="T14" s="135"/>
    </row>
    <row r="15" spans="1:20" x14ac:dyDescent="0.2">
      <c r="A15" s="2">
        <v>14</v>
      </c>
      <c r="B15" s="110">
        <v>141</v>
      </c>
      <c r="C15" s="110" t="s">
        <v>260</v>
      </c>
      <c r="D15" s="110" t="s">
        <v>261</v>
      </c>
      <c r="E15" s="110"/>
      <c r="F15" s="110"/>
      <c r="G15" s="110" t="str">
        <f t="shared" si="0"/>
        <v>1</v>
      </c>
      <c r="H15" s="110"/>
      <c r="I15" s="110">
        <v>141.264409</v>
      </c>
      <c r="J15" s="110">
        <v>40.611922999999997</v>
      </c>
      <c r="K15" s="110"/>
      <c r="L15" s="110"/>
      <c r="M15" s="110"/>
      <c r="N15" s="110"/>
      <c r="O15" s="110"/>
      <c r="P15" s="109"/>
      <c r="Q15" s="109"/>
      <c r="R15" s="109"/>
      <c r="S15" s="110"/>
      <c r="T15" s="135"/>
    </row>
    <row r="16" spans="1:20" x14ac:dyDescent="0.2">
      <c r="A16" s="2">
        <v>15</v>
      </c>
      <c r="B16" s="110">
        <v>151</v>
      </c>
      <c r="C16" s="110" t="s">
        <v>262</v>
      </c>
      <c r="D16" s="110" t="s">
        <v>263</v>
      </c>
      <c r="E16" s="110"/>
      <c r="F16" s="110"/>
      <c r="G16" s="110" t="str">
        <f t="shared" si="0"/>
        <v>1</v>
      </c>
      <c r="H16" s="110"/>
      <c r="I16" s="110">
        <v>141.27472399999999</v>
      </c>
      <c r="J16" s="110">
        <v>40.610602</v>
      </c>
      <c r="K16" s="110"/>
      <c r="L16" s="110"/>
      <c r="M16" s="110"/>
      <c r="N16" s="110"/>
      <c r="O16" s="110"/>
      <c r="P16" s="109"/>
      <c r="Q16" s="109"/>
      <c r="R16" s="109"/>
      <c r="S16" s="110"/>
      <c r="T16" s="135"/>
    </row>
    <row r="17" spans="1:20" x14ac:dyDescent="0.2">
      <c r="A17" s="2">
        <v>16</v>
      </c>
      <c r="B17" s="110">
        <v>161</v>
      </c>
      <c r="C17" s="110" t="s">
        <v>264</v>
      </c>
      <c r="D17" s="110" t="s">
        <v>265</v>
      </c>
      <c r="E17" s="110"/>
      <c r="F17" s="110"/>
      <c r="G17" s="110" t="str">
        <f t="shared" si="0"/>
        <v>1</v>
      </c>
      <c r="H17" s="110"/>
      <c r="I17" s="110">
        <v>141.286574</v>
      </c>
      <c r="J17" s="110">
        <v>40.607785999999997</v>
      </c>
      <c r="K17" s="110"/>
      <c r="L17" s="110"/>
      <c r="M17" s="110"/>
      <c r="N17" s="110"/>
      <c r="O17" s="110"/>
      <c r="P17" s="109"/>
      <c r="Q17" s="109"/>
      <c r="R17" s="109"/>
      <c r="S17" s="110"/>
      <c r="T17" s="135"/>
    </row>
    <row r="18" spans="1:20" x14ac:dyDescent="0.2">
      <c r="A18" s="2">
        <v>17</v>
      </c>
      <c r="B18" s="110">
        <v>171</v>
      </c>
      <c r="C18" s="110" t="s">
        <v>266</v>
      </c>
      <c r="D18" s="110" t="s">
        <v>267</v>
      </c>
      <c r="E18" s="110"/>
      <c r="F18" s="110"/>
      <c r="G18" s="110" t="str">
        <f t="shared" si="0"/>
        <v>1</v>
      </c>
      <c r="H18" s="110"/>
      <c r="I18" s="110">
        <v>141.29516799999999</v>
      </c>
      <c r="J18" s="110">
        <v>40.604221000000003</v>
      </c>
      <c r="K18" s="110"/>
      <c r="L18" s="110"/>
      <c r="M18" s="110"/>
      <c r="N18" s="110"/>
      <c r="O18" s="110"/>
      <c r="P18" s="109"/>
      <c r="Q18" s="109"/>
      <c r="R18" s="109"/>
      <c r="S18" s="110"/>
      <c r="T18" s="135"/>
    </row>
    <row r="19" spans="1:20" x14ac:dyDescent="0.2">
      <c r="A19" s="2">
        <v>18</v>
      </c>
      <c r="B19" s="110">
        <v>181</v>
      </c>
      <c r="C19" s="110" t="s">
        <v>268</v>
      </c>
      <c r="D19" s="191" t="s">
        <v>269</v>
      </c>
      <c r="E19" s="110"/>
      <c r="F19" s="110"/>
      <c r="G19" s="110" t="str">
        <f t="shared" si="0"/>
        <v>1</v>
      </c>
      <c r="H19" s="110"/>
      <c r="I19" s="110">
        <v>141.302829</v>
      </c>
      <c r="J19" s="110">
        <v>40.601756999999999</v>
      </c>
      <c r="K19" s="110"/>
      <c r="L19" s="110"/>
      <c r="M19" s="110"/>
      <c r="N19" s="110"/>
      <c r="O19" s="110"/>
      <c r="P19" s="109"/>
      <c r="Q19" s="109"/>
      <c r="R19" s="109"/>
      <c r="S19" s="110"/>
      <c r="T19" s="135"/>
    </row>
    <row r="20" spans="1:20" x14ac:dyDescent="0.2">
      <c r="A20" s="2">
        <v>19</v>
      </c>
      <c r="B20" s="110">
        <v>191</v>
      </c>
      <c r="C20" s="110" t="s">
        <v>270</v>
      </c>
      <c r="D20" s="110" t="s">
        <v>271</v>
      </c>
      <c r="E20" s="110"/>
      <c r="F20" s="110"/>
      <c r="G20" s="110" t="str">
        <f t="shared" si="0"/>
        <v>1</v>
      </c>
      <c r="H20" s="110"/>
      <c r="I20" s="110">
        <v>141.309684</v>
      </c>
      <c r="J20" s="110">
        <v>40.600906000000002</v>
      </c>
      <c r="K20" s="110"/>
      <c r="L20" s="110"/>
      <c r="M20" s="110"/>
      <c r="N20" s="110"/>
      <c r="O20" s="110"/>
      <c r="P20" s="109"/>
      <c r="Q20" s="109"/>
      <c r="R20" s="109"/>
      <c r="S20" s="110"/>
      <c r="T20" s="135"/>
    </row>
    <row r="21" spans="1:20" x14ac:dyDescent="0.2">
      <c r="A21" s="2">
        <v>20</v>
      </c>
      <c r="B21" s="110">
        <v>201</v>
      </c>
      <c r="C21" s="110" t="s">
        <v>272</v>
      </c>
      <c r="D21" s="110" t="s">
        <v>273</v>
      </c>
      <c r="E21" s="110"/>
      <c r="F21" s="110"/>
      <c r="G21" s="110" t="str">
        <f t="shared" si="0"/>
        <v>1</v>
      </c>
      <c r="H21" s="110"/>
      <c r="I21" s="110">
        <v>141.322586</v>
      </c>
      <c r="J21" s="110">
        <v>40.603949999999998</v>
      </c>
      <c r="K21" s="110"/>
      <c r="L21" s="110"/>
      <c r="M21" s="110"/>
      <c r="N21" s="110"/>
      <c r="O21" s="110"/>
      <c r="P21" s="109"/>
      <c r="Q21" s="109"/>
      <c r="R21" s="109"/>
      <c r="S21" s="110"/>
      <c r="T21" s="135"/>
    </row>
    <row r="22" spans="1:20" x14ac:dyDescent="0.2">
      <c r="A22" s="2">
        <v>21</v>
      </c>
      <c r="B22" s="110">
        <v>211</v>
      </c>
      <c r="C22" s="110" t="s">
        <v>274</v>
      </c>
      <c r="D22" s="110" t="s">
        <v>275</v>
      </c>
      <c r="E22" s="110"/>
      <c r="F22" s="110"/>
      <c r="G22" s="110" t="str">
        <f t="shared" si="0"/>
        <v>1</v>
      </c>
      <c r="H22" s="110"/>
      <c r="I22" s="110">
        <v>141.32581500000001</v>
      </c>
      <c r="J22" s="110">
        <v>40.603844000000002</v>
      </c>
      <c r="K22" s="110"/>
      <c r="L22" s="110"/>
      <c r="M22" s="110"/>
      <c r="N22" s="110"/>
      <c r="O22" s="110"/>
      <c r="P22" s="109"/>
      <c r="Q22" s="109"/>
      <c r="R22" s="109"/>
      <c r="S22" s="110"/>
      <c r="T22" s="135"/>
    </row>
    <row r="23" spans="1:20" x14ac:dyDescent="0.2">
      <c r="A23" s="2">
        <v>22</v>
      </c>
      <c r="B23" s="110">
        <v>221</v>
      </c>
      <c r="C23" s="110" t="s">
        <v>276</v>
      </c>
      <c r="D23" s="110" t="s">
        <v>277</v>
      </c>
      <c r="E23" s="110"/>
      <c r="F23" s="110"/>
      <c r="G23" s="110" t="str">
        <f t="shared" si="0"/>
        <v>1</v>
      </c>
      <c r="H23" s="110"/>
      <c r="I23" s="110">
        <v>141.32906299999999</v>
      </c>
      <c r="J23" s="110">
        <v>40.603734000000003</v>
      </c>
      <c r="K23" s="110"/>
      <c r="L23" s="110"/>
      <c r="M23" s="110"/>
      <c r="N23" s="110"/>
      <c r="O23" s="110"/>
      <c r="P23" s="109"/>
      <c r="Q23" s="109"/>
      <c r="R23" s="109"/>
      <c r="S23" s="110"/>
      <c r="T23" s="135"/>
    </row>
    <row r="24" spans="1:20" x14ac:dyDescent="0.2">
      <c r="A24" s="2">
        <v>23</v>
      </c>
      <c r="B24" s="110">
        <v>231</v>
      </c>
      <c r="C24" s="110" t="s">
        <v>278</v>
      </c>
      <c r="D24" s="110" t="s">
        <v>279</v>
      </c>
      <c r="E24" s="110"/>
      <c r="F24" s="110"/>
      <c r="G24" s="110" t="str">
        <f t="shared" si="0"/>
        <v>1</v>
      </c>
      <c r="H24" s="110"/>
      <c r="I24" s="110">
        <v>141.33892800000001</v>
      </c>
      <c r="J24" s="110">
        <v>40.603943999999998</v>
      </c>
      <c r="K24" s="110"/>
      <c r="L24" s="110"/>
      <c r="M24" s="110"/>
      <c r="N24" s="110"/>
      <c r="O24" s="110"/>
      <c r="P24" s="109"/>
      <c r="Q24" s="109"/>
      <c r="R24" s="109"/>
      <c r="S24" s="110"/>
      <c r="T24" s="135"/>
    </row>
    <row r="25" spans="1:20" x14ac:dyDescent="0.2">
      <c r="A25" s="2">
        <v>24</v>
      </c>
      <c r="B25" s="110">
        <v>241</v>
      </c>
      <c r="C25" s="110" t="s">
        <v>280</v>
      </c>
      <c r="D25" s="110" t="s">
        <v>281</v>
      </c>
      <c r="E25" s="110"/>
      <c r="F25" s="110"/>
      <c r="G25" s="110" t="str">
        <f t="shared" si="0"/>
        <v>1</v>
      </c>
      <c r="H25" s="110"/>
      <c r="I25" s="110">
        <v>141.34651400000001</v>
      </c>
      <c r="J25" s="110">
        <v>40.602449</v>
      </c>
      <c r="K25" s="110"/>
      <c r="L25" s="110"/>
      <c r="M25" s="110"/>
      <c r="N25" s="110"/>
      <c r="O25" s="110"/>
      <c r="P25" s="109"/>
      <c r="Q25" s="109"/>
      <c r="R25" s="109"/>
      <c r="S25" s="110"/>
      <c r="T25" s="135"/>
    </row>
    <row r="26" spans="1:20" x14ac:dyDescent="0.2">
      <c r="A26" s="2">
        <v>25</v>
      </c>
      <c r="B26" s="110">
        <v>251</v>
      </c>
      <c r="C26" s="110" t="s">
        <v>282</v>
      </c>
      <c r="D26" s="192" t="s">
        <v>283</v>
      </c>
      <c r="E26" s="110"/>
      <c r="F26" s="110"/>
      <c r="G26" s="110" t="str">
        <f t="shared" si="0"/>
        <v>1</v>
      </c>
      <c r="H26" s="110"/>
      <c r="I26" s="110">
        <v>141.350854</v>
      </c>
      <c r="J26" s="110">
        <v>40.603403</v>
      </c>
      <c r="K26" s="110"/>
      <c r="L26" s="110"/>
      <c r="M26" s="110"/>
      <c r="N26" s="110"/>
      <c r="O26" s="110"/>
      <c r="P26" s="109"/>
      <c r="Q26" s="109"/>
      <c r="R26" s="109"/>
      <c r="S26" s="110"/>
      <c r="T26" s="135"/>
    </row>
    <row r="27" spans="1:20" x14ac:dyDescent="0.2">
      <c r="A27" s="2">
        <v>26</v>
      </c>
      <c r="B27" s="110">
        <v>261</v>
      </c>
      <c r="C27" s="110" t="s">
        <v>284</v>
      </c>
      <c r="D27" s="110" t="s">
        <v>285</v>
      </c>
      <c r="E27" s="110"/>
      <c r="F27" s="110"/>
      <c r="G27" s="110" t="str">
        <f t="shared" si="0"/>
        <v>1</v>
      </c>
      <c r="H27" s="110"/>
      <c r="I27" s="110">
        <v>141.35754700000001</v>
      </c>
      <c r="J27" s="110">
        <v>40.605504000000003</v>
      </c>
      <c r="K27" s="110"/>
      <c r="L27" s="110"/>
      <c r="M27" s="110"/>
      <c r="N27" s="110"/>
      <c r="O27" s="110"/>
      <c r="P27" s="109"/>
      <c r="Q27" s="109"/>
      <c r="R27" s="109"/>
      <c r="S27" s="110"/>
      <c r="T27" s="135"/>
    </row>
    <row r="28" spans="1:20" x14ac:dyDescent="0.2">
      <c r="A28" s="2">
        <v>27</v>
      </c>
      <c r="B28" s="110">
        <v>271</v>
      </c>
      <c r="C28" s="110" t="s">
        <v>286</v>
      </c>
      <c r="D28" s="110" t="s">
        <v>287</v>
      </c>
      <c r="E28" s="110"/>
      <c r="F28" s="110"/>
      <c r="G28" s="110" t="str">
        <f t="shared" si="0"/>
        <v>1</v>
      </c>
      <c r="H28" s="110"/>
      <c r="I28" s="110">
        <v>141.37400600000001</v>
      </c>
      <c r="J28" s="110">
        <v>40.605806999999999</v>
      </c>
      <c r="K28" s="110"/>
      <c r="L28" s="110"/>
      <c r="M28" s="110"/>
      <c r="N28" s="110"/>
      <c r="O28" s="110"/>
      <c r="P28" s="109"/>
      <c r="Q28" s="109"/>
      <c r="R28" s="109"/>
      <c r="S28" s="110"/>
      <c r="T28" s="135"/>
    </row>
    <row r="29" spans="1:20" x14ac:dyDescent="0.2">
      <c r="A29" s="2">
        <v>28</v>
      </c>
      <c r="B29" s="110">
        <v>281</v>
      </c>
      <c r="C29" s="110" t="s">
        <v>288</v>
      </c>
      <c r="D29" s="110" t="s">
        <v>289</v>
      </c>
      <c r="E29" s="110"/>
      <c r="F29" s="110"/>
      <c r="G29" s="110" t="str">
        <f t="shared" si="0"/>
        <v>1</v>
      </c>
      <c r="H29" s="110"/>
      <c r="I29" s="110">
        <v>141.37715499999999</v>
      </c>
      <c r="J29" s="110">
        <v>40.605370999999998</v>
      </c>
      <c r="K29" s="110"/>
      <c r="L29" s="110"/>
      <c r="M29" s="110"/>
      <c r="N29" s="110"/>
      <c r="O29" s="110"/>
      <c r="P29" s="109"/>
      <c r="Q29" s="109"/>
      <c r="R29" s="109"/>
      <c r="S29" s="110"/>
      <c r="T29" s="135"/>
    </row>
    <row r="30" spans="1:20" x14ac:dyDescent="0.2">
      <c r="A30" s="2">
        <v>29</v>
      </c>
      <c r="B30" s="110">
        <v>291</v>
      </c>
      <c r="C30" s="110" t="s">
        <v>290</v>
      </c>
      <c r="D30" s="110" t="s">
        <v>291</v>
      </c>
      <c r="E30" s="110"/>
      <c r="F30" s="110"/>
      <c r="G30" s="110" t="str">
        <f t="shared" si="0"/>
        <v>1</v>
      </c>
      <c r="H30" s="110"/>
      <c r="I30" s="193">
        <v>141.38690800000001</v>
      </c>
      <c r="J30" s="193">
        <v>40.604230000000001</v>
      </c>
      <c r="K30" s="110"/>
      <c r="L30" s="110"/>
      <c r="M30" s="110"/>
      <c r="N30" s="110"/>
      <c r="O30" s="110"/>
      <c r="P30" s="109"/>
      <c r="Q30" s="109"/>
      <c r="R30" s="109"/>
      <c r="S30" s="110"/>
      <c r="T30" s="135"/>
    </row>
    <row r="31" spans="1:20" x14ac:dyDescent="0.2">
      <c r="A31" s="2">
        <v>30</v>
      </c>
      <c r="B31" s="110">
        <v>301</v>
      </c>
      <c r="C31" s="110" t="s">
        <v>292</v>
      </c>
      <c r="D31" s="191" t="s">
        <v>293</v>
      </c>
      <c r="E31" s="110"/>
      <c r="F31" s="110"/>
      <c r="G31" s="110" t="str">
        <f t="shared" si="0"/>
        <v>1</v>
      </c>
      <c r="H31" s="110"/>
      <c r="I31" s="193">
        <v>141.386076</v>
      </c>
      <c r="J31" s="193">
        <v>40.602245000000003</v>
      </c>
      <c r="K31" s="110"/>
      <c r="L31" s="110"/>
      <c r="M31" s="110"/>
      <c r="N31" s="110"/>
      <c r="O31" s="110"/>
      <c r="P31" s="109"/>
      <c r="Q31" s="109"/>
      <c r="R31" s="109"/>
      <c r="S31" s="110"/>
      <c r="T31" s="135"/>
    </row>
    <row r="32" spans="1:20" x14ac:dyDescent="0.2">
      <c r="A32" s="2">
        <v>31</v>
      </c>
      <c r="B32" s="110">
        <v>311</v>
      </c>
      <c r="C32" s="110" t="s">
        <v>294</v>
      </c>
      <c r="D32" s="110" t="s">
        <v>295</v>
      </c>
      <c r="E32" s="110"/>
      <c r="F32" s="110"/>
      <c r="G32" s="110" t="str">
        <f t="shared" si="0"/>
        <v>1</v>
      </c>
      <c r="H32" s="110"/>
      <c r="I32" s="110">
        <v>141.39229599999999</v>
      </c>
      <c r="J32" s="110">
        <v>40.598213999999999</v>
      </c>
      <c r="K32" s="110"/>
      <c r="L32" s="110"/>
      <c r="M32" s="110"/>
      <c r="N32" s="110"/>
      <c r="O32" s="110"/>
      <c r="P32" s="109"/>
      <c r="Q32" s="109"/>
      <c r="R32" s="109"/>
      <c r="S32" s="110"/>
      <c r="T32" s="135"/>
    </row>
    <row r="33" spans="1:20" x14ac:dyDescent="0.2">
      <c r="A33" s="2">
        <v>32</v>
      </c>
      <c r="B33" s="110">
        <v>321</v>
      </c>
      <c r="C33" s="110" t="s">
        <v>296</v>
      </c>
      <c r="D33" s="191" t="s">
        <v>297</v>
      </c>
      <c r="E33" s="110"/>
      <c r="F33" s="110"/>
      <c r="G33" s="110" t="str">
        <f t="shared" si="0"/>
        <v>1</v>
      </c>
      <c r="H33" s="110"/>
      <c r="I33" s="110">
        <v>141.39804699999999</v>
      </c>
      <c r="J33" s="110">
        <v>40.598520000000001</v>
      </c>
      <c r="K33" s="110"/>
      <c r="L33" s="110"/>
      <c r="M33" s="110"/>
      <c r="N33" s="110"/>
      <c r="O33" s="110"/>
      <c r="P33" s="109"/>
      <c r="Q33" s="109"/>
      <c r="R33" s="109"/>
      <c r="S33" s="110"/>
      <c r="T33" s="135"/>
    </row>
    <row r="34" spans="1:20" x14ac:dyDescent="0.2">
      <c r="A34" s="2">
        <v>33</v>
      </c>
      <c r="B34" s="110">
        <v>331</v>
      </c>
      <c r="C34" s="110" t="s">
        <v>298</v>
      </c>
      <c r="D34" s="110" t="s">
        <v>299</v>
      </c>
      <c r="E34" s="110"/>
      <c r="F34" s="110"/>
      <c r="G34" s="110" t="str">
        <f t="shared" si="0"/>
        <v>1</v>
      </c>
      <c r="H34" s="110"/>
      <c r="I34" s="110">
        <v>141.40112099999999</v>
      </c>
      <c r="J34" s="110">
        <v>40.598030999999999</v>
      </c>
      <c r="K34" s="110"/>
      <c r="L34" s="110"/>
      <c r="M34" s="110"/>
      <c r="N34" s="110"/>
      <c r="O34" s="110"/>
      <c r="P34" s="109"/>
      <c r="Q34" s="109"/>
      <c r="R34" s="109"/>
      <c r="S34" s="110"/>
      <c r="T34" s="135"/>
    </row>
    <row r="35" spans="1:20" x14ac:dyDescent="0.2">
      <c r="A35" s="2">
        <v>34</v>
      </c>
      <c r="B35" s="110">
        <v>341</v>
      </c>
      <c r="C35" s="110" t="s">
        <v>300</v>
      </c>
      <c r="D35" s="110" t="s">
        <v>301</v>
      </c>
      <c r="E35" s="110"/>
      <c r="F35" s="110"/>
      <c r="G35" s="110" t="str">
        <f t="shared" si="0"/>
        <v>1</v>
      </c>
      <c r="H35" s="110"/>
      <c r="I35" s="110">
        <v>141.407939</v>
      </c>
      <c r="J35" s="110">
        <v>40.592233999999998</v>
      </c>
      <c r="K35" s="110"/>
      <c r="L35" s="110"/>
      <c r="M35" s="110"/>
      <c r="N35" s="110"/>
      <c r="O35" s="110"/>
      <c r="P35" s="109"/>
      <c r="Q35" s="109"/>
      <c r="R35" s="109"/>
      <c r="S35" s="110"/>
      <c r="T35" s="135"/>
    </row>
    <row r="36" spans="1:20" x14ac:dyDescent="0.2">
      <c r="A36" s="2">
        <v>35</v>
      </c>
      <c r="B36" s="110">
        <v>332</v>
      </c>
      <c r="C36" s="110" t="s">
        <v>298</v>
      </c>
      <c r="D36" s="110" t="s">
        <v>299</v>
      </c>
      <c r="E36" s="110"/>
      <c r="F36" s="110"/>
      <c r="G36" s="110" t="str">
        <f t="shared" si="0"/>
        <v>2</v>
      </c>
      <c r="H36" s="110"/>
      <c r="I36" s="110">
        <v>141.40101899999999</v>
      </c>
      <c r="J36" s="110">
        <v>40.597957000000001</v>
      </c>
      <c r="K36" s="110"/>
      <c r="L36" s="110"/>
      <c r="M36" s="110"/>
      <c r="N36" s="110"/>
      <c r="O36" s="110"/>
      <c r="P36" s="109"/>
      <c r="Q36" s="109"/>
      <c r="R36" s="109"/>
      <c r="S36" s="110"/>
      <c r="T36" s="135"/>
    </row>
    <row r="37" spans="1:20" x14ac:dyDescent="0.2">
      <c r="A37" s="2">
        <v>36</v>
      </c>
      <c r="B37" s="110">
        <v>351</v>
      </c>
      <c r="C37" s="110" t="s">
        <v>302</v>
      </c>
      <c r="D37" s="110" t="s">
        <v>303</v>
      </c>
      <c r="E37" s="110"/>
      <c r="F37" s="110"/>
      <c r="G37" s="110" t="str">
        <f t="shared" si="0"/>
        <v>1</v>
      </c>
      <c r="H37" s="110"/>
      <c r="I37" s="110">
        <v>141.39683500000001</v>
      </c>
      <c r="J37" s="110">
        <v>40.601534000000001</v>
      </c>
      <c r="K37" s="110"/>
      <c r="L37" s="110"/>
      <c r="M37" s="110"/>
      <c r="N37" s="110"/>
      <c r="O37" s="110"/>
      <c r="P37" s="109"/>
      <c r="Q37" s="109"/>
      <c r="R37" s="109"/>
      <c r="S37" s="110"/>
      <c r="T37" s="135"/>
    </row>
    <row r="38" spans="1:20" x14ac:dyDescent="0.2">
      <c r="A38" s="2">
        <v>37</v>
      </c>
      <c r="B38" s="110">
        <v>361</v>
      </c>
      <c r="C38" s="110" t="s">
        <v>304</v>
      </c>
      <c r="D38" s="110" t="s">
        <v>305</v>
      </c>
      <c r="E38" s="110"/>
      <c r="F38" s="110"/>
      <c r="G38" s="110" t="str">
        <f t="shared" si="0"/>
        <v>1</v>
      </c>
      <c r="H38" s="110"/>
      <c r="I38" s="110">
        <v>141.39918700000001</v>
      </c>
      <c r="J38" s="110">
        <v>40.604543</v>
      </c>
      <c r="K38" s="110"/>
      <c r="L38" s="110"/>
      <c r="M38" s="110"/>
      <c r="N38" s="110"/>
      <c r="O38" s="110"/>
      <c r="P38" s="109"/>
      <c r="Q38" s="109"/>
      <c r="R38" s="109"/>
      <c r="S38" s="110"/>
      <c r="T38" s="135"/>
    </row>
    <row r="39" spans="1:20" x14ac:dyDescent="0.2">
      <c r="A39" s="2">
        <v>38</v>
      </c>
      <c r="B39" s="110">
        <v>371</v>
      </c>
      <c r="C39" s="110" t="s">
        <v>306</v>
      </c>
      <c r="D39" s="110" t="s">
        <v>307</v>
      </c>
      <c r="E39" s="110"/>
      <c r="F39" s="110"/>
      <c r="G39" s="110" t="str">
        <f t="shared" si="0"/>
        <v>1</v>
      </c>
      <c r="H39" s="110"/>
      <c r="I39" s="110">
        <v>141.409819</v>
      </c>
      <c r="J39" s="110">
        <v>40.602455999999997</v>
      </c>
      <c r="K39" s="110"/>
      <c r="L39" s="110"/>
      <c r="M39" s="110"/>
      <c r="N39" s="110"/>
      <c r="O39" s="110"/>
      <c r="P39" s="109"/>
      <c r="Q39" s="109"/>
      <c r="R39" s="109"/>
      <c r="S39" s="110"/>
      <c r="T39" s="135"/>
    </row>
    <row r="40" spans="1:20" x14ac:dyDescent="0.2">
      <c r="A40" s="2">
        <v>39</v>
      </c>
      <c r="B40" s="110">
        <v>381</v>
      </c>
      <c r="C40" s="110" t="s">
        <v>308</v>
      </c>
      <c r="D40" s="110" t="s">
        <v>309</v>
      </c>
      <c r="E40" s="110"/>
      <c r="F40" s="110"/>
      <c r="G40" s="110" t="str">
        <f t="shared" si="0"/>
        <v>1</v>
      </c>
      <c r="H40" s="110"/>
      <c r="I40" s="110">
        <v>141.41720100000001</v>
      </c>
      <c r="J40" s="110">
        <v>40.599739</v>
      </c>
      <c r="K40" s="110"/>
      <c r="L40" s="110"/>
      <c r="M40" s="110"/>
      <c r="N40" s="110"/>
      <c r="O40" s="110"/>
      <c r="P40" s="109"/>
      <c r="Q40" s="109"/>
      <c r="R40" s="109"/>
      <c r="S40" s="110"/>
      <c r="T40" s="135"/>
    </row>
    <row r="41" spans="1:20" x14ac:dyDescent="0.2">
      <c r="A41" s="2">
        <v>40</v>
      </c>
      <c r="B41" s="110">
        <v>391</v>
      </c>
      <c r="C41" s="110" t="s">
        <v>310</v>
      </c>
      <c r="D41" s="110" t="s">
        <v>311</v>
      </c>
      <c r="E41" s="110"/>
      <c r="F41" s="110"/>
      <c r="G41" s="110" t="str">
        <f t="shared" si="0"/>
        <v>1</v>
      </c>
      <c r="H41" s="110"/>
      <c r="I41" s="110">
        <v>141.43051199999999</v>
      </c>
      <c r="J41" s="110">
        <v>40.598993</v>
      </c>
      <c r="K41" s="110"/>
      <c r="L41" s="110"/>
      <c r="M41" s="110"/>
      <c r="N41" s="110"/>
      <c r="O41" s="110"/>
      <c r="P41" s="109"/>
      <c r="Q41" s="109"/>
      <c r="R41" s="109"/>
      <c r="S41" s="110"/>
      <c r="T41" s="135"/>
    </row>
    <row r="42" spans="1:20" x14ac:dyDescent="0.2">
      <c r="A42" s="2">
        <v>41</v>
      </c>
      <c r="B42" s="110">
        <v>401</v>
      </c>
      <c r="C42" s="110" t="s">
        <v>312</v>
      </c>
      <c r="D42" s="110" t="s">
        <v>313</v>
      </c>
      <c r="E42" s="110"/>
      <c r="F42" s="110"/>
      <c r="G42" s="110" t="str">
        <f t="shared" si="0"/>
        <v>1</v>
      </c>
      <c r="H42" s="110"/>
      <c r="I42" s="110">
        <v>141.43024700000001</v>
      </c>
      <c r="J42" s="110">
        <v>40.597265</v>
      </c>
      <c r="K42" s="110"/>
      <c r="L42" s="110"/>
      <c r="M42" s="110"/>
      <c r="N42" s="110"/>
      <c r="O42" s="110"/>
      <c r="P42" s="109"/>
      <c r="Q42" s="109"/>
      <c r="R42" s="109"/>
      <c r="S42" s="110"/>
      <c r="T42" s="135"/>
    </row>
    <row r="43" spans="1:20" x14ac:dyDescent="0.2">
      <c r="A43" s="2">
        <v>42</v>
      </c>
      <c r="B43" s="110">
        <v>411</v>
      </c>
      <c r="C43" s="110" t="s">
        <v>314</v>
      </c>
      <c r="D43" s="110" t="s">
        <v>315</v>
      </c>
      <c r="E43" s="110"/>
      <c r="F43" s="110"/>
      <c r="G43" s="110" t="str">
        <f t="shared" si="0"/>
        <v>1</v>
      </c>
      <c r="H43" s="110"/>
      <c r="I43" s="110">
        <v>141.43023600000001</v>
      </c>
      <c r="J43" s="110">
        <v>40.594461000000003</v>
      </c>
      <c r="K43" s="110"/>
      <c r="L43" s="110"/>
      <c r="M43" s="110"/>
      <c r="N43" s="110"/>
      <c r="O43" s="110"/>
      <c r="P43" s="109"/>
      <c r="Q43" s="109"/>
      <c r="R43" s="109"/>
      <c r="S43" s="110"/>
      <c r="T43" s="135"/>
    </row>
    <row r="44" spans="1:20" x14ac:dyDescent="0.2">
      <c r="A44" s="2">
        <v>43</v>
      </c>
      <c r="B44" s="110">
        <v>421</v>
      </c>
      <c r="C44" s="110" t="s">
        <v>316</v>
      </c>
      <c r="D44" s="191" t="s">
        <v>317</v>
      </c>
      <c r="E44" s="110"/>
      <c r="F44" s="110"/>
      <c r="G44" s="110" t="str">
        <f t="shared" si="0"/>
        <v>1</v>
      </c>
      <c r="H44" s="110"/>
      <c r="I44" s="110">
        <v>141.43095</v>
      </c>
      <c r="J44" s="110">
        <v>40.592923999999996</v>
      </c>
      <c r="K44" s="110"/>
      <c r="L44" s="110"/>
      <c r="M44" s="110"/>
      <c r="N44" s="110"/>
      <c r="O44" s="110"/>
      <c r="P44" s="109"/>
      <c r="Q44" s="109"/>
      <c r="R44" s="109"/>
      <c r="S44" s="110"/>
      <c r="T44" s="135"/>
    </row>
    <row r="45" spans="1:20" x14ac:dyDescent="0.2">
      <c r="A45" s="2">
        <v>44</v>
      </c>
      <c r="B45" s="110">
        <v>431</v>
      </c>
      <c r="C45" s="110" t="s">
        <v>318</v>
      </c>
      <c r="D45" s="110" t="s">
        <v>319</v>
      </c>
      <c r="E45" s="110"/>
      <c r="F45" s="110"/>
      <c r="G45" s="110" t="str">
        <f t="shared" si="0"/>
        <v>1</v>
      </c>
      <c r="H45" s="110"/>
      <c r="I45" s="110">
        <v>141.432275</v>
      </c>
      <c r="J45" s="110">
        <v>40.590466999999997</v>
      </c>
      <c r="K45" s="110"/>
      <c r="L45" s="110"/>
      <c r="M45" s="110"/>
      <c r="N45" s="110"/>
      <c r="O45" s="110"/>
      <c r="P45" s="109"/>
      <c r="Q45" s="109"/>
      <c r="R45" s="109"/>
      <c r="S45" s="110"/>
      <c r="T45" s="135"/>
    </row>
    <row r="46" spans="1:20" x14ac:dyDescent="0.2">
      <c r="A46" s="5">
        <v>45</v>
      </c>
      <c r="B46" s="110">
        <v>441</v>
      </c>
      <c r="C46" s="110" t="s">
        <v>320</v>
      </c>
      <c r="D46" s="110" t="s">
        <v>321</v>
      </c>
      <c r="E46" s="110"/>
      <c r="F46" s="110"/>
      <c r="G46" s="110" t="str">
        <f t="shared" si="0"/>
        <v>1</v>
      </c>
      <c r="H46" s="110"/>
      <c r="I46" s="110">
        <v>141.43776800000001</v>
      </c>
      <c r="J46" s="110">
        <v>40.582990000000002</v>
      </c>
      <c r="K46" s="110"/>
      <c r="L46" s="110"/>
      <c r="M46" s="110"/>
      <c r="N46" s="110"/>
      <c r="O46" s="110"/>
      <c r="P46" s="109"/>
      <c r="Q46" s="109"/>
      <c r="R46" s="109"/>
      <c r="S46" s="110"/>
      <c r="T46" s="135"/>
    </row>
    <row r="47" spans="1:20" x14ac:dyDescent="0.2">
      <c r="A47" s="5">
        <v>46</v>
      </c>
      <c r="B47" s="110">
        <v>451</v>
      </c>
      <c r="C47" s="110" t="s">
        <v>322</v>
      </c>
      <c r="D47" s="110" t="s">
        <v>323</v>
      </c>
      <c r="E47" s="110"/>
      <c r="F47" s="110"/>
      <c r="G47" s="110" t="str">
        <f t="shared" si="0"/>
        <v>1</v>
      </c>
      <c r="H47" s="110"/>
      <c r="I47" s="110">
        <v>141.44013899999999</v>
      </c>
      <c r="J47" s="110">
        <v>40.578375999999999</v>
      </c>
      <c r="K47" s="110"/>
      <c r="L47" s="110"/>
      <c r="M47" s="110"/>
      <c r="N47" s="110"/>
      <c r="O47" s="110"/>
      <c r="P47" s="109"/>
      <c r="Q47" s="109"/>
      <c r="R47" s="109"/>
      <c r="S47" s="110"/>
      <c r="T47" s="135"/>
    </row>
    <row r="48" spans="1:20" x14ac:dyDescent="0.2">
      <c r="A48" s="5">
        <v>47</v>
      </c>
      <c r="B48" s="110">
        <v>461</v>
      </c>
      <c r="C48" s="110" t="s">
        <v>324</v>
      </c>
      <c r="D48" s="110" t="s">
        <v>325</v>
      </c>
      <c r="E48" s="110"/>
      <c r="F48" s="110"/>
      <c r="G48" s="110" t="str">
        <f t="shared" si="0"/>
        <v>1</v>
      </c>
      <c r="H48" s="110"/>
      <c r="I48" s="110">
        <v>141.440584</v>
      </c>
      <c r="J48" s="110">
        <v>40.575294</v>
      </c>
      <c r="K48" s="110"/>
      <c r="L48" s="110"/>
      <c r="M48" s="110"/>
      <c r="N48" s="110"/>
      <c r="O48" s="110"/>
      <c r="P48" s="109"/>
      <c r="Q48" s="109"/>
      <c r="R48" s="109"/>
      <c r="S48" s="110"/>
      <c r="T48" s="135"/>
    </row>
    <row r="49" spans="1:20" x14ac:dyDescent="0.2">
      <c r="A49" s="5">
        <v>48</v>
      </c>
      <c r="B49" s="110">
        <v>471</v>
      </c>
      <c r="C49" s="110" t="s">
        <v>326</v>
      </c>
      <c r="D49" s="110" t="s">
        <v>327</v>
      </c>
      <c r="E49" s="110"/>
      <c r="F49" s="110"/>
      <c r="G49" s="110" t="str">
        <f t="shared" si="0"/>
        <v>1</v>
      </c>
      <c r="H49" s="110"/>
      <c r="I49" s="110">
        <v>141.441689</v>
      </c>
      <c r="J49" s="110">
        <v>40.565311999999999</v>
      </c>
      <c r="K49" s="110"/>
      <c r="L49" s="110"/>
      <c r="M49" s="110"/>
      <c r="N49" s="110"/>
      <c r="O49" s="110"/>
      <c r="P49" s="109"/>
      <c r="Q49" s="109"/>
      <c r="R49" s="109"/>
      <c r="S49" s="110"/>
      <c r="T49" s="135"/>
    </row>
    <row r="50" spans="1:20" x14ac:dyDescent="0.2">
      <c r="A50" s="5">
        <v>49</v>
      </c>
      <c r="B50" s="110">
        <v>481</v>
      </c>
      <c r="C50" s="110" t="s">
        <v>328</v>
      </c>
      <c r="D50" s="110" t="s">
        <v>329</v>
      </c>
      <c r="E50" s="110"/>
      <c r="F50" s="110"/>
      <c r="G50" s="110" t="str">
        <f t="shared" si="0"/>
        <v>1</v>
      </c>
      <c r="H50" s="110"/>
      <c r="I50" s="110">
        <v>141.44747699999999</v>
      </c>
      <c r="J50" s="110">
        <v>40.562099000000003</v>
      </c>
      <c r="K50" s="110"/>
      <c r="L50" s="110"/>
      <c r="M50" s="110"/>
      <c r="N50" s="110"/>
      <c r="O50" s="110"/>
      <c r="P50" s="109"/>
      <c r="Q50" s="109"/>
      <c r="R50" s="109"/>
      <c r="S50" s="110"/>
      <c r="T50" s="135"/>
    </row>
    <row r="51" spans="1:20" x14ac:dyDescent="0.2">
      <c r="A51" s="5">
        <v>50</v>
      </c>
      <c r="B51" s="110">
        <v>491</v>
      </c>
      <c r="C51" s="110" t="s">
        <v>330</v>
      </c>
      <c r="D51" s="110" t="s">
        <v>331</v>
      </c>
      <c r="E51" s="110"/>
      <c r="F51" s="110"/>
      <c r="G51" s="110" t="str">
        <f t="shared" si="0"/>
        <v>1</v>
      </c>
      <c r="H51" s="110"/>
      <c r="I51" s="110">
        <v>141.44906</v>
      </c>
      <c r="J51" s="110">
        <v>40.560521000000001</v>
      </c>
      <c r="K51" s="110"/>
      <c r="L51" s="110"/>
      <c r="M51" s="110"/>
      <c r="N51" s="110"/>
      <c r="O51" s="110"/>
      <c r="P51" s="109"/>
      <c r="Q51" s="109"/>
      <c r="R51" s="109"/>
      <c r="S51" s="110"/>
      <c r="T51" s="135"/>
    </row>
    <row r="52" spans="1:20" x14ac:dyDescent="0.2">
      <c r="A52" s="5">
        <v>51</v>
      </c>
      <c r="B52" s="110">
        <v>501</v>
      </c>
      <c r="C52" s="110" t="s">
        <v>332</v>
      </c>
      <c r="D52" s="191" t="s">
        <v>333</v>
      </c>
      <c r="E52" s="110"/>
      <c r="F52" s="110"/>
      <c r="G52" s="110" t="str">
        <f t="shared" si="0"/>
        <v>1</v>
      </c>
      <c r="H52" s="110"/>
      <c r="I52" s="110">
        <v>141.45091600000001</v>
      </c>
      <c r="J52" s="110">
        <v>40.558608999999997</v>
      </c>
      <c r="K52" s="110"/>
      <c r="L52" s="110"/>
      <c r="M52" s="110"/>
      <c r="N52" s="110"/>
      <c r="O52" s="110"/>
      <c r="P52" s="109"/>
      <c r="Q52" s="109"/>
      <c r="R52" s="109"/>
      <c r="S52" s="110"/>
      <c r="T52" s="135"/>
    </row>
    <row r="53" spans="1:20" x14ac:dyDescent="0.2">
      <c r="A53" s="5">
        <v>52</v>
      </c>
      <c r="B53" s="110">
        <v>511</v>
      </c>
      <c r="C53" s="110" t="s">
        <v>334</v>
      </c>
      <c r="D53" s="110" t="s">
        <v>335</v>
      </c>
      <c r="E53" s="110"/>
      <c r="F53" s="110"/>
      <c r="G53" s="110" t="str">
        <f t="shared" si="0"/>
        <v>1</v>
      </c>
      <c r="H53" s="110"/>
      <c r="I53" s="110">
        <v>141.44942499999999</v>
      </c>
      <c r="J53" s="110">
        <v>40.555855999999999</v>
      </c>
      <c r="K53" s="110"/>
      <c r="L53" s="110"/>
      <c r="M53" s="110"/>
      <c r="N53" s="110"/>
      <c r="O53" s="110"/>
      <c r="P53" s="109"/>
      <c r="Q53" s="109"/>
      <c r="R53" s="109"/>
      <c r="S53" s="110"/>
      <c r="T53" s="135"/>
    </row>
    <row r="54" spans="1:20" x14ac:dyDescent="0.2">
      <c r="A54" s="5">
        <v>53</v>
      </c>
      <c r="B54" s="110">
        <v>521</v>
      </c>
      <c r="C54" s="110" t="s">
        <v>336</v>
      </c>
      <c r="D54" s="110" t="s">
        <v>337</v>
      </c>
      <c r="E54" s="110"/>
      <c r="F54" s="110"/>
      <c r="G54" s="110" t="str">
        <f t="shared" si="0"/>
        <v>1</v>
      </c>
      <c r="H54" s="110"/>
      <c r="I54" s="110">
        <v>141.45127500000001</v>
      </c>
      <c r="J54" s="110">
        <v>40.551237</v>
      </c>
      <c r="K54" s="110"/>
      <c r="L54" s="110"/>
      <c r="M54" s="110"/>
      <c r="N54" s="110"/>
      <c r="O54" s="110"/>
      <c r="P54" s="109"/>
      <c r="Q54" s="109"/>
      <c r="R54" s="109"/>
      <c r="S54" s="110"/>
      <c r="T54" s="135"/>
    </row>
    <row r="55" spans="1:20" x14ac:dyDescent="0.2">
      <c r="A55" s="5">
        <v>54</v>
      </c>
      <c r="B55" s="110">
        <v>531</v>
      </c>
      <c r="C55" s="110" t="s">
        <v>338</v>
      </c>
      <c r="D55" s="110" t="s">
        <v>339</v>
      </c>
      <c r="E55" s="110"/>
      <c r="F55" s="110"/>
      <c r="G55" s="110" t="str">
        <f t="shared" si="0"/>
        <v>1</v>
      </c>
      <c r="H55" s="110"/>
      <c r="I55" s="110">
        <v>141.45309399999999</v>
      </c>
      <c r="J55" s="110">
        <v>40.544949000000003</v>
      </c>
      <c r="K55" s="110"/>
      <c r="L55" s="110"/>
      <c r="M55" s="110"/>
      <c r="N55" s="110"/>
      <c r="O55" s="110"/>
      <c r="P55" s="109"/>
      <c r="Q55" s="109"/>
      <c r="R55" s="109"/>
      <c r="S55" s="110"/>
      <c r="T55" s="135"/>
    </row>
    <row r="56" spans="1:20" x14ac:dyDescent="0.2">
      <c r="A56" s="5">
        <v>55</v>
      </c>
      <c r="B56" s="110">
        <v>541</v>
      </c>
      <c r="C56" s="110" t="s">
        <v>340</v>
      </c>
      <c r="D56" s="110" t="s">
        <v>341</v>
      </c>
      <c r="E56" s="110"/>
      <c r="F56" s="110"/>
      <c r="G56" s="110" t="str">
        <f t="shared" si="0"/>
        <v>1</v>
      </c>
      <c r="H56" s="110"/>
      <c r="I56" s="110">
        <v>141.45559900000001</v>
      </c>
      <c r="J56" s="110">
        <v>40.543529999999997</v>
      </c>
      <c r="K56" s="110"/>
      <c r="L56" s="110"/>
      <c r="M56" s="110"/>
      <c r="N56" s="110"/>
      <c r="O56" s="110"/>
      <c r="P56" s="109"/>
      <c r="Q56" s="109"/>
      <c r="R56" s="109"/>
      <c r="S56" s="110"/>
      <c r="T56" s="135"/>
    </row>
    <row r="57" spans="1:20" x14ac:dyDescent="0.2">
      <c r="A57" s="5">
        <v>56</v>
      </c>
      <c r="B57" s="110">
        <v>551</v>
      </c>
      <c r="C57" s="110" t="s">
        <v>342</v>
      </c>
      <c r="D57" s="110" t="s">
        <v>343</v>
      </c>
      <c r="E57" s="110"/>
      <c r="F57" s="110"/>
      <c r="G57" s="110" t="str">
        <f t="shared" si="0"/>
        <v>1</v>
      </c>
      <c r="H57" s="110"/>
      <c r="I57" s="110">
        <v>141.46021300000001</v>
      </c>
      <c r="J57" s="110">
        <v>40.543439999999997</v>
      </c>
      <c r="K57" s="110"/>
      <c r="L57" s="110"/>
      <c r="M57" s="110"/>
      <c r="N57" s="110"/>
      <c r="O57" s="110"/>
      <c r="P57" s="109"/>
      <c r="Q57" s="109"/>
      <c r="R57" s="109"/>
      <c r="S57" s="110"/>
      <c r="T57" s="135"/>
    </row>
    <row r="58" spans="1:20" x14ac:dyDescent="0.2">
      <c r="A58" s="5">
        <v>57</v>
      </c>
      <c r="B58" s="110">
        <v>561</v>
      </c>
      <c r="C58" s="110" t="s">
        <v>344</v>
      </c>
      <c r="D58" s="110" t="s">
        <v>345</v>
      </c>
      <c r="E58" s="110"/>
      <c r="F58" s="110"/>
      <c r="G58" s="110" t="str">
        <f t="shared" si="0"/>
        <v>1</v>
      </c>
      <c r="H58" s="110"/>
      <c r="I58" s="110">
        <v>141.464429</v>
      </c>
      <c r="J58" s="110">
        <v>40.542718000000001</v>
      </c>
      <c r="K58" s="110"/>
      <c r="L58" s="110"/>
      <c r="M58" s="110"/>
      <c r="N58" s="110"/>
      <c r="O58" s="110"/>
      <c r="P58" s="109"/>
      <c r="Q58" s="109"/>
      <c r="R58" s="109"/>
      <c r="S58" s="110"/>
      <c r="T58" s="135"/>
    </row>
    <row r="59" spans="1:20" x14ac:dyDescent="0.2">
      <c r="A59" s="5">
        <v>58</v>
      </c>
      <c r="B59" s="110">
        <v>571</v>
      </c>
      <c r="C59" s="110" t="s">
        <v>346</v>
      </c>
      <c r="D59" s="191" t="s">
        <v>347</v>
      </c>
      <c r="E59" s="110"/>
      <c r="F59" s="110"/>
      <c r="G59" s="110" t="str">
        <f t="shared" si="0"/>
        <v>1</v>
      </c>
      <c r="H59" s="110"/>
      <c r="I59" s="110">
        <v>141.469257</v>
      </c>
      <c r="J59" s="110">
        <v>40.537497000000002</v>
      </c>
      <c r="K59" s="110"/>
      <c r="L59" s="110"/>
      <c r="M59" s="110"/>
      <c r="N59" s="110"/>
      <c r="O59" s="110"/>
      <c r="P59" s="109"/>
      <c r="Q59" s="109"/>
      <c r="R59" s="109"/>
      <c r="S59" s="110"/>
      <c r="T59" s="135"/>
    </row>
    <row r="60" spans="1:20" x14ac:dyDescent="0.2">
      <c r="A60" s="5">
        <v>59</v>
      </c>
      <c r="B60" s="110">
        <v>581</v>
      </c>
      <c r="C60" s="110" t="s">
        <v>348</v>
      </c>
      <c r="D60" s="110" t="s">
        <v>349</v>
      </c>
      <c r="E60" s="110"/>
      <c r="F60" s="110"/>
      <c r="G60" s="110" t="str">
        <f t="shared" si="0"/>
        <v>1</v>
      </c>
      <c r="H60" s="110"/>
      <c r="I60" s="110">
        <v>141.47143</v>
      </c>
      <c r="J60" s="110">
        <v>40.532969000000001</v>
      </c>
      <c r="K60" s="110"/>
      <c r="L60" s="110"/>
      <c r="M60" s="110"/>
      <c r="N60" s="110"/>
      <c r="O60" s="110"/>
      <c r="P60" s="109"/>
      <c r="Q60" s="109"/>
      <c r="R60" s="109"/>
      <c r="S60" s="110"/>
      <c r="T60" s="135"/>
    </row>
    <row r="61" spans="1:20" x14ac:dyDescent="0.2">
      <c r="A61" s="5">
        <v>60</v>
      </c>
      <c r="B61" s="110">
        <v>591</v>
      </c>
      <c r="C61" s="110" t="s">
        <v>350</v>
      </c>
      <c r="D61" s="110" t="s">
        <v>351</v>
      </c>
      <c r="E61" s="110"/>
      <c r="F61" s="110"/>
      <c r="G61" s="110" t="str">
        <f t="shared" si="0"/>
        <v>1</v>
      </c>
      <c r="H61" s="110"/>
      <c r="I61" s="110">
        <v>141.46635760000001</v>
      </c>
      <c r="J61" s="110">
        <v>40.528253999999997</v>
      </c>
      <c r="K61" s="110"/>
      <c r="L61" s="110"/>
      <c r="M61" s="110"/>
      <c r="N61" s="110"/>
      <c r="O61" s="110"/>
      <c r="P61" s="109"/>
      <c r="Q61" s="109"/>
      <c r="R61" s="109"/>
      <c r="S61" s="110"/>
      <c r="T61" s="135"/>
    </row>
    <row r="62" spans="1:20" x14ac:dyDescent="0.2">
      <c r="A62" s="5">
        <v>61</v>
      </c>
      <c r="B62" s="110">
        <v>601</v>
      </c>
      <c r="C62" s="110" t="s">
        <v>352</v>
      </c>
      <c r="D62" s="110" t="s">
        <v>353</v>
      </c>
      <c r="E62" s="110"/>
      <c r="F62" s="110"/>
      <c r="G62" s="110" t="str">
        <f t="shared" si="0"/>
        <v>1</v>
      </c>
      <c r="H62" s="110"/>
      <c r="I62" s="110">
        <v>141.46654899999999</v>
      </c>
      <c r="J62" s="110">
        <v>40.524377000000001</v>
      </c>
      <c r="K62" s="110"/>
      <c r="L62" s="110"/>
      <c r="M62" s="110"/>
      <c r="N62" s="110"/>
      <c r="O62" s="110"/>
      <c r="P62" s="109"/>
      <c r="Q62" s="109"/>
      <c r="R62" s="109"/>
      <c r="S62" s="110"/>
      <c r="T62" s="135"/>
    </row>
    <row r="63" spans="1:20" x14ac:dyDescent="0.2">
      <c r="A63" s="5">
        <v>62</v>
      </c>
      <c r="B63" s="110">
        <v>611</v>
      </c>
      <c r="C63" s="110" t="s">
        <v>354</v>
      </c>
      <c r="D63" s="110" t="s">
        <v>355</v>
      </c>
      <c r="E63" s="110"/>
      <c r="F63" s="110"/>
      <c r="G63" s="110" t="str">
        <f t="shared" si="0"/>
        <v>1</v>
      </c>
      <c r="H63" s="110"/>
      <c r="I63" s="110">
        <v>141.46727200000001</v>
      </c>
      <c r="J63" s="110">
        <v>40.519700999999998</v>
      </c>
      <c r="K63" s="110"/>
      <c r="L63" s="110"/>
      <c r="M63" s="110"/>
      <c r="N63" s="110"/>
      <c r="O63" s="110"/>
      <c r="P63" s="109"/>
      <c r="Q63" s="109"/>
      <c r="R63" s="109"/>
      <c r="S63" s="110"/>
      <c r="T63" s="135"/>
    </row>
    <row r="64" spans="1:20" x14ac:dyDescent="0.2">
      <c r="A64" s="5">
        <v>63</v>
      </c>
      <c r="B64" s="110">
        <v>621</v>
      </c>
      <c r="C64" s="110" t="s">
        <v>356</v>
      </c>
      <c r="D64" s="110" t="s">
        <v>357</v>
      </c>
      <c r="E64" s="110"/>
      <c r="F64" s="110"/>
      <c r="G64" s="110" t="str">
        <f t="shared" si="0"/>
        <v>1</v>
      </c>
      <c r="H64" s="110"/>
      <c r="I64" s="110">
        <v>141.46768</v>
      </c>
      <c r="J64" s="110">
        <v>40.517052</v>
      </c>
      <c r="K64" s="110"/>
      <c r="L64" s="110"/>
      <c r="M64" s="110"/>
      <c r="N64" s="110"/>
      <c r="O64" s="110"/>
      <c r="P64" s="109"/>
      <c r="Q64" s="109"/>
      <c r="R64" s="109"/>
      <c r="S64" s="110"/>
      <c r="T64" s="135"/>
    </row>
    <row r="65" spans="1:20" x14ac:dyDescent="0.2">
      <c r="A65" s="5">
        <v>64</v>
      </c>
      <c r="B65" s="110">
        <v>631</v>
      </c>
      <c r="C65" s="110" t="s">
        <v>358</v>
      </c>
      <c r="D65" s="110" t="s">
        <v>359</v>
      </c>
      <c r="E65" s="110"/>
      <c r="F65" s="110"/>
      <c r="G65" s="110" t="str">
        <f t="shared" si="0"/>
        <v>1</v>
      </c>
      <c r="H65" s="110"/>
      <c r="I65" s="110">
        <v>141.431781</v>
      </c>
      <c r="J65" s="110">
        <v>40.508789</v>
      </c>
      <c r="K65" s="110"/>
      <c r="L65" s="110"/>
      <c r="M65" s="110"/>
      <c r="N65" s="110"/>
      <c r="O65" s="110"/>
      <c r="P65" s="109"/>
      <c r="Q65" s="109"/>
      <c r="R65" s="109"/>
      <c r="S65" s="110"/>
      <c r="T65" s="135"/>
    </row>
    <row r="66" spans="1:20" x14ac:dyDescent="0.2">
      <c r="A66" s="5">
        <v>65</v>
      </c>
      <c r="B66" s="110">
        <v>622</v>
      </c>
      <c r="C66" s="110" t="s">
        <v>356</v>
      </c>
      <c r="D66" s="110" t="s">
        <v>357</v>
      </c>
      <c r="E66" s="110"/>
      <c r="F66" s="110"/>
      <c r="G66" s="110" t="str">
        <f t="shared" si="0"/>
        <v>2</v>
      </c>
      <c r="H66" s="110"/>
      <c r="I66" s="110">
        <v>141.465979</v>
      </c>
      <c r="J66" s="110">
        <v>40.516755000000003</v>
      </c>
      <c r="K66" s="110"/>
      <c r="L66" s="110"/>
      <c r="M66" s="110"/>
      <c r="N66" s="110"/>
      <c r="O66" s="110"/>
      <c r="P66" s="109"/>
      <c r="Q66" s="109"/>
      <c r="R66" s="109"/>
      <c r="S66" s="110"/>
      <c r="T66" s="135"/>
    </row>
    <row r="67" spans="1:20" x14ac:dyDescent="0.2">
      <c r="A67" s="5">
        <v>66</v>
      </c>
      <c r="B67" s="110">
        <v>641</v>
      </c>
      <c r="C67" s="110" t="s">
        <v>360</v>
      </c>
      <c r="D67" s="110" t="s">
        <v>361</v>
      </c>
      <c r="E67" s="110"/>
      <c r="F67" s="110"/>
      <c r="G67" s="110" t="str">
        <f t="shared" ref="G67:G130" si="1">RIGHT(B67,1)</f>
        <v>1</v>
      </c>
      <c r="H67" s="110"/>
      <c r="I67" s="110">
        <v>141.47358600000001</v>
      </c>
      <c r="J67" s="110">
        <v>40.513207999999999</v>
      </c>
      <c r="K67" s="110"/>
      <c r="L67" s="110"/>
      <c r="M67" s="110"/>
      <c r="N67" s="110"/>
      <c r="O67" s="110"/>
      <c r="P67" s="109"/>
      <c r="Q67" s="109"/>
      <c r="R67" s="109"/>
      <c r="S67" s="110"/>
      <c r="T67" s="135"/>
    </row>
    <row r="68" spans="1:20" x14ac:dyDescent="0.2">
      <c r="A68" s="5">
        <v>67</v>
      </c>
      <c r="B68" s="110">
        <v>651</v>
      </c>
      <c r="C68" s="110" t="s">
        <v>362</v>
      </c>
      <c r="D68" s="110" t="s">
        <v>363</v>
      </c>
      <c r="E68" s="110"/>
      <c r="F68" s="110"/>
      <c r="G68" s="110" t="str">
        <f t="shared" si="1"/>
        <v>1</v>
      </c>
      <c r="H68" s="110"/>
      <c r="I68" s="110">
        <v>141.47448199999999</v>
      </c>
      <c r="J68" s="110">
        <v>40.512123000000003</v>
      </c>
      <c r="K68" s="110"/>
      <c r="L68" s="110"/>
      <c r="M68" s="110"/>
      <c r="N68" s="110"/>
      <c r="O68" s="110"/>
      <c r="P68" s="109"/>
      <c r="Q68" s="109"/>
      <c r="R68" s="109"/>
      <c r="S68" s="110"/>
      <c r="T68" s="135"/>
    </row>
    <row r="69" spans="1:20" x14ac:dyDescent="0.2">
      <c r="A69" s="5">
        <v>68</v>
      </c>
      <c r="B69" s="110">
        <v>661</v>
      </c>
      <c r="C69" s="110" t="s">
        <v>364</v>
      </c>
      <c r="D69" s="110" t="s">
        <v>365</v>
      </c>
      <c r="E69" s="110"/>
      <c r="F69" s="110"/>
      <c r="G69" s="110" t="str">
        <f t="shared" si="1"/>
        <v>1</v>
      </c>
      <c r="H69" s="110"/>
      <c r="I69" s="110">
        <v>141.47663299999999</v>
      </c>
      <c r="J69" s="110">
        <v>40.509563999999997</v>
      </c>
      <c r="K69" s="110"/>
      <c r="L69" s="110"/>
      <c r="M69" s="110"/>
      <c r="N69" s="110"/>
      <c r="O69" s="110"/>
      <c r="P69" s="109"/>
      <c r="Q69" s="109"/>
      <c r="R69" s="109"/>
      <c r="S69" s="110"/>
      <c r="T69" s="135"/>
    </row>
    <row r="70" spans="1:20" x14ac:dyDescent="0.2">
      <c r="A70" s="5">
        <v>69</v>
      </c>
      <c r="B70" s="110">
        <v>671</v>
      </c>
      <c r="C70" s="110" t="s">
        <v>366</v>
      </c>
      <c r="D70" s="110" t="s">
        <v>361</v>
      </c>
      <c r="E70" s="110"/>
      <c r="F70" s="110"/>
      <c r="G70" s="110" t="str">
        <f t="shared" si="1"/>
        <v>1</v>
      </c>
      <c r="H70" s="110"/>
      <c r="I70" s="110">
        <v>141.480109</v>
      </c>
      <c r="J70" s="110">
        <v>40.506903000000001</v>
      </c>
      <c r="K70" s="110"/>
      <c r="L70" s="110"/>
      <c r="M70" s="110"/>
      <c r="N70" s="110"/>
      <c r="O70" s="110"/>
      <c r="P70" s="109"/>
      <c r="Q70" s="109"/>
      <c r="R70" s="109"/>
      <c r="S70" s="110"/>
      <c r="T70" s="135"/>
    </row>
    <row r="71" spans="1:20" x14ac:dyDescent="0.2">
      <c r="A71" s="5">
        <v>70</v>
      </c>
      <c r="B71" s="110">
        <v>681</v>
      </c>
      <c r="C71" s="110" t="s">
        <v>367</v>
      </c>
      <c r="D71" s="110" t="s">
        <v>368</v>
      </c>
      <c r="E71" s="110"/>
      <c r="F71" s="110"/>
      <c r="G71" s="110" t="str">
        <f t="shared" si="1"/>
        <v>1</v>
      </c>
      <c r="H71" s="110"/>
      <c r="I71" s="110">
        <v>141.48304899999999</v>
      </c>
      <c r="J71" s="110">
        <v>40.506286000000003</v>
      </c>
      <c r="K71" s="110"/>
      <c r="L71" s="110"/>
      <c r="M71" s="110"/>
      <c r="N71" s="110"/>
      <c r="O71" s="110"/>
      <c r="P71" s="109"/>
      <c r="Q71" s="109"/>
      <c r="R71" s="109"/>
      <c r="S71" s="110"/>
      <c r="T71" s="135"/>
    </row>
    <row r="72" spans="1:20" x14ac:dyDescent="0.2">
      <c r="A72" s="5">
        <v>71</v>
      </c>
      <c r="B72" s="110">
        <v>691</v>
      </c>
      <c r="C72" s="110" t="s">
        <v>369</v>
      </c>
      <c r="D72" s="110" t="s">
        <v>370</v>
      </c>
      <c r="E72" s="110"/>
      <c r="F72" s="110"/>
      <c r="G72" s="110" t="str">
        <f t="shared" si="1"/>
        <v>1</v>
      </c>
      <c r="H72" s="110"/>
      <c r="I72" s="110">
        <v>141.484567</v>
      </c>
      <c r="J72" s="110">
        <v>40.506605</v>
      </c>
      <c r="K72" s="110"/>
      <c r="L72" s="110"/>
      <c r="M72" s="110"/>
      <c r="N72" s="110"/>
      <c r="O72" s="110"/>
      <c r="P72" s="109"/>
      <c r="Q72" s="109"/>
      <c r="R72" s="109"/>
      <c r="S72" s="110"/>
      <c r="T72" s="135"/>
    </row>
    <row r="73" spans="1:20" x14ac:dyDescent="0.2">
      <c r="A73" s="5">
        <v>72</v>
      </c>
      <c r="B73" s="110">
        <v>701</v>
      </c>
      <c r="C73" s="110" t="s">
        <v>371</v>
      </c>
      <c r="D73" s="110" t="s">
        <v>372</v>
      </c>
      <c r="E73" s="110"/>
      <c r="F73" s="110"/>
      <c r="G73" s="110" t="str">
        <f t="shared" si="1"/>
        <v>1</v>
      </c>
      <c r="H73" s="110"/>
      <c r="I73" s="110">
        <v>141.48767799999999</v>
      </c>
      <c r="J73" s="110">
        <v>40.508065999999999</v>
      </c>
      <c r="K73" s="110"/>
      <c r="L73" s="110"/>
      <c r="M73" s="110"/>
      <c r="N73" s="110"/>
      <c r="O73" s="110"/>
      <c r="P73" s="109"/>
      <c r="Q73" s="109"/>
      <c r="R73" s="109"/>
      <c r="S73" s="110"/>
      <c r="T73" s="135"/>
    </row>
    <row r="74" spans="1:20" x14ac:dyDescent="0.2">
      <c r="A74" s="5">
        <v>73</v>
      </c>
      <c r="B74" s="110">
        <v>711</v>
      </c>
      <c r="C74" s="110" t="s">
        <v>373</v>
      </c>
      <c r="D74" s="110" t="s">
        <v>374</v>
      </c>
      <c r="E74" s="110"/>
      <c r="F74" s="110"/>
      <c r="G74" s="110" t="str">
        <f t="shared" si="1"/>
        <v>1</v>
      </c>
      <c r="H74" s="110"/>
      <c r="I74" s="110">
        <v>141.48917</v>
      </c>
      <c r="J74" s="110">
        <v>40.508885999999997</v>
      </c>
      <c r="K74" s="110"/>
      <c r="L74" s="110"/>
      <c r="M74" s="110"/>
      <c r="N74" s="110"/>
      <c r="O74" s="110"/>
      <c r="P74" s="109"/>
      <c r="Q74" s="109"/>
      <c r="R74" s="109"/>
      <c r="S74" s="110"/>
      <c r="T74" s="135"/>
    </row>
    <row r="75" spans="1:20" x14ac:dyDescent="0.2">
      <c r="A75" s="5">
        <v>74</v>
      </c>
      <c r="B75" s="110">
        <v>721</v>
      </c>
      <c r="C75" s="110" t="s">
        <v>375</v>
      </c>
      <c r="D75" s="110" t="s">
        <v>376</v>
      </c>
      <c r="E75" s="110"/>
      <c r="F75" s="110"/>
      <c r="G75" s="110" t="str">
        <f t="shared" si="1"/>
        <v>1</v>
      </c>
      <c r="H75" s="110"/>
      <c r="I75" s="110">
        <v>141.49257600000001</v>
      </c>
      <c r="J75" s="110">
        <v>40.510767999999999</v>
      </c>
      <c r="K75" s="110"/>
      <c r="L75" s="110"/>
      <c r="M75" s="110"/>
      <c r="N75" s="110"/>
      <c r="O75" s="110"/>
      <c r="P75" s="109"/>
      <c r="Q75" s="109"/>
      <c r="R75" s="109"/>
      <c r="S75" s="110"/>
      <c r="T75" s="135"/>
    </row>
    <row r="76" spans="1:20" x14ac:dyDescent="0.2">
      <c r="A76" s="5">
        <v>75</v>
      </c>
      <c r="B76" s="110">
        <v>731</v>
      </c>
      <c r="C76" s="110" t="s">
        <v>377</v>
      </c>
      <c r="D76" s="110" t="s">
        <v>378</v>
      </c>
      <c r="E76" s="110"/>
      <c r="F76" s="110"/>
      <c r="G76" s="110" t="str">
        <f t="shared" si="1"/>
        <v>1</v>
      </c>
      <c r="H76" s="110"/>
      <c r="I76" s="110">
        <v>141.496117</v>
      </c>
      <c r="J76" s="110">
        <v>40.512714000000003</v>
      </c>
      <c r="K76" s="110"/>
      <c r="L76" s="110"/>
      <c r="M76" s="110"/>
      <c r="N76" s="110"/>
      <c r="O76" s="110"/>
      <c r="P76" s="109"/>
      <c r="Q76" s="109"/>
      <c r="R76" s="109"/>
      <c r="S76" s="110"/>
      <c r="T76" s="135"/>
    </row>
    <row r="77" spans="1:20" x14ac:dyDescent="0.2">
      <c r="A77" s="5">
        <v>76</v>
      </c>
      <c r="B77" s="110">
        <v>741</v>
      </c>
      <c r="C77" s="110" t="s">
        <v>379</v>
      </c>
      <c r="D77" s="110" t="s">
        <v>380</v>
      </c>
      <c r="E77" s="110"/>
      <c r="F77" s="110"/>
      <c r="G77" s="110" t="str">
        <f t="shared" si="1"/>
        <v>1</v>
      </c>
      <c r="H77" s="110"/>
      <c r="I77" s="110">
        <v>141.49938399999999</v>
      </c>
      <c r="J77" s="110">
        <v>40.514530000000001</v>
      </c>
      <c r="K77" s="110"/>
      <c r="L77" s="110"/>
      <c r="M77" s="110"/>
      <c r="N77" s="110"/>
      <c r="O77" s="110"/>
      <c r="P77" s="109"/>
      <c r="Q77" s="109"/>
      <c r="R77" s="109"/>
      <c r="S77" s="110"/>
      <c r="T77" s="135"/>
    </row>
    <row r="78" spans="1:20" x14ac:dyDescent="0.2">
      <c r="A78" s="5">
        <v>77</v>
      </c>
      <c r="B78" s="110">
        <v>751</v>
      </c>
      <c r="C78" s="110" t="s">
        <v>381</v>
      </c>
      <c r="D78" s="110" t="s">
        <v>382</v>
      </c>
      <c r="E78" s="110"/>
      <c r="F78" s="110"/>
      <c r="G78" s="110" t="str">
        <f t="shared" si="1"/>
        <v>1</v>
      </c>
      <c r="H78" s="110"/>
      <c r="I78" s="110">
        <v>141.50214099999999</v>
      </c>
      <c r="J78" s="110">
        <v>40.516047999999998</v>
      </c>
      <c r="K78" s="110"/>
      <c r="L78" s="110"/>
      <c r="M78" s="110"/>
      <c r="N78" s="110"/>
      <c r="O78" s="110"/>
      <c r="P78" s="109"/>
      <c r="Q78" s="109"/>
      <c r="R78" s="109"/>
      <c r="S78" s="110"/>
      <c r="T78" s="135"/>
    </row>
    <row r="79" spans="1:20" x14ac:dyDescent="0.2">
      <c r="A79" s="5">
        <v>78</v>
      </c>
      <c r="B79" s="110">
        <v>761</v>
      </c>
      <c r="C79" s="110" t="s">
        <v>383</v>
      </c>
      <c r="D79" s="110" t="s">
        <v>384</v>
      </c>
      <c r="E79" s="110"/>
      <c r="F79" s="110"/>
      <c r="G79" s="110" t="str">
        <f t="shared" si="1"/>
        <v>1</v>
      </c>
      <c r="H79" s="110"/>
      <c r="I79" s="110">
        <v>141.50497300000001</v>
      </c>
      <c r="J79" s="110">
        <v>40.518205999999999</v>
      </c>
      <c r="K79" s="110"/>
      <c r="L79" s="110"/>
      <c r="M79" s="110"/>
      <c r="N79" s="110"/>
      <c r="O79" s="110"/>
      <c r="P79" s="109"/>
      <c r="Q79" s="109"/>
      <c r="R79" s="109"/>
      <c r="S79" s="110"/>
      <c r="T79" s="135"/>
    </row>
    <row r="80" spans="1:20" x14ac:dyDescent="0.2">
      <c r="A80" s="5">
        <v>79</v>
      </c>
      <c r="B80" s="110">
        <v>771</v>
      </c>
      <c r="C80" s="110" t="s">
        <v>385</v>
      </c>
      <c r="D80" s="110" t="s">
        <v>386</v>
      </c>
      <c r="E80" s="110"/>
      <c r="F80" s="110"/>
      <c r="G80" s="110" t="str">
        <f t="shared" si="1"/>
        <v>1</v>
      </c>
      <c r="H80" s="110"/>
      <c r="I80" s="110">
        <v>141.50364300000001</v>
      </c>
      <c r="J80" s="110">
        <v>40.521025999999999</v>
      </c>
      <c r="K80" s="110"/>
      <c r="L80" s="110"/>
      <c r="M80" s="110"/>
      <c r="N80" s="110"/>
      <c r="O80" s="110"/>
      <c r="P80" s="109"/>
      <c r="Q80" s="109"/>
      <c r="R80" s="109"/>
      <c r="S80" s="110"/>
      <c r="T80" s="135"/>
    </row>
    <row r="81" spans="1:20" x14ac:dyDescent="0.2">
      <c r="A81" s="5">
        <v>80</v>
      </c>
      <c r="B81" s="110">
        <v>781</v>
      </c>
      <c r="C81" s="110" t="s">
        <v>387</v>
      </c>
      <c r="D81" s="110" t="s">
        <v>388</v>
      </c>
      <c r="E81" s="110"/>
      <c r="F81" s="110"/>
      <c r="G81" s="110" t="str">
        <f t="shared" si="1"/>
        <v>1</v>
      </c>
      <c r="H81" s="110"/>
      <c r="I81" s="110">
        <v>141.51326700000001</v>
      </c>
      <c r="J81" s="110">
        <v>40.524594999999998</v>
      </c>
      <c r="K81" s="110"/>
      <c r="L81" s="110"/>
      <c r="M81" s="110"/>
      <c r="N81" s="110"/>
      <c r="O81" s="110"/>
      <c r="P81" s="109"/>
      <c r="Q81" s="109"/>
      <c r="R81" s="109"/>
      <c r="S81" s="110"/>
      <c r="T81" s="135"/>
    </row>
    <row r="82" spans="1:20" x14ac:dyDescent="0.2">
      <c r="A82" s="5">
        <v>81</v>
      </c>
      <c r="B82" s="110">
        <v>791</v>
      </c>
      <c r="C82" s="110" t="s">
        <v>389</v>
      </c>
      <c r="D82" s="110" t="s">
        <v>390</v>
      </c>
      <c r="E82" s="110"/>
      <c r="F82" s="110"/>
      <c r="G82" s="110" t="str">
        <f t="shared" si="1"/>
        <v>1</v>
      </c>
      <c r="H82" s="110"/>
      <c r="I82" s="110">
        <v>141.51280499999999</v>
      </c>
      <c r="J82" s="110">
        <v>40.494230999999999</v>
      </c>
      <c r="K82" s="110"/>
      <c r="L82" s="110"/>
      <c r="M82" s="110"/>
      <c r="N82" s="110"/>
      <c r="O82" s="110"/>
      <c r="P82" s="109"/>
      <c r="Q82" s="109"/>
      <c r="R82" s="109"/>
      <c r="S82" s="110"/>
      <c r="T82" s="135"/>
    </row>
    <row r="83" spans="1:20" x14ac:dyDescent="0.2">
      <c r="A83" s="5">
        <v>82</v>
      </c>
      <c r="B83" s="110">
        <v>782</v>
      </c>
      <c r="C83" s="110" t="s">
        <v>387</v>
      </c>
      <c r="D83" s="110" t="s">
        <v>388</v>
      </c>
      <c r="E83" s="110"/>
      <c r="F83" s="110"/>
      <c r="G83" s="110" t="str">
        <f t="shared" si="1"/>
        <v>2</v>
      </c>
      <c r="H83" s="110"/>
      <c r="I83" s="110">
        <v>141.51334199999999</v>
      </c>
      <c r="J83" s="110">
        <v>40.524599000000002</v>
      </c>
      <c r="K83" s="110"/>
      <c r="L83" s="110"/>
      <c r="M83" s="110"/>
      <c r="N83" s="110"/>
      <c r="O83" s="110"/>
      <c r="P83" s="109"/>
      <c r="Q83" s="109"/>
      <c r="R83" s="109"/>
      <c r="S83" s="110"/>
      <c r="T83" s="135"/>
    </row>
    <row r="84" spans="1:20" x14ac:dyDescent="0.2">
      <c r="A84" s="5">
        <v>83</v>
      </c>
      <c r="B84" s="110">
        <v>772</v>
      </c>
      <c r="C84" s="110" t="s">
        <v>385</v>
      </c>
      <c r="D84" s="110" t="s">
        <v>386</v>
      </c>
      <c r="E84" s="110"/>
      <c r="F84" s="110"/>
      <c r="G84" s="110" t="str">
        <f t="shared" si="1"/>
        <v>2</v>
      </c>
      <c r="H84" s="110"/>
      <c r="I84" s="110">
        <v>141.50296700000001</v>
      </c>
      <c r="J84" s="110">
        <v>40.521068999999997</v>
      </c>
      <c r="K84" s="110"/>
      <c r="L84" s="110"/>
      <c r="M84" s="110"/>
      <c r="N84" s="110"/>
      <c r="O84" s="110"/>
      <c r="P84" s="109"/>
      <c r="Q84" s="109"/>
      <c r="R84" s="109"/>
      <c r="S84" s="110"/>
      <c r="T84" s="135"/>
    </row>
    <row r="85" spans="1:20" x14ac:dyDescent="0.2">
      <c r="A85" s="5">
        <v>84</v>
      </c>
      <c r="B85" s="110">
        <v>762</v>
      </c>
      <c r="C85" s="110" t="s">
        <v>383</v>
      </c>
      <c r="D85" s="110" t="s">
        <v>384</v>
      </c>
      <c r="E85" s="110"/>
      <c r="F85" s="110"/>
      <c r="G85" s="110" t="str">
        <f t="shared" si="1"/>
        <v>2</v>
      </c>
      <c r="H85" s="110"/>
      <c r="I85" s="110">
        <v>141.505762</v>
      </c>
      <c r="J85" s="110">
        <v>40.517192999999999</v>
      </c>
      <c r="K85" s="110"/>
      <c r="L85" s="110"/>
      <c r="M85" s="110"/>
      <c r="N85" s="110"/>
      <c r="O85" s="110"/>
      <c r="P85" s="109"/>
      <c r="Q85" s="109"/>
      <c r="R85" s="109"/>
      <c r="S85" s="110"/>
      <c r="T85" s="135"/>
    </row>
    <row r="86" spans="1:20" x14ac:dyDescent="0.2">
      <c r="A86" s="5">
        <v>85</v>
      </c>
      <c r="B86" s="110">
        <v>801</v>
      </c>
      <c r="C86" s="110" t="s">
        <v>391</v>
      </c>
      <c r="D86" s="110" t="s">
        <v>392</v>
      </c>
      <c r="E86" s="110"/>
      <c r="F86" s="110"/>
      <c r="G86" s="110" t="str">
        <f t="shared" si="1"/>
        <v>1</v>
      </c>
      <c r="H86" s="110"/>
      <c r="I86" s="110">
        <v>141.505574</v>
      </c>
      <c r="J86" s="110">
        <v>40.516336000000003</v>
      </c>
      <c r="K86" s="110"/>
      <c r="L86" s="110"/>
      <c r="M86" s="110"/>
      <c r="N86" s="110"/>
      <c r="O86" s="110"/>
      <c r="P86" s="109"/>
      <c r="Q86" s="109"/>
      <c r="R86" s="109"/>
      <c r="S86" s="110"/>
      <c r="T86" s="135"/>
    </row>
    <row r="87" spans="1:20" x14ac:dyDescent="0.2">
      <c r="A87" s="5">
        <v>86</v>
      </c>
      <c r="B87" s="110">
        <v>811</v>
      </c>
      <c r="C87" s="110" t="s">
        <v>393</v>
      </c>
      <c r="D87" s="192" t="s">
        <v>394</v>
      </c>
      <c r="E87" s="110"/>
      <c r="F87" s="110"/>
      <c r="G87" s="110" t="str">
        <f t="shared" si="1"/>
        <v>1</v>
      </c>
      <c r="H87" s="110"/>
      <c r="I87" s="110">
        <v>141.50393800000001</v>
      </c>
      <c r="J87" s="110">
        <v>40.515756000000003</v>
      </c>
      <c r="K87" s="110"/>
      <c r="L87" s="110"/>
      <c r="M87" s="110"/>
      <c r="N87" s="110"/>
      <c r="O87" s="110"/>
      <c r="P87" s="109"/>
      <c r="Q87" s="109"/>
      <c r="R87" s="109"/>
      <c r="S87" s="110"/>
      <c r="T87" s="135"/>
    </row>
    <row r="88" spans="1:20" x14ac:dyDescent="0.2">
      <c r="A88" s="5">
        <v>87</v>
      </c>
      <c r="B88" s="110">
        <v>821</v>
      </c>
      <c r="C88" s="110" t="s">
        <v>395</v>
      </c>
      <c r="D88" s="192" t="s">
        <v>396</v>
      </c>
      <c r="E88" s="110"/>
      <c r="F88" s="110"/>
      <c r="G88" s="110" t="str">
        <f t="shared" si="1"/>
        <v>1</v>
      </c>
      <c r="H88" s="110"/>
      <c r="I88" s="110">
        <v>141.50056900000001</v>
      </c>
      <c r="J88" s="110">
        <v>40.514026000000001</v>
      </c>
      <c r="K88" s="110"/>
      <c r="L88" s="110"/>
      <c r="M88" s="110"/>
      <c r="N88" s="110"/>
      <c r="O88" s="110"/>
      <c r="P88" s="109"/>
      <c r="Q88" s="109"/>
      <c r="R88" s="109"/>
      <c r="S88" s="110"/>
      <c r="T88" s="135"/>
    </row>
    <row r="89" spans="1:20" x14ac:dyDescent="0.2">
      <c r="A89" s="5">
        <v>88</v>
      </c>
      <c r="B89" s="110">
        <v>831</v>
      </c>
      <c r="C89" s="110" t="s">
        <v>397</v>
      </c>
      <c r="D89" s="110" t="s">
        <v>398</v>
      </c>
      <c r="E89" s="110"/>
      <c r="F89" s="110"/>
      <c r="G89" s="110" t="str">
        <f t="shared" si="1"/>
        <v>1</v>
      </c>
      <c r="H89" s="110"/>
      <c r="I89" s="110">
        <v>141.49628799999999</v>
      </c>
      <c r="J89" s="110">
        <v>40.511629999999997</v>
      </c>
      <c r="K89" s="110"/>
      <c r="L89" s="110"/>
      <c r="M89" s="110"/>
      <c r="N89" s="110"/>
      <c r="O89" s="110"/>
      <c r="P89" s="109"/>
      <c r="Q89" s="109"/>
      <c r="R89" s="109"/>
      <c r="S89" s="110"/>
      <c r="T89" s="135"/>
    </row>
    <row r="90" spans="1:20" x14ac:dyDescent="0.2">
      <c r="A90" s="5">
        <v>89</v>
      </c>
      <c r="B90" s="110">
        <v>841</v>
      </c>
      <c r="C90" s="110" t="s">
        <v>399</v>
      </c>
      <c r="D90" s="110" t="s">
        <v>400</v>
      </c>
      <c r="E90" s="110"/>
      <c r="F90" s="110"/>
      <c r="G90" s="110" t="str">
        <f t="shared" si="1"/>
        <v>1</v>
      </c>
      <c r="H90" s="110"/>
      <c r="I90" s="110">
        <v>141.491578</v>
      </c>
      <c r="J90" s="110">
        <v>40.509002000000002</v>
      </c>
      <c r="K90" s="110"/>
      <c r="L90" s="110"/>
      <c r="M90" s="110"/>
      <c r="N90" s="110"/>
      <c r="O90" s="110"/>
      <c r="P90" s="109"/>
      <c r="Q90" s="109"/>
      <c r="R90" s="109"/>
      <c r="S90" s="110"/>
      <c r="T90" s="135"/>
    </row>
    <row r="91" spans="1:20" x14ac:dyDescent="0.2">
      <c r="A91" s="5">
        <v>90</v>
      </c>
      <c r="B91" s="110">
        <v>851</v>
      </c>
      <c r="C91" s="110" t="s">
        <v>401</v>
      </c>
      <c r="D91" s="110" t="s">
        <v>402</v>
      </c>
      <c r="E91" s="110"/>
      <c r="F91" s="110"/>
      <c r="G91" s="110" t="str">
        <f t="shared" si="1"/>
        <v>1</v>
      </c>
      <c r="H91" s="110"/>
      <c r="I91" s="110">
        <v>141.48954000000001</v>
      </c>
      <c r="J91" s="110">
        <v>40.507888000000001</v>
      </c>
      <c r="K91" s="110"/>
      <c r="L91" s="110"/>
      <c r="M91" s="110"/>
      <c r="N91" s="110"/>
      <c r="O91" s="110"/>
      <c r="P91" s="109"/>
      <c r="Q91" s="109"/>
      <c r="R91" s="109"/>
      <c r="S91" s="110"/>
      <c r="T91" s="135"/>
    </row>
    <row r="92" spans="1:20" x14ac:dyDescent="0.2">
      <c r="A92" s="5">
        <v>91</v>
      </c>
      <c r="B92" s="110">
        <v>682</v>
      </c>
      <c r="C92" s="110" t="s">
        <v>367</v>
      </c>
      <c r="D92" s="110" t="s">
        <v>368</v>
      </c>
      <c r="E92" s="110"/>
      <c r="F92" s="110"/>
      <c r="G92" s="110" t="str">
        <f t="shared" si="1"/>
        <v>2</v>
      </c>
      <c r="H92" s="110"/>
      <c r="I92" s="110">
        <v>141.48205100000001</v>
      </c>
      <c r="J92" s="110">
        <v>40.505723000000003</v>
      </c>
      <c r="K92" s="110"/>
      <c r="L92" s="110"/>
      <c r="M92" s="110"/>
      <c r="N92" s="110"/>
      <c r="O92" s="110"/>
      <c r="P92" s="109"/>
      <c r="Q92" s="109"/>
      <c r="R92" s="109"/>
      <c r="S92" s="110"/>
      <c r="T92" s="135"/>
    </row>
    <row r="93" spans="1:20" x14ac:dyDescent="0.2">
      <c r="A93" s="5">
        <v>92</v>
      </c>
      <c r="B93" s="110">
        <v>672</v>
      </c>
      <c r="C93" s="110" t="s">
        <v>366</v>
      </c>
      <c r="D93" s="110" t="s">
        <v>403</v>
      </c>
      <c r="E93" s="110"/>
      <c r="F93" s="110"/>
      <c r="G93" s="110" t="str">
        <f t="shared" si="1"/>
        <v>2</v>
      </c>
      <c r="H93" s="110"/>
      <c r="I93" s="110">
        <v>141.47997000000001</v>
      </c>
      <c r="J93" s="110">
        <v>40.506779999999999</v>
      </c>
      <c r="K93" s="110"/>
      <c r="L93" s="110"/>
      <c r="M93" s="110"/>
      <c r="N93" s="110"/>
      <c r="O93" s="110"/>
      <c r="P93" s="109"/>
      <c r="Q93" s="109"/>
      <c r="R93" s="109"/>
      <c r="S93" s="110"/>
      <c r="T93" s="135"/>
    </row>
    <row r="94" spans="1:20" x14ac:dyDescent="0.2">
      <c r="A94" s="5">
        <v>93</v>
      </c>
      <c r="B94" s="110">
        <v>662</v>
      </c>
      <c r="C94" s="110" t="s">
        <v>364</v>
      </c>
      <c r="D94" s="110" t="s">
        <v>365</v>
      </c>
      <c r="E94" s="110"/>
      <c r="F94" s="110"/>
      <c r="G94" s="110" t="str">
        <f t="shared" si="1"/>
        <v>2</v>
      </c>
      <c r="H94" s="110"/>
      <c r="I94" s="110">
        <v>141.47687999999999</v>
      </c>
      <c r="J94" s="110">
        <v>40.50909</v>
      </c>
      <c r="K94" s="110"/>
      <c r="L94" s="110"/>
      <c r="M94" s="110"/>
      <c r="N94" s="110"/>
      <c r="O94" s="110"/>
      <c r="P94" s="109"/>
      <c r="Q94" s="109"/>
      <c r="R94" s="109"/>
      <c r="S94" s="110"/>
      <c r="T94" s="135"/>
    </row>
    <row r="95" spans="1:20" x14ac:dyDescent="0.2">
      <c r="A95" s="5">
        <v>94</v>
      </c>
      <c r="B95" s="110">
        <v>652</v>
      </c>
      <c r="C95" s="110" t="s">
        <v>362</v>
      </c>
      <c r="D95" s="110" t="s">
        <v>363</v>
      </c>
      <c r="E95" s="110"/>
      <c r="F95" s="110"/>
      <c r="G95" s="110" t="str">
        <f t="shared" si="1"/>
        <v>2</v>
      </c>
      <c r="H95" s="110"/>
      <c r="I95" s="110">
        <v>141.47548499999999</v>
      </c>
      <c r="J95" s="110">
        <v>40.510666000000001</v>
      </c>
      <c r="K95" s="110"/>
      <c r="L95" s="110"/>
      <c r="M95" s="110"/>
      <c r="N95" s="110"/>
      <c r="O95" s="110"/>
      <c r="P95" s="109"/>
      <c r="Q95" s="109"/>
      <c r="R95" s="109"/>
      <c r="S95" s="110"/>
      <c r="T95" s="135"/>
    </row>
    <row r="96" spans="1:20" x14ac:dyDescent="0.2">
      <c r="A96" s="5">
        <v>95</v>
      </c>
      <c r="B96" s="110">
        <v>642</v>
      </c>
      <c r="C96" s="110" t="s">
        <v>360</v>
      </c>
      <c r="D96" s="110" t="s">
        <v>361</v>
      </c>
      <c r="E96" s="110"/>
      <c r="F96" s="110"/>
      <c r="G96" s="110" t="str">
        <f t="shared" si="1"/>
        <v>2</v>
      </c>
      <c r="H96" s="110"/>
      <c r="I96" s="110">
        <v>141.47334499999999</v>
      </c>
      <c r="J96" s="110">
        <v>40.513297999999999</v>
      </c>
      <c r="K96" s="110"/>
      <c r="L96" s="110"/>
      <c r="M96" s="110"/>
      <c r="N96" s="110"/>
      <c r="O96" s="110"/>
      <c r="P96" s="109"/>
      <c r="Q96" s="109"/>
      <c r="R96" s="109"/>
      <c r="S96" s="110"/>
      <c r="T96" s="135"/>
    </row>
    <row r="97" spans="1:20" x14ac:dyDescent="0.2">
      <c r="A97" s="5">
        <v>96</v>
      </c>
      <c r="B97" s="110">
        <v>632</v>
      </c>
      <c r="C97" s="110" t="s">
        <v>358</v>
      </c>
      <c r="D97" s="110" t="s">
        <v>359</v>
      </c>
      <c r="E97" s="110"/>
      <c r="F97" s="110"/>
      <c r="G97" s="110" t="str">
        <f t="shared" si="1"/>
        <v>2</v>
      </c>
      <c r="H97" s="110"/>
      <c r="I97" s="110">
        <v>141.431647</v>
      </c>
      <c r="J97" s="110">
        <v>40.508310999999999</v>
      </c>
      <c r="K97" s="110"/>
      <c r="L97" s="110"/>
      <c r="M97" s="110"/>
      <c r="N97" s="110"/>
      <c r="O97" s="110"/>
      <c r="P97" s="109"/>
      <c r="Q97" s="109"/>
      <c r="R97" s="109"/>
      <c r="S97" s="110"/>
      <c r="T97" s="135"/>
    </row>
    <row r="98" spans="1:20" x14ac:dyDescent="0.2">
      <c r="A98" s="5">
        <v>97</v>
      </c>
      <c r="B98" s="110">
        <v>612</v>
      </c>
      <c r="C98" s="110" t="s">
        <v>354</v>
      </c>
      <c r="D98" s="110" t="s">
        <v>355</v>
      </c>
      <c r="E98" s="110"/>
      <c r="F98" s="110"/>
      <c r="G98" s="110" t="str">
        <f t="shared" si="1"/>
        <v>2</v>
      </c>
      <c r="H98" s="110"/>
      <c r="I98" s="110">
        <v>141.46714900000001</v>
      </c>
      <c r="J98" s="110">
        <v>40.519578000000003</v>
      </c>
      <c r="K98" s="110"/>
      <c r="L98" s="110"/>
      <c r="M98" s="110"/>
      <c r="N98" s="110"/>
      <c r="O98" s="110"/>
      <c r="P98" s="109"/>
      <c r="Q98" s="109"/>
      <c r="R98" s="109"/>
      <c r="S98" s="110"/>
      <c r="T98" s="135"/>
    </row>
    <row r="99" spans="1:20" x14ac:dyDescent="0.2">
      <c r="A99" s="5">
        <v>98</v>
      </c>
      <c r="B99" s="110">
        <v>602</v>
      </c>
      <c r="C99" s="110" t="s">
        <v>352</v>
      </c>
      <c r="D99" s="110" t="s">
        <v>353</v>
      </c>
      <c r="E99" s="110"/>
      <c r="F99" s="110"/>
      <c r="G99" s="110" t="str">
        <f t="shared" si="1"/>
        <v>2</v>
      </c>
      <c r="H99" s="110"/>
      <c r="I99" s="110">
        <v>141.46636000000001</v>
      </c>
      <c r="J99" s="110">
        <v>40.524234</v>
      </c>
      <c r="K99" s="110"/>
      <c r="L99" s="110"/>
      <c r="M99" s="110"/>
      <c r="N99" s="110"/>
      <c r="O99" s="110"/>
      <c r="P99" s="109"/>
      <c r="Q99" s="109"/>
      <c r="R99" s="109"/>
      <c r="S99" s="110"/>
      <c r="T99" s="135"/>
    </row>
    <row r="100" spans="1:20" x14ac:dyDescent="0.2">
      <c r="A100" s="5">
        <v>99</v>
      </c>
      <c r="B100" s="110">
        <v>592</v>
      </c>
      <c r="C100" s="110" t="s">
        <v>350</v>
      </c>
      <c r="D100" s="110" t="s">
        <v>351</v>
      </c>
      <c r="E100" s="110"/>
      <c r="F100" s="110"/>
      <c r="G100" s="110" t="str">
        <f t="shared" si="1"/>
        <v>2</v>
      </c>
      <c r="H100" s="110"/>
      <c r="I100" s="110">
        <v>141.46636599999999</v>
      </c>
      <c r="J100" s="110">
        <v>40.528525999999999</v>
      </c>
      <c r="K100" s="110"/>
      <c r="L100" s="110"/>
      <c r="M100" s="110"/>
      <c r="N100" s="110"/>
      <c r="O100" s="110"/>
      <c r="P100" s="109"/>
      <c r="Q100" s="109"/>
      <c r="R100" s="109"/>
      <c r="S100" s="110"/>
      <c r="T100" s="135"/>
    </row>
    <row r="101" spans="1:20" x14ac:dyDescent="0.2">
      <c r="A101" s="5">
        <v>100</v>
      </c>
      <c r="B101" s="110">
        <v>582</v>
      </c>
      <c r="C101" s="110" t="s">
        <v>348</v>
      </c>
      <c r="D101" s="110" t="s">
        <v>349</v>
      </c>
      <c r="E101" s="110"/>
      <c r="F101" s="110"/>
      <c r="G101" s="110" t="str">
        <f t="shared" si="1"/>
        <v>2</v>
      </c>
      <c r="H101" s="110"/>
      <c r="I101" s="110">
        <v>141.470823</v>
      </c>
      <c r="J101" s="110">
        <v>40.532662999999999</v>
      </c>
      <c r="K101" s="110"/>
      <c r="L101" s="110"/>
      <c r="M101" s="110"/>
      <c r="N101" s="110"/>
      <c r="O101" s="110"/>
      <c r="P101" s="109"/>
      <c r="Q101" s="109"/>
      <c r="R101" s="109"/>
      <c r="S101" s="110"/>
      <c r="T101" s="135"/>
    </row>
    <row r="102" spans="1:20" x14ac:dyDescent="0.2">
      <c r="A102" s="5">
        <v>101</v>
      </c>
      <c r="B102" s="110">
        <v>572</v>
      </c>
      <c r="C102" s="110" t="s">
        <v>346</v>
      </c>
      <c r="D102" s="192" t="s">
        <v>347</v>
      </c>
      <c r="E102" s="110"/>
      <c r="F102" s="110"/>
      <c r="G102" s="110" t="str">
        <f t="shared" si="1"/>
        <v>2</v>
      </c>
      <c r="H102" s="110"/>
      <c r="I102" s="110">
        <v>141.46887599999999</v>
      </c>
      <c r="J102" s="110">
        <v>40.537872</v>
      </c>
      <c r="K102" s="110"/>
      <c r="L102" s="110"/>
      <c r="M102" s="110"/>
      <c r="N102" s="110"/>
      <c r="O102" s="110"/>
      <c r="P102" s="109"/>
      <c r="Q102" s="109"/>
      <c r="R102" s="109"/>
      <c r="S102" s="110"/>
      <c r="T102" s="135"/>
    </row>
    <row r="103" spans="1:20" x14ac:dyDescent="0.2">
      <c r="A103" s="5">
        <v>102</v>
      </c>
      <c r="B103" s="110">
        <v>562</v>
      </c>
      <c r="C103" s="110" t="s">
        <v>344</v>
      </c>
      <c r="D103" s="110" t="s">
        <v>345</v>
      </c>
      <c r="E103" s="110"/>
      <c r="F103" s="110"/>
      <c r="G103" s="110" t="str">
        <f t="shared" si="1"/>
        <v>2</v>
      </c>
      <c r="H103" s="110"/>
      <c r="I103" s="110">
        <v>141.464654</v>
      </c>
      <c r="J103" s="110">
        <v>40.542256999999999</v>
      </c>
      <c r="K103" s="110"/>
      <c r="L103" s="110"/>
      <c r="M103" s="110"/>
      <c r="N103" s="110"/>
      <c r="O103" s="110"/>
      <c r="P103" s="109"/>
      <c r="Q103" s="109"/>
      <c r="R103" s="109"/>
      <c r="S103" s="110"/>
      <c r="T103" s="135"/>
    </row>
    <row r="104" spans="1:20" x14ac:dyDescent="0.2">
      <c r="A104" s="5">
        <v>103</v>
      </c>
      <c r="B104" s="110">
        <v>552</v>
      </c>
      <c r="C104" s="110" t="s">
        <v>342</v>
      </c>
      <c r="D104" s="110" t="s">
        <v>343</v>
      </c>
      <c r="E104" s="110"/>
      <c r="F104" s="110"/>
      <c r="G104" s="110" t="str">
        <f t="shared" si="1"/>
        <v>2</v>
      </c>
      <c r="H104" s="110"/>
      <c r="I104" s="110">
        <v>141.46059299999999</v>
      </c>
      <c r="J104" s="110">
        <v>40.543334000000002</v>
      </c>
      <c r="K104" s="110"/>
      <c r="L104" s="110"/>
      <c r="M104" s="110"/>
      <c r="N104" s="110"/>
      <c r="O104" s="110"/>
      <c r="P104" s="109"/>
      <c r="Q104" s="109"/>
      <c r="R104" s="109"/>
      <c r="S104" s="110"/>
      <c r="T104" s="135"/>
    </row>
    <row r="105" spans="1:20" x14ac:dyDescent="0.2">
      <c r="A105" s="5">
        <v>104</v>
      </c>
      <c r="B105" s="110">
        <v>542</v>
      </c>
      <c r="C105" s="110" t="s">
        <v>340</v>
      </c>
      <c r="D105" s="110" t="s">
        <v>341</v>
      </c>
      <c r="E105" s="110"/>
      <c r="F105" s="110"/>
      <c r="G105" s="110" t="str">
        <f t="shared" si="1"/>
        <v>2</v>
      </c>
      <c r="H105" s="110"/>
      <c r="I105" s="110">
        <v>141.45549199999999</v>
      </c>
      <c r="J105" s="110">
        <v>40.543436</v>
      </c>
      <c r="K105" s="110"/>
      <c r="L105" s="110"/>
      <c r="M105" s="110"/>
      <c r="N105" s="110"/>
      <c r="O105" s="110"/>
      <c r="P105" s="109"/>
      <c r="Q105" s="109"/>
      <c r="R105" s="109"/>
      <c r="S105" s="110"/>
      <c r="T105" s="135"/>
    </row>
    <row r="106" spans="1:20" x14ac:dyDescent="0.2">
      <c r="A106" s="5">
        <v>105</v>
      </c>
      <c r="B106" s="110">
        <v>532</v>
      </c>
      <c r="C106" s="110" t="s">
        <v>338</v>
      </c>
      <c r="D106" s="110" t="s">
        <v>339</v>
      </c>
      <c r="E106" s="110"/>
      <c r="F106" s="110"/>
      <c r="G106" s="110" t="str">
        <f t="shared" si="1"/>
        <v>2</v>
      </c>
      <c r="H106" s="110"/>
      <c r="I106" s="110">
        <v>141.45268100000001</v>
      </c>
      <c r="J106" s="110">
        <v>40.545267000000003</v>
      </c>
      <c r="K106" s="110"/>
      <c r="L106" s="110"/>
      <c r="M106" s="110"/>
      <c r="N106" s="110"/>
      <c r="O106" s="110"/>
      <c r="P106" s="109"/>
      <c r="Q106" s="109"/>
      <c r="R106" s="109"/>
      <c r="S106" s="110"/>
      <c r="T106" s="135"/>
    </row>
    <row r="107" spans="1:20" x14ac:dyDescent="0.2">
      <c r="A107" s="5">
        <v>106</v>
      </c>
      <c r="B107" s="110">
        <v>522</v>
      </c>
      <c r="C107" s="110" t="s">
        <v>336</v>
      </c>
      <c r="D107" s="110" t="s">
        <v>337</v>
      </c>
      <c r="E107" s="110"/>
      <c r="F107" s="110"/>
      <c r="G107" s="110" t="str">
        <f t="shared" si="1"/>
        <v>2</v>
      </c>
      <c r="H107" s="110"/>
      <c r="I107" s="110">
        <v>141.45103900000001</v>
      </c>
      <c r="J107" s="110">
        <v>40.550646</v>
      </c>
      <c r="K107" s="110"/>
      <c r="L107" s="110"/>
      <c r="M107" s="110"/>
      <c r="N107" s="110"/>
      <c r="O107" s="110"/>
      <c r="P107" s="109"/>
      <c r="Q107" s="109"/>
      <c r="R107" s="109"/>
      <c r="S107" s="110"/>
      <c r="T107" s="135"/>
    </row>
    <row r="108" spans="1:20" x14ac:dyDescent="0.2">
      <c r="A108" s="5">
        <v>107</v>
      </c>
      <c r="B108" s="110">
        <v>512</v>
      </c>
      <c r="C108" s="110" t="s">
        <v>334</v>
      </c>
      <c r="D108" s="110" t="s">
        <v>335</v>
      </c>
      <c r="E108" s="110"/>
      <c r="F108" s="110"/>
      <c r="G108" s="110" t="str">
        <f t="shared" si="1"/>
        <v>2</v>
      </c>
      <c r="H108" s="110"/>
      <c r="I108" s="110">
        <v>141.448443</v>
      </c>
      <c r="J108" s="110">
        <v>40.554799000000003</v>
      </c>
      <c r="K108" s="110"/>
      <c r="L108" s="110"/>
      <c r="M108" s="110"/>
      <c r="N108" s="110"/>
      <c r="O108" s="110"/>
      <c r="P108" s="109"/>
      <c r="Q108" s="109"/>
      <c r="R108" s="109"/>
      <c r="S108" s="110"/>
      <c r="T108" s="135"/>
    </row>
    <row r="109" spans="1:20" x14ac:dyDescent="0.2">
      <c r="A109" s="5">
        <v>108</v>
      </c>
      <c r="B109" s="110">
        <v>502</v>
      </c>
      <c r="C109" s="110" t="s">
        <v>332</v>
      </c>
      <c r="D109" s="192" t="s">
        <v>333</v>
      </c>
      <c r="E109" s="110"/>
      <c r="F109" s="110"/>
      <c r="G109" s="110" t="str">
        <f t="shared" si="1"/>
        <v>2</v>
      </c>
      <c r="H109" s="110"/>
      <c r="I109" s="110">
        <v>141.45052999999999</v>
      </c>
      <c r="J109" s="110">
        <v>40.558894000000002</v>
      </c>
      <c r="K109" s="110"/>
      <c r="L109" s="110"/>
      <c r="M109" s="110"/>
      <c r="N109" s="110"/>
      <c r="O109" s="110"/>
      <c r="P109" s="109"/>
      <c r="Q109" s="109"/>
      <c r="R109" s="109"/>
      <c r="S109" s="110"/>
      <c r="T109" s="135"/>
    </row>
    <row r="110" spans="1:20" x14ac:dyDescent="0.2">
      <c r="A110" s="5">
        <v>109</v>
      </c>
      <c r="B110" s="110">
        <v>492</v>
      </c>
      <c r="C110" s="110" t="s">
        <v>330</v>
      </c>
      <c r="D110" s="110" t="s">
        <v>331</v>
      </c>
      <c r="E110" s="110"/>
      <c r="F110" s="110"/>
      <c r="G110" s="110" t="str">
        <f t="shared" si="1"/>
        <v>2</v>
      </c>
      <c r="H110" s="110"/>
      <c r="I110" s="110">
        <v>141.44897900000001</v>
      </c>
      <c r="J110" s="110">
        <v>40.560442999999999</v>
      </c>
      <c r="K110" s="110"/>
      <c r="L110" s="110"/>
      <c r="M110" s="110"/>
      <c r="N110" s="110"/>
      <c r="O110" s="110"/>
      <c r="P110" s="109"/>
      <c r="Q110" s="109"/>
      <c r="R110" s="109"/>
      <c r="S110" s="110"/>
      <c r="T110" s="135"/>
    </row>
    <row r="111" spans="1:20" x14ac:dyDescent="0.2">
      <c r="A111" s="5">
        <v>110</v>
      </c>
      <c r="B111" s="110">
        <v>482</v>
      </c>
      <c r="C111" s="110" t="s">
        <v>328</v>
      </c>
      <c r="D111" s="110" t="s">
        <v>329</v>
      </c>
      <c r="E111" s="110"/>
      <c r="F111" s="110"/>
      <c r="G111" s="110" t="str">
        <f t="shared" si="1"/>
        <v>2</v>
      </c>
      <c r="H111" s="110"/>
      <c r="I111" s="110">
        <v>141.447992</v>
      </c>
      <c r="J111" s="110">
        <v>40.561418000000003</v>
      </c>
      <c r="K111" s="110"/>
      <c r="L111" s="110"/>
      <c r="M111" s="110"/>
      <c r="N111" s="110"/>
      <c r="O111" s="110"/>
      <c r="P111" s="109"/>
      <c r="Q111" s="109"/>
      <c r="R111" s="109"/>
      <c r="S111" s="110"/>
      <c r="T111" s="135"/>
    </row>
    <row r="112" spans="1:20" x14ac:dyDescent="0.2">
      <c r="A112" s="5">
        <v>111</v>
      </c>
      <c r="B112" s="110">
        <v>472</v>
      </c>
      <c r="C112" s="110" t="s">
        <v>326</v>
      </c>
      <c r="D112" s="110" t="s">
        <v>327</v>
      </c>
      <c r="E112" s="110"/>
      <c r="F112" s="110"/>
      <c r="G112" s="110" t="str">
        <f t="shared" si="1"/>
        <v>2</v>
      </c>
      <c r="H112" s="110"/>
      <c r="I112" s="110">
        <v>141.44180700000001</v>
      </c>
      <c r="J112" s="110">
        <v>40.565193000000001</v>
      </c>
      <c r="K112" s="110"/>
      <c r="L112" s="110"/>
      <c r="M112" s="110"/>
      <c r="N112" s="110"/>
      <c r="O112" s="110"/>
      <c r="P112" s="109"/>
      <c r="Q112" s="109"/>
      <c r="R112" s="109"/>
      <c r="S112" s="110"/>
      <c r="T112" s="135"/>
    </row>
    <row r="113" spans="1:20" x14ac:dyDescent="0.2">
      <c r="A113" s="5">
        <v>112</v>
      </c>
      <c r="B113" s="110">
        <v>462</v>
      </c>
      <c r="C113" s="110" t="s">
        <v>324</v>
      </c>
      <c r="D113" s="110" t="s">
        <v>325</v>
      </c>
      <c r="E113" s="110"/>
      <c r="F113" s="110"/>
      <c r="G113" s="110" t="str">
        <f t="shared" si="1"/>
        <v>2</v>
      </c>
      <c r="H113" s="110"/>
      <c r="I113" s="110">
        <v>141.440348</v>
      </c>
      <c r="J113" s="110">
        <v>40.575274</v>
      </c>
      <c r="K113" s="110"/>
      <c r="L113" s="110"/>
      <c r="M113" s="110"/>
      <c r="N113" s="110"/>
      <c r="O113" s="110"/>
      <c r="P113" s="109"/>
      <c r="Q113" s="109"/>
      <c r="R113" s="109"/>
      <c r="S113" s="110"/>
      <c r="T113" s="135"/>
    </row>
    <row r="114" spans="1:20" x14ac:dyDescent="0.2">
      <c r="A114" s="5">
        <v>113</v>
      </c>
      <c r="B114" s="110">
        <v>452</v>
      </c>
      <c r="C114" s="110" t="s">
        <v>322</v>
      </c>
      <c r="D114" s="110" t="s">
        <v>323</v>
      </c>
      <c r="E114" s="110"/>
      <c r="F114" s="110"/>
      <c r="G114" s="110" t="str">
        <f t="shared" si="1"/>
        <v>2</v>
      </c>
      <c r="H114" s="110"/>
      <c r="I114" s="110">
        <v>141.44036399999999</v>
      </c>
      <c r="J114" s="110">
        <v>40.577992999999999</v>
      </c>
      <c r="K114" s="110"/>
      <c r="L114" s="110"/>
      <c r="M114" s="110"/>
      <c r="N114" s="110"/>
      <c r="O114" s="110"/>
      <c r="P114" s="109"/>
      <c r="Q114" s="109"/>
      <c r="R114" s="109"/>
      <c r="S114" s="110"/>
      <c r="T114" s="135"/>
    </row>
    <row r="115" spans="1:20" x14ac:dyDescent="0.2">
      <c r="A115" s="5">
        <v>114</v>
      </c>
      <c r="B115" s="110">
        <v>442</v>
      </c>
      <c r="C115" s="110" t="s">
        <v>320</v>
      </c>
      <c r="D115" s="110" t="s">
        <v>321</v>
      </c>
      <c r="E115" s="110"/>
      <c r="F115" s="110"/>
      <c r="G115" s="110" t="str">
        <f t="shared" si="1"/>
        <v>2</v>
      </c>
      <c r="H115" s="110"/>
      <c r="I115" s="110">
        <v>141.436218</v>
      </c>
      <c r="J115" s="110">
        <v>40.584453000000003</v>
      </c>
      <c r="K115" s="110"/>
      <c r="L115" s="110"/>
      <c r="M115" s="110"/>
      <c r="N115" s="110"/>
      <c r="O115" s="110"/>
      <c r="P115" s="109"/>
      <c r="Q115" s="109"/>
      <c r="R115" s="109"/>
      <c r="S115" s="110"/>
      <c r="T115" s="135"/>
    </row>
    <row r="116" spans="1:20" x14ac:dyDescent="0.2">
      <c r="A116" s="5">
        <v>115</v>
      </c>
      <c r="B116" s="110">
        <v>432</v>
      </c>
      <c r="C116" s="110" t="s">
        <v>318</v>
      </c>
      <c r="D116" s="110" t="s">
        <v>319</v>
      </c>
      <c r="E116" s="110"/>
      <c r="F116" s="110"/>
      <c r="G116" s="110" t="str">
        <f t="shared" si="1"/>
        <v>2</v>
      </c>
      <c r="H116" s="110"/>
      <c r="I116" s="110">
        <v>141.43221</v>
      </c>
      <c r="J116" s="110">
        <v>40.590218</v>
      </c>
      <c r="K116" s="110"/>
      <c r="L116" s="110"/>
      <c r="M116" s="110"/>
      <c r="N116" s="110"/>
      <c r="O116" s="110"/>
      <c r="P116" s="109"/>
      <c r="Q116" s="109"/>
      <c r="R116" s="109"/>
      <c r="S116" s="110"/>
      <c r="T116" s="135"/>
    </row>
    <row r="117" spans="1:20" x14ac:dyDescent="0.2">
      <c r="A117" s="5">
        <v>116</v>
      </c>
      <c r="B117" s="110">
        <v>422</v>
      </c>
      <c r="C117" s="110" t="s">
        <v>316</v>
      </c>
      <c r="D117" s="192" t="s">
        <v>317</v>
      </c>
      <c r="E117" s="110"/>
      <c r="F117" s="110"/>
      <c r="G117" s="110" t="str">
        <f t="shared" si="1"/>
        <v>2</v>
      </c>
      <c r="H117" s="110"/>
      <c r="I117" s="110">
        <v>141.43090699999999</v>
      </c>
      <c r="J117" s="110">
        <v>40.592731999999998</v>
      </c>
      <c r="K117" s="110"/>
      <c r="L117" s="110"/>
      <c r="M117" s="110"/>
      <c r="N117" s="110"/>
      <c r="O117" s="110"/>
      <c r="P117" s="109"/>
      <c r="Q117" s="109"/>
      <c r="R117" s="109"/>
      <c r="S117" s="110"/>
      <c r="T117" s="135"/>
    </row>
    <row r="118" spans="1:20" x14ac:dyDescent="0.2">
      <c r="A118" s="5">
        <v>117</v>
      </c>
      <c r="B118" s="110">
        <v>412</v>
      </c>
      <c r="C118" s="110" t="s">
        <v>314</v>
      </c>
      <c r="D118" s="110" t="s">
        <v>315</v>
      </c>
      <c r="E118" s="110"/>
      <c r="F118" s="110"/>
      <c r="G118" s="110" t="str">
        <f t="shared" si="1"/>
        <v>2</v>
      </c>
      <c r="H118" s="110"/>
      <c r="I118" s="110">
        <v>141.43007499999999</v>
      </c>
      <c r="J118" s="110">
        <v>40.594746000000001</v>
      </c>
      <c r="K118" s="110"/>
      <c r="L118" s="110"/>
      <c r="M118" s="110"/>
      <c r="N118" s="110"/>
      <c r="O118" s="110"/>
      <c r="P118" s="109"/>
      <c r="Q118" s="109"/>
      <c r="R118" s="109"/>
      <c r="S118" s="110"/>
      <c r="T118" s="135"/>
    </row>
    <row r="119" spans="1:20" x14ac:dyDescent="0.2">
      <c r="A119" s="5">
        <v>118</v>
      </c>
      <c r="B119" s="110">
        <v>402</v>
      </c>
      <c r="C119" s="110" t="s">
        <v>312</v>
      </c>
      <c r="D119" s="110" t="s">
        <v>313</v>
      </c>
      <c r="E119" s="110"/>
      <c r="F119" s="110"/>
      <c r="G119" s="110" t="str">
        <f t="shared" si="1"/>
        <v>2</v>
      </c>
      <c r="H119" s="110"/>
      <c r="I119" s="110">
        <v>141.43005400000001</v>
      </c>
      <c r="J119" s="110">
        <v>40.597045000000001</v>
      </c>
      <c r="K119" s="110"/>
      <c r="L119" s="110"/>
      <c r="M119" s="110"/>
      <c r="N119" s="110"/>
      <c r="O119" s="110"/>
      <c r="P119" s="109"/>
      <c r="Q119" s="109"/>
      <c r="R119" s="109"/>
      <c r="S119" s="110"/>
      <c r="T119" s="135"/>
    </row>
    <row r="120" spans="1:20" x14ac:dyDescent="0.2">
      <c r="A120" s="5">
        <v>119</v>
      </c>
      <c r="B120" s="110">
        <v>392</v>
      </c>
      <c r="C120" s="110" t="s">
        <v>310</v>
      </c>
      <c r="D120" s="110" t="s">
        <v>311</v>
      </c>
      <c r="E120" s="110"/>
      <c r="F120" s="110"/>
      <c r="G120" s="110" t="str">
        <f t="shared" si="1"/>
        <v>2</v>
      </c>
      <c r="H120" s="110"/>
      <c r="I120" s="110">
        <v>141.430362</v>
      </c>
      <c r="J120" s="110">
        <v>40.598638000000001</v>
      </c>
      <c r="K120" s="110"/>
      <c r="L120" s="110"/>
      <c r="M120" s="110"/>
      <c r="N120" s="110"/>
      <c r="O120" s="110"/>
      <c r="P120" s="109"/>
      <c r="Q120" s="109"/>
      <c r="R120" s="109"/>
      <c r="S120" s="110"/>
      <c r="T120" s="135"/>
    </row>
    <row r="121" spans="1:20" x14ac:dyDescent="0.2">
      <c r="A121" s="5">
        <v>120</v>
      </c>
      <c r="B121" s="110">
        <v>382</v>
      </c>
      <c r="C121" s="110" t="s">
        <v>308</v>
      </c>
      <c r="D121" s="110" t="s">
        <v>309</v>
      </c>
      <c r="E121" s="110"/>
      <c r="F121" s="110"/>
      <c r="G121" s="110" t="str">
        <f t="shared" si="1"/>
        <v>2</v>
      </c>
      <c r="H121" s="110"/>
      <c r="I121" s="110">
        <v>141.416224</v>
      </c>
      <c r="J121" s="110">
        <v>40.599690000000002</v>
      </c>
      <c r="K121" s="110"/>
      <c r="L121" s="110"/>
      <c r="M121" s="110"/>
      <c r="N121" s="110"/>
      <c r="O121" s="110"/>
      <c r="P121" s="109"/>
      <c r="Q121" s="109"/>
      <c r="R121" s="109"/>
      <c r="S121" s="110"/>
      <c r="T121" s="135"/>
    </row>
    <row r="122" spans="1:20" x14ac:dyDescent="0.2">
      <c r="A122" s="5">
        <v>121</v>
      </c>
      <c r="B122" s="110">
        <v>372</v>
      </c>
      <c r="C122" s="110" t="s">
        <v>306</v>
      </c>
      <c r="D122" s="110" t="s">
        <v>307</v>
      </c>
      <c r="E122" s="110"/>
      <c r="F122" s="110"/>
      <c r="G122" s="110" t="str">
        <f t="shared" si="1"/>
        <v>2</v>
      </c>
      <c r="H122" s="110"/>
      <c r="I122" s="110">
        <v>141.40928299999999</v>
      </c>
      <c r="J122" s="110">
        <v>40.602423000000002</v>
      </c>
      <c r="K122" s="110"/>
      <c r="L122" s="110"/>
      <c r="M122" s="110"/>
      <c r="N122" s="110"/>
      <c r="O122" s="110"/>
      <c r="P122" s="109"/>
      <c r="Q122" s="109"/>
      <c r="R122" s="109"/>
      <c r="S122" s="110"/>
      <c r="T122" s="135"/>
    </row>
    <row r="123" spans="1:20" x14ac:dyDescent="0.2">
      <c r="A123" s="5">
        <v>122</v>
      </c>
      <c r="B123" s="110">
        <v>362</v>
      </c>
      <c r="C123" s="110" t="s">
        <v>304</v>
      </c>
      <c r="D123" s="110" t="s">
        <v>305</v>
      </c>
      <c r="E123" s="110"/>
      <c r="F123" s="110"/>
      <c r="G123" s="110" t="str">
        <f t="shared" si="1"/>
        <v>2</v>
      </c>
      <c r="H123" s="110"/>
      <c r="I123" s="110">
        <v>141.39908</v>
      </c>
      <c r="J123" s="110">
        <v>40.604404000000002</v>
      </c>
      <c r="K123" s="110"/>
      <c r="L123" s="110"/>
      <c r="M123" s="110"/>
      <c r="N123" s="110"/>
      <c r="O123" s="110"/>
      <c r="P123" s="109"/>
      <c r="Q123" s="109"/>
      <c r="R123" s="109"/>
      <c r="S123" s="110"/>
      <c r="T123" s="135"/>
    </row>
    <row r="124" spans="1:20" x14ac:dyDescent="0.2">
      <c r="A124" s="5">
        <v>123</v>
      </c>
      <c r="B124" s="110">
        <v>352</v>
      </c>
      <c r="C124" s="110" t="s">
        <v>302</v>
      </c>
      <c r="D124" s="110" t="s">
        <v>303</v>
      </c>
      <c r="E124" s="110"/>
      <c r="F124" s="110"/>
      <c r="G124" s="110" t="str">
        <f t="shared" si="1"/>
        <v>2</v>
      </c>
      <c r="H124" s="110"/>
      <c r="I124" s="110">
        <v>141.39669499999999</v>
      </c>
      <c r="J124" s="110">
        <v>40.601773999999999</v>
      </c>
      <c r="K124" s="110"/>
      <c r="L124" s="110"/>
      <c r="M124" s="110"/>
      <c r="N124" s="110"/>
      <c r="O124" s="110"/>
      <c r="P124" s="109"/>
      <c r="Q124" s="109"/>
      <c r="R124" s="109"/>
      <c r="S124" s="110"/>
      <c r="T124" s="135"/>
    </row>
    <row r="125" spans="1:20" x14ac:dyDescent="0.2">
      <c r="A125" s="5">
        <v>124</v>
      </c>
      <c r="B125" s="110">
        <v>322</v>
      </c>
      <c r="C125" s="110" t="s">
        <v>296</v>
      </c>
      <c r="D125" s="192" t="s">
        <v>297</v>
      </c>
      <c r="E125" s="110"/>
      <c r="F125" s="110"/>
      <c r="G125" s="110" t="str">
        <f t="shared" si="1"/>
        <v>2</v>
      </c>
      <c r="H125" s="110"/>
      <c r="I125" s="110">
        <v>141.39612700000001</v>
      </c>
      <c r="J125" s="110">
        <v>40.598300000000002</v>
      </c>
      <c r="K125" s="110"/>
      <c r="L125" s="110"/>
      <c r="M125" s="110"/>
      <c r="N125" s="110"/>
      <c r="O125" s="110"/>
      <c r="P125" s="109"/>
      <c r="Q125" s="109"/>
      <c r="R125" s="109"/>
      <c r="S125" s="110"/>
      <c r="T125" s="135"/>
    </row>
    <row r="126" spans="1:20" x14ac:dyDescent="0.2">
      <c r="A126" s="5">
        <v>125</v>
      </c>
      <c r="B126" s="110">
        <v>312</v>
      </c>
      <c r="C126" s="110" t="s">
        <v>294</v>
      </c>
      <c r="D126" s="110" t="s">
        <v>295</v>
      </c>
      <c r="E126" s="110"/>
      <c r="F126" s="110"/>
      <c r="G126" s="110" t="str">
        <f t="shared" si="1"/>
        <v>2</v>
      </c>
      <c r="H126" s="110"/>
      <c r="I126" s="110">
        <v>141.392259</v>
      </c>
      <c r="J126" s="110">
        <v>40.598145000000002</v>
      </c>
      <c r="K126" s="110"/>
      <c r="L126" s="110"/>
      <c r="M126" s="110"/>
      <c r="N126" s="110"/>
      <c r="O126" s="110"/>
      <c r="P126" s="109"/>
      <c r="Q126" s="109"/>
      <c r="R126" s="109"/>
      <c r="S126" s="110"/>
      <c r="T126" s="135"/>
    </row>
    <row r="127" spans="1:20" x14ac:dyDescent="0.2">
      <c r="A127" s="5">
        <v>126</v>
      </c>
      <c r="B127" s="110">
        <v>302</v>
      </c>
      <c r="C127" s="110" t="s">
        <v>292</v>
      </c>
      <c r="D127" s="192" t="s">
        <v>293</v>
      </c>
      <c r="E127" s="110"/>
      <c r="F127" s="110"/>
      <c r="G127" s="110" t="str">
        <f t="shared" si="1"/>
        <v>2</v>
      </c>
      <c r="H127" s="110"/>
      <c r="I127" s="193">
        <v>141.38617300000001</v>
      </c>
      <c r="J127" s="193">
        <v>40.602041</v>
      </c>
      <c r="K127" s="110"/>
      <c r="L127" s="110"/>
      <c r="M127" s="110"/>
      <c r="N127" s="110"/>
      <c r="O127" s="110"/>
      <c r="P127" s="109"/>
      <c r="Q127" s="109"/>
      <c r="R127" s="109"/>
      <c r="S127" s="110"/>
      <c r="T127" s="135"/>
    </row>
    <row r="128" spans="1:20" x14ac:dyDescent="0.2">
      <c r="A128" s="5">
        <v>127</v>
      </c>
      <c r="B128" s="110">
        <v>292</v>
      </c>
      <c r="C128" s="110" t="s">
        <v>290</v>
      </c>
      <c r="D128" s="110" t="s">
        <v>291</v>
      </c>
      <c r="E128" s="110"/>
      <c r="F128" s="110"/>
      <c r="G128" s="110" t="str">
        <f t="shared" si="1"/>
        <v>2</v>
      </c>
      <c r="H128" s="110"/>
      <c r="I128" s="193">
        <v>141.387224</v>
      </c>
      <c r="J128" s="193">
        <v>40.604148000000002</v>
      </c>
      <c r="K128" s="110"/>
      <c r="L128" s="110"/>
      <c r="M128" s="110"/>
      <c r="N128" s="110"/>
      <c r="O128" s="110"/>
      <c r="P128" s="109"/>
      <c r="Q128" s="109"/>
      <c r="R128" s="109"/>
      <c r="S128" s="110"/>
      <c r="T128" s="135"/>
    </row>
    <row r="129" spans="1:20" x14ac:dyDescent="0.2">
      <c r="A129" s="5">
        <v>128</v>
      </c>
      <c r="B129" s="110">
        <v>282</v>
      </c>
      <c r="C129" s="110" t="s">
        <v>288</v>
      </c>
      <c r="D129" s="110" t="s">
        <v>289</v>
      </c>
      <c r="E129" s="110"/>
      <c r="F129" s="110"/>
      <c r="G129" s="110" t="str">
        <f t="shared" si="1"/>
        <v>2</v>
      </c>
      <c r="H129" s="110"/>
      <c r="I129" s="110">
        <v>141.376104</v>
      </c>
      <c r="J129" s="110">
        <v>40.605448000000003</v>
      </c>
      <c r="K129" s="110"/>
      <c r="L129" s="110"/>
      <c r="M129" s="110"/>
      <c r="N129" s="110"/>
      <c r="O129" s="110"/>
      <c r="P129" s="109"/>
      <c r="Q129" s="109"/>
      <c r="R129" s="109"/>
      <c r="S129" s="110"/>
      <c r="T129" s="135"/>
    </row>
    <row r="130" spans="1:20" x14ac:dyDescent="0.2">
      <c r="A130" s="5">
        <v>129</v>
      </c>
      <c r="B130" s="110">
        <v>272</v>
      </c>
      <c r="C130" s="110" t="s">
        <v>286</v>
      </c>
      <c r="D130" s="110" t="s">
        <v>287</v>
      </c>
      <c r="E130" s="110"/>
      <c r="F130" s="110"/>
      <c r="G130" s="110" t="str">
        <f t="shared" si="1"/>
        <v>2</v>
      </c>
      <c r="H130" s="110"/>
      <c r="I130" s="110">
        <v>141.372649</v>
      </c>
      <c r="J130" s="110">
        <v>40.605811000000003</v>
      </c>
      <c r="K130" s="110"/>
      <c r="L130" s="110"/>
      <c r="M130" s="110"/>
      <c r="N130" s="110"/>
      <c r="O130" s="110"/>
      <c r="P130" s="109"/>
      <c r="Q130" s="109"/>
      <c r="R130" s="109"/>
      <c r="S130" s="110"/>
      <c r="T130" s="135"/>
    </row>
    <row r="131" spans="1:20" x14ac:dyDescent="0.2">
      <c r="A131" s="5">
        <v>130</v>
      </c>
      <c r="B131" s="110">
        <v>262</v>
      </c>
      <c r="C131" s="110" t="s">
        <v>284</v>
      </c>
      <c r="D131" s="110" t="s">
        <v>285</v>
      </c>
      <c r="E131" s="110"/>
      <c r="F131" s="110"/>
      <c r="G131" s="110" t="str">
        <f t="shared" ref="G131:G194" si="2">RIGHT(B131,1)</f>
        <v>2</v>
      </c>
      <c r="H131" s="110"/>
      <c r="I131" s="110">
        <v>141.35788600000001</v>
      </c>
      <c r="J131" s="110">
        <v>40.605592999999999</v>
      </c>
      <c r="K131" s="110"/>
      <c r="L131" s="110"/>
      <c r="M131" s="110"/>
      <c r="N131" s="110"/>
      <c r="O131" s="110"/>
      <c r="P131" s="109"/>
      <c r="Q131" s="109"/>
      <c r="R131" s="109"/>
      <c r="S131" s="110"/>
      <c r="T131" s="135"/>
    </row>
    <row r="132" spans="1:20" x14ac:dyDescent="0.2">
      <c r="A132" s="5">
        <v>131</v>
      </c>
      <c r="B132" s="110">
        <v>252</v>
      </c>
      <c r="C132" s="110" t="s">
        <v>282</v>
      </c>
      <c r="D132" s="192" t="s">
        <v>283</v>
      </c>
      <c r="E132" s="110"/>
      <c r="F132" s="110"/>
      <c r="G132" s="110" t="str">
        <f t="shared" si="2"/>
        <v>2</v>
      </c>
      <c r="H132" s="110"/>
      <c r="I132" s="110">
        <v>141.350854</v>
      </c>
      <c r="J132" s="110">
        <v>40.603288999999997</v>
      </c>
      <c r="K132" s="110"/>
      <c r="L132" s="110"/>
      <c r="M132" s="110"/>
      <c r="N132" s="110"/>
      <c r="O132" s="110"/>
      <c r="P132" s="109"/>
      <c r="Q132" s="109"/>
      <c r="R132" s="109"/>
      <c r="S132" s="110"/>
      <c r="T132" s="135"/>
    </row>
    <row r="133" spans="1:20" x14ac:dyDescent="0.2">
      <c r="A133" s="5">
        <v>132</v>
      </c>
      <c r="B133" s="110">
        <v>242</v>
      </c>
      <c r="C133" s="110" t="s">
        <v>280</v>
      </c>
      <c r="D133" s="110" t="s">
        <v>281</v>
      </c>
      <c r="E133" s="110"/>
      <c r="F133" s="110"/>
      <c r="G133" s="110" t="str">
        <f t="shared" si="2"/>
        <v>2</v>
      </c>
      <c r="H133" s="110"/>
      <c r="I133" s="110">
        <v>141.346519</v>
      </c>
      <c r="J133" s="110">
        <v>40.602364000000001</v>
      </c>
      <c r="K133" s="110"/>
      <c r="L133" s="110"/>
      <c r="M133" s="110"/>
      <c r="N133" s="110"/>
      <c r="O133" s="110"/>
      <c r="P133" s="109"/>
      <c r="Q133" s="109"/>
      <c r="R133" s="109"/>
      <c r="S133" s="110"/>
      <c r="T133" s="135"/>
    </row>
    <row r="134" spans="1:20" x14ac:dyDescent="0.2">
      <c r="A134" s="5">
        <v>133</v>
      </c>
      <c r="B134" s="110">
        <v>232</v>
      </c>
      <c r="C134" s="110" t="s">
        <v>278</v>
      </c>
      <c r="D134" s="110" t="s">
        <v>279</v>
      </c>
      <c r="E134" s="110"/>
      <c r="F134" s="110"/>
      <c r="G134" s="110" t="str">
        <f t="shared" si="2"/>
        <v>2</v>
      </c>
      <c r="H134" s="110"/>
      <c r="I134" s="110">
        <v>141.33892299999999</v>
      </c>
      <c r="J134" s="110">
        <v>40.603808999999998</v>
      </c>
      <c r="K134" s="110"/>
      <c r="L134" s="110"/>
      <c r="M134" s="110"/>
      <c r="N134" s="110"/>
      <c r="O134" s="110"/>
      <c r="P134" s="109"/>
      <c r="Q134" s="109"/>
      <c r="R134" s="109"/>
      <c r="S134" s="110"/>
      <c r="T134" s="135"/>
    </row>
    <row r="135" spans="1:20" x14ac:dyDescent="0.2">
      <c r="A135" s="5">
        <v>134</v>
      </c>
      <c r="B135" s="110">
        <v>222</v>
      </c>
      <c r="C135" s="110" t="s">
        <v>276</v>
      </c>
      <c r="D135" s="110" t="s">
        <v>277</v>
      </c>
      <c r="E135" s="110"/>
      <c r="F135" s="110"/>
      <c r="G135" s="110" t="str">
        <f t="shared" si="2"/>
        <v>2</v>
      </c>
      <c r="H135" s="110"/>
      <c r="I135" s="110">
        <v>141.32829100000001</v>
      </c>
      <c r="J135" s="110">
        <v>40.603676999999998</v>
      </c>
      <c r="K135" s="110"/>
      <c r="L135" s="110"/>
      <c r="M135" s="110"/>
      <c r="N135" s="110"/>
      <c r="O135" s="110"/>
      <c r="P135" s="109"/>
      <c r="Q135" s="109"/>
      <c r="R135" s="109"/>
      <c r="S135" s="110"/>
      <c r="T135" s="135"/>
    </row>
    <row r="136" spans="1:20" x14ac:dyDescent="0.2">
      <c r="A136" s="5">
        <v>135</v>
      </c>
      <c r="B136" s="110">
        <v>212</v>
      </c>
      <c r="C136" s="110" t="s">
        <v>274</v>
      </c>
      <c r="D136" s="110" t="s">
        <v>275</v>
      </c>
      <c r="E136" s="110"/>
      <c r="F136" s="110"/>
      <c r="G136" s="110" t="str">
        <f t="shared" si="2"/>
        <v>2</v>
      </c>
      <c r="H136" s="110"/>
      <c r="I136" s="110">
        <v>141.32603800000001</v>
      </c>
      <c r="J136" s="110">
        <v>40.603754000000002</v>
      </c>
      <c r="K136" s="110"/>
      <c r="L136" s="110"/>
      <c r="M136" s="110"/>
      <c r="N136" s="110"/>
      <c r="O136" s="110"/>
      <c r="P136" s="109"/>
      <c r="Q136" s="109"/>
      <c r="R136" s="109"/>
      <c r="S136" s="110"/>
      <c r="T136" s="135"/>
    </row>
    <row r="137" spans="1:20" x14ac:dyDescent="0.2">
      <c r="A137" s="5">
        <v>136</v>
      </c>
      <c r="B137" s="110">
        <v>202</v>
      </c>
      <c r="C137" s="110" t="s">
        <v>272</v>
      </c>
      <c r="D137" s="110" t="s">
        <v>273</v>
      </c>
      <c r="E137" s="110"/>
      <c r="F137" s="110"/>
      <c r="G137" s="110" t="str">
        <f t="shared" si="2"/>
        <v>2</v>
      </c>
      <c r="H137" s="110"/>
      <c r="I137" s="110">
        <v>141.322586</v>
      </c>
      <c r="J137" s="110">
        <v>40.603864000000002</v>
      </c>
      <c r="K137" s="110"/>
      <c r="L137" s="110"/>
      <c r="M137" s="110"/>
      <c r="N137" s="110"/>
      <c r="O137" s="110"/>
      <c r="P137" s="109"/>
      <c r="Q137" s="109"/>
      <c r="R137" s="109"/>
      <c r="S137" s="110"/>
      <c r="T137" s="135"/>
    </row>
    <row r="138" spans="1:20" x14ac:dyDescent="0.2">
      <c r="A138" s="5">
        <v>137</v>
      </c>
      <c r="B138" s="110">
        <v>192</v>
      </c>
      <c r="C138" s="110" t="s">
        <v>270</v>
      </c>
      <c r="D138" s="110" t="s">
        <v>271</v>
      </c>
      <c r="E138" s="110"/>
      <c r="F138" s="110"/>
      <c r="G138" s="110" t="str">
        <f t="shared" si="2"/>
        <v>2</v>
      </c>
      <c r="H138" s="110"/>
      <c r="I138" s="110">
        <v>141.30967899999999</v>
      </c>
      <c r="J138" s="110">
        <v>40.600816000000002</v>
      </c>
      <c r="K138" s="110"/>
      <c r="L138" s="110"/>
      <c r="M138" s="110"/>
      <c r="N138" s="110"/>
      <c r="O138" s="110"/>
      <c r="P138" s="109"/>
      <c r="Q138" s="109"/>
      <c r="R138" s="109"/>
      <c r="S138" s="110"/>
      <c r="T138" s="135"/>
    </row>
    <row r="139" spans="1:20" x14ac:dyDescent="0.2">
      <c r="A139" s="5">
        <v>138</v>
      </c>
      <c r="B139" s="110">
        <v>182</v>
      </c>
      <c r="C139" s="110" t="s">
        <v>268</v>
      </c>
      <c r="D139" s="192" t="s">
        <v>269</v>
      </c>
      <c r="E139" s="110"/>
      <c r="F139" s="110"/>
      <c r="G139" s="110" t="str">
        <f t="shared" si="2"/>
        <v>2</v>
      </c>
      <c r="H139" s="110"/>
      <c r="I139" s="110">
        <v>141.30217400000001</v>
      </c>
      <c r="J139" s="110">
        <v>40.601835000000001</v>
      </c>
      <c r="K139" s="110"/>
      <c r="L139" s="110"/>
      <c r="M139" s="110"/>
      <c r="N139" s="110"/>
      <c r="O139" s="110"/>
      <c r="P139" s="109"/>
      <c r="Q139" s="109"/>
      <c r="R139" s="109"/>
      <c r="S139" s="110"/>
      <c r="T139" s="135"/>
    </row>
    <row r="140" spans="1:20" x14ac:dyDescent="0.2">
      <c r="A140" s="5">
        <v>139</v>
      </c>
      <c r="B140" s="110">
        <v>172</v>
      </c>
      <c r="C140" s="110" t="s">
        <v>266</v>
      </c>
      <c r="D140" s="110" t="s">
        <v>267</v>
      </c>
      <c r="E140" s="110"/>
      <c r="F140" s="110"/>
      <c r="G140" s="110" t="str">
        <f t="shared" si="2"/>
        <v>2</v>
      </c>
      <c r="H140" s="110"/>
      <c r="I140" s="110">
        <v>141.29488900000001</v>
      </c>
      <c r="J140" s="110">
        <v>40.604225</v>
      </c>
      <c r="K140" s="110"/>
      <c r="L140" s="110"/>
      <c r="M140" s="110"/>
      <c r="N140" s="110"/>
      <c r="O140" s="110"/>
      <c r="P140" s="109"/>
      <c r="Q140" s="109"/>
      <c r="R140" s="109"/>
      <c r="S140" s="110"/>
      <c r="T140" s="135"/>
    </row>
    <row r="141" spans="1:20" x14ac:dyDescent="0.2">
      <c r="A141" s="5">
        <v>140</v>
      </c>
      <c r="B141" s="110">
        <v>162</v>
      </c>
      <c r="C141" s="110" t="s">
        <v>264</v>
      </c>
      <c r="D141" s="110" t="s">
        <v>265</v>
      </c>
      <c r="E141" s="110"/>
      <c r="F141" s="110"/>
      <c r="G141" s="110" t="str">
        <f t="shared" si="2"/>
        <v>2</v>
      </c>
      <c r="H141" s="110"/>
      <c r="I141" s="110">
        <v>141.28777099999999</v>
      </c>
      <c r="J141" s="110">
        <v>40.607089999999999</v>
      </c>
      <c r="K141" s="110"/>
      <c r="L141" s="110"/>
      <c r="M141" s="110"/>
      <c r="N141" s="110"/>
      <c r="O141" s="110"/>
      <c r="P141" s="109"/>
      <c r="Q141" s="109"/>
      <c r="R141" s="109"/>
      <c r="S141" s="110"/>
      <c r="T141" s="135"/>
    </row>
    <row r="142" spans="1:20" x14ac:dyDescent="0.2">
      <c r="A142" s="5">
        <v>141</v>
      </c>
      <c r="B142" s="110">
        <v>152</v>
      </c>
      <c r="C142" s="110" t="s">
        <v>262</v>
      </c>
      <c r="D142" s="110" t="s">
        <v>263</v>
      </c>
      <c r="E142" s="110"/>
      <c r="F142" s="110"/>
      <c r="G142" s="110" t="str">
        <f t="shared" si="2"/>
        <v>2</v>
      </c>
      <c r="H142" s="110"/>
      <c r="I142" s="110">
        <v>141.274687</v>
      </c>
      <c r="J142" s="110">
        <v>40.610532999999997</v>
      </c>
      <c r="K142" s="110"/>
      <c r="L142" s="110"/>
      <c r="M142" s="110"/>
      <c r="N142" s="110"/>
      <c r="O142" s="110"/>
      <c r="P142" s="109"/>
      <c r="Q142" s="109"/>
      <c r="R142" s="109"/>
      <c r="S142" s="110"/>
      <c r="T142" s="135"/>
    </row>
    <row r="143" spans="1:20" x14ac:dyDescent="0.2">
      <c r="A143" s="5">
        <v>142</v>
      </c>
      <c r="B143" s="110">
        <v>142</v>
      </c>
      <c r="C143" s="110" t="s">
        <v>260</v>
      </c>
      <c r="D143" s="110" t="s">
        <v>261</v>
      </c>
      <c r="E143" s="110"/>
      <c r="F143" s="110"/>
      <c r="G143" s="110" t="str">
        <f t="shared" si="2"/>
        <v>2</v>
      </c>
      <c r="H143" s="110"/>
      <c r="I143" s="110">
        <v>141.26524000000001</v>
      </c>
      <c r="J143" s="110">
        <v>40.611722999999998</v>
      </c>
      <c r="K143" s="110"/>
      <c r="L143" s="110"/>
      <c r="M143" s="110"/>
      <c r="N143" s="110"/>
      <c r="O143" s="110"/>
      <c r="P143" s="109"/>
      <c r="Q143" s="109"/>
      <c r="R143" s="109"/>
      <c r="S143" s="110"/>
      <c r="T143" s="135"/>
    </row>
    <row r="144" spans="1:20" x14ac:dyDescent="0.2">
      <c r="A144" s="5">
        <v>143</v>
      </c>
      <c r="B144" s="110">
        <v>132</v>
      </c>
      <c r="C144" s="110" t="s">
        <v>258</v>
      </c>
      <c r="D144" s="110" t="s">
        <v>259</v>
      </c>
      <c r="E144" s="110"/>
      <c r="F144" s="110"/>
      <c r="G144" s="110" t="str">
        <f t="shared" si="2"/>
        <v>2</v>
      </c>
      <c r="H144" s="110"/>
      <c r="I144" s="110">
        <v>141.25965600000001</v>
      </c>
      <c r="J144" s="110">
        <v>40.612448000000001</v>
      </c>
      <c r="K144" s="110"/>
      <c r="L144" s="110"/>
      <c r="M144" s="110"/>
      <c r="N144" s="110"/>
      <c r="O144" s="110"/>
      <c r="P144" s="109"/>
      <c r="Q144" s="109"/>
      <c r="R144" s="109"/>
      <c r="S144" s="110"/>
      <c r="T144" s="135"/>
    </row>
    <row r="145" spans="1:20" x14ac:dyDescent="0.2">
      <c r="A145" s="5">
        <v>144</v>
      </c>
      <c r="B145" s="110">
        <v>122</v>
      </c>
      <c r="C145" s="110" t="s">
        <v>255</v>
      </c>
      <c r="D145" s="110" t="s">
        <v>256</v>
      </c>
      <c r="E145" s="110"/>
      <c r="F145" s="110"/>
      <c r="G145" s="110" t="str">
        <f t="shared" si="2"/>
        <v>2</v>
      </c>
      <c r="H145" s="110"/>
      <c r="I145" s="110">
        <v>141.24857800000001</v>
      </c>
      <c r="J145" s="110">
        <v>40.613754</v>
      </c>
      <c r="K145" s="110"/>
      <c r="L145" s="110"/>
      <c r="M145" s="110"/>
      <c r="N145" s="110"/>
      <c r="O145" s="110"/>
      <c r="P145" s="109"/>
      <c r="Q145" s="109"/>
      <c r="R145" s="109"/>
      <c r="S145" s="110" t="s">
        <v>257</v>
      </c>
      <c r="T145" s="135"/>
    </row>
    <row r="146" spans="1:20" x14ac:dyDescent="0.2">
      <c r="A146" s="5">
        <v>145</v>
      </c>
      <c r="B146" s="110">
        <v>112</v>
      </c>
      <c r="C146" s="110" t="s">
        <v>252</v>
      </c>
      <c r="D146" s="110" t="s">
        <v>253</v>
      </c>
      <c r="E146" s="110"/>
      <c r="F146" s="110"/>
      <c r="G146" s="110" t="str">
        <f t="shared" si="2"/>
        <v>2</v>
      </c>
      <c r="H146" s="110"/>
      <c r="I146" s="110">
        <v>141.24219500000001</v>
      </c>
      <c r="J146" s="110">
        <v>40.613858</v>
      </c>
      <c r="K146" s="110"/>
      <c r="L146" s="110"/>
      <c r="M146" s="110"/>
      <c r="N146" s="110"/>
      <c r="O146" s="110"/>
      <c r="P146" s="109"/>
      <c r="Q146" s="109"/>
      <c r="R146" s="109"/>
      <c r="S146" s="110" t="s">
        <v>254</v>
      </c>
      <c r="T146" s="135"/>
    </row>
    <row r="147" spans="1:20" x14ac:dyDescent="0.2">
      <c r="A147" s="5">
        <v>146</v>
      </c>
      <c r="B147" s="110">
        <v>102</v>
      </c>
      <c r="C147" s="110" t="s">
        <v>249</v>
      </c>
      <c r="D147" s="110" t="s">
        <v>250</v>
      </c>
      <c r="E147" s="110"/>
      <c r="F147" s="110"/>
      <c r="G147" s="110" t="str">
        <f t="shared" si="2"/>
        <v>2</v>
      </c>
      <c r="H147" s="110"/>
      <c r="I147" s="110">
        <v>141.23820799999999</v>
      </c>
      <c r="J147" s="110">
        <v>40.613926999999997</v>
      </c>
      <c r="K147" s="110"/>
      <c r="L147" s="110"/>
      <c r="M147" s="110"/>
      <c r="N147" s="110"/>
      <c r="O147" s="110"/>
      <c r="P147" s="109"/>
      <c r="Q147" s="109"/>
      <c r="R147" s="109"/>
      <c r="S147" s="110" t="s">
        <v>251</v>
      </c>
      <c r="T147" s="135"/>
    </row>
    <row r="148" spans="1:20" x14ac:dyDescent="0.2">
      <c r="A148" s="5">
        <v>147</v>
      </c>
      <c r="B148" s="110">
        <v>92</v>
      </c>
      <c r="C148" s="110" t="s">
        <v>246</v>
      </c>
      <c r="D148" s="110" t="s">
        <v>247</v>
      </c>
      <c r="E148" s="110"/>
      <c r="F148" s="110"/>
      <c r="G148" s="110" t="str">
        <f t="shared" si="2"/>
        <v>2</v>
      </c>
      <c r="H148" s="110"/>
      <c r="I148" s="110">
        <v>141.231258</v>
      </c>
      <c r="J148" s="110">
        <v>40.614041</v>
      </c>
      <c r="K148" s="110"/>
      <c r="L148" s="110"/>
      <c r="M148" s="110"/>
      <c r="N148" s="110"/>
      <c r="O148" s="110"/>
      <c r="P148" s="109"/>
      <c r="Q148" s="109"/>
      <c r="R148" s="109"/>
      <c r="S148" s="110" t="s">
        <v>248</v>
      </c>
      <c r="T148" s="135"/>
    </row>
    <row r="149" spans="1:20" x14ac:dyDescent="0.2">
      <c r="A149" s="5">
        <v>148</v>
      </c>
      <c r="B149" s="110">
        <v>82</v>
      </c>
      <c r="C149" s="110" t="s">
        <v>243</v>
      </c>
      <c r="D149" s="110" t="s">
        <v>244</v>
      </c>
      <c r="E149" s="110"/>
      <c r="F149" s="110"/>
      <c r="G149" s="110" t="str">
        <f t="shared" si="2"/>
        <v>2</v>
      </c>
      <c r="H149" s="110"/>
      <c r="I149" s="110">
        <v>141.22125199999999</v>
      </c>
      <c r="J149" s="110">
        <v>40.612257</v>
      </c>
      <c r="K149" s="110"/>
      <c r="L149" s="110"/>
      <c r="M149" s="110"/>
      <c r="N149" s="110"/>
      <c r="O149" s="110"/>
      <c r="P149" s="109"/>
      <c r="Q149" s="109"/>
      <c r="R149" s="109"/>
      <c r="S149" t="s">
        <v>245</v>
      </c>
      <c r="T149" s="135"/>
    </row>
    <row r="150" spans="1:20" x14ac:dyDescent="0.2">
      <c r="A150" s="5">
        <v>149</v>
      </c>
      <c r="B150" s="110">
        <v>72</v>
      </c>
      <c r="C150" s="110" t="s">
        <v>240</v>
      </c>
      <c r="D150" s="110" t="s">
        <v>241</v>
      </c>
      <c r="E150" s="110"/>
      <c r="F150" s="110"/>
      <c r="G150" s="110" t="str">
        <f t="shared" si="2"/>
        <v>2</v>
      </c>
      <c r="H150" s="110"/>
      <c r="I150" s="110">
        <v>141.21637000000001</v>
      </c>
      <c r="J150" s="110">
        <v>40.610937999999997</v>
      </c>
      <c r="K150" s="110"/>
      <c r="L150" s="110"/>
      <c r="M150" s="110"/>
      <c r="N150" s="110"/>
      <c r="O150" s="110"/>
      <c r="P150" s="109"/>
      <c r="Q150" s="109"/>
      <c r="R150" s="109"/>
      <c r="S150" s="110" t="s">
        <v>404</v>
      </c>
      <c r="T150" s="135"/>
    </row>
    <row r="151" spans="1:20" x14ac:dyDescent="0.2">
      <c r="A151" s="5">
        <v>150</v>
      </c>
      <c r="B151" s="110">
        <v>62</v>
      </c>
      <c r="C151" s="110" t="s">
        <v>237</v>
      </c>
      <c r="D151" s="110" t="s">
        <v>238</v>
      </c>
      <c r="E151" s="110"/>
      <c r="F151" s="110"/>
      <c r="G151" s="110" t="str">
        <f t="shared" si="2"/>
        <v>2</v>
      </c>
      <c r="H151" s="110"/>
      <c r="I151" s="110">
        <v>141.215293</v>
      </c>
      <c r="J151" s="110">
        <v>40.612343000000003</v>
      </c>
      <c r="K151" s="110"/>
      <c r="L151" s="110"/>
      <c r="M151" s="110"/>
      <c r="N151" s="110"/>
      <c r="O151" s="110"/>
      <c r="P151" s="109"/>
      <c r="Q151" s="109"/>
      <c r="R151" s="109"/>
      <c r="S151" s="110" t="s">
        <v>239</v>
      </c>
      <c r="T151" s="135"/>
    </row>
    <row r="152" spans="1:20" x14ac:dyDescent="0.2">
      <c r="A152" s="5">
        <v>151</v>
      </c>
      <c r="B152" s="110">
        <v>52</v>
      </c>
      <c r="C152" s="110" t="s">
        <v>234</v>
      </c>
      <c r="D152" s="110" t="s">
        <v>235</v>
      </c>
      <c r="E152" s="110"/>
      <c r="F152" s="110"/>
      <c r="G152" s="110" t="str">
        <f t="shared" si="2"/>
        <v>2</v>
      </c>
      <c r="H152" s="110"/>
      <c r="I152" s="110">
        <v>141.21433200000001</v>
      </c>
      <c r="J152" s="110">
        <v>40.613579999999999</v>
      </c>
      <c r="K152" s="110"/>
      <c r="L152" s="110"/>
      <c r="M152" s="110"/>
      <c r="N152" s="110"/>
      <c r="O152" s="110"/>
      <c r="P152" s="109"/>
      <c r="Q152" s="109"/>
      <c r="R152" s="109"/>
      <c r="S152" s="110" t="s">
        <v>236</v>
      </c>
      <c r="T152" s="135"/>
    </row>
    <row r="153" spans="1:20" x14ac:dyDescent="0.2">
      <c r="A153" s="5">
        <v>152</v>
      </c>
      <c r="B153" s="110">
        <v>42</v>
      </c>
      <c r="C153" s="110" t="s">
        <v>231</v>
      </c>
      <c r="D153" s="110" t="s">
        <v>232</v>
      </c>
      <c r="E153" s="110"/>
      <c r="F153" s="110"/>
      <c r="G153" s="110" t="str">
        <f t="shared" si="2"/>
        <v>2</v>
      </c>
      <c r="H153" s="110"/>
      <c r="I153" s="110">
        <v>141.212716</v>
      </c>
      <c r="J153" s="110">
        <v>40.615659000000001</v>
      </c>
      <c r="K153" s="110"/>
      <c r="L153" s="110"/>
      <c r="M153" s="110"/>
      <c r="N153" s="110"/>
      <c r="O153" s="110"/>
      <c r="P153" s="109"/>
      <c r="Q153" s="109"/>
      <c r="R153" s="109"/>
      <c r="S153" s="110" t="s">
        <v>233</v>
      </c>
      <c r="T153" s="135"/>
    </row>
    <row r="154" spans="1:20" x14ac:dyDescent="0.2">
      <c r="A154" s="5">
        <v>153</v>
      </c>
      <c r="B154" s="110">
        <v>32</v>
      </c>
      <c r="C154" s="110" t="s">
        <v>228</v>
      </c>
      <c r="D154" s="110" t="s">
        <v>229</v>
      </c>
      <c r="E154" s="110"/>
      <c r="F154" s="110"/>
      <c r="G154" s="110" t="str">
        <f t="shared" si="2"/>
        <v>2</v>
      </c>
      <c r="H154" s="110"/>
      <c r="I154" s="110">
        <v>141.211703</v>
      </c>
      <c r="J154" s="110">
        <v>40.616931000000001</v>
      </c>
      <c r="K154" s="110"/>
      <c r="L154" s="110"/>
      <c r="M154" s="110"/>
      <c r="N154" s="110"/>
      <c r="O154" s="110"/>
      <c r="P154" s="109"/>
      <c r="Q154" s="109"/>
      <c r="R154" s="109"/>
      <c r="S154" t="s">
        <v>230</v>
      </c>
      <c r="T154" s="135"/>
    </row>
    <row r="155" spans="1:20" x14ac:dyDescent="0.2">
      <c r="A155" s="5">
        <v>154</v>
      </c>
      <c r="B155" s="110">
        <v>22</v>
      </c>
      <c r="C155" s="110" t="s">
        <v>225</v>
      </c>
      <c r="D155" s="110" t="s">
        <v>226</v>
      </c>
      <c r="E155" s="110"/>
      <c r="F155" s="110"/>
      <c r="G155" s="110" t="str">
        <f t="shared" si="2"/>
        <v>2</v>
      </c>
      <c r="H155" s="110"/>
      <c r="I155" s="110">
        <v>141.20997499999999</v>
      </c>
      <c r="J155" s="110">
        <v>40.619145000000003</v>
      </c>
      <c r="K155" s="110"/>
      <c r="L155" s="110"/>
      <c r="M155" s="110"/>
      <c r="N155" s="110"/>
      <c r="O155" s="110"/>
      <c r="P155" s="109"/>
      <c r="Q155" s="109"/>
      <c r="R155" s="109"/>
      <c r="S155" s="110" t="s">
        <v>227</v>
      </c>
      <c r="T155" s="135"/>
    </row>
    <row r="156" spans="1:20" x14ac:dyDescent="0.2">
      <c r="A156" s="5">
        <v>155</v>
      </c>
      <c r="B156" s="110">
        <v>12</v>
      </c>
      <c r="C156" s="110" t="s">
        <v>222</v>
      </c>
      <c r="D156" s="110" t="s">
        <v>223</v>
      </c>
      <c r="E156" s="110"/>
      <c r="F156" s="110"/>
      <c r="G156" s="110" t="str">
        <f t="shared" si="2"/>
        <v>2</v>
      </c>
      <c r="H156" s="110"/>
      <c r="I156" s="110">
        <v>141.210408</v>
      </c>
      <c r="J156" s="110">
        <v>40.622163999999998</v>
      </c>
      <c r="K156" s="110"/>
      <c r="L156" s="110"/>
      <c r="M156" s="110"/>
      <c r="N156" s="110"/>
      <c r="O156" s="110"/>
      <c r="P156" s="109"/>
      <c r="Q156" s="109"/>
      <c r="R156" s="109"/>
      <c r="S156" s="110" t="s">
        <v>224</v>
      </c>
      <c r="T156" s="135"/>
    </row>
    <row r="157" spans="1:20" x14ac:dyDescent="0.2">
      <c r="A157" s="5">
        <v>156</v>
      </c>
      <c r="B157" s="110">
        <v>861</v>
      </c>
      <c r="C157" s="110" t="s">
        <v>405</v>
      </c>
      <c r="D157" s="110" t="s">
        <v>256</v>
      </c>
      <c r="E157" s="110"/>
      <c r="F157" s="110"/>
      <c r="G157" s="110" t="str">
        <f t="shared" si="2"/>
        <v>1</v>
      </c>
      <c r="H157" s="110"/>
      <c r="I157" s="110">
        <v>141.24837400000001</v>
      </c>
      <c r="J157" s="110">
        <v>40.613771999999997</v>
      </c>
      <c r="K157" s="110"/>
      <c r="L157" s="110"/>
      <c r="M157" s="110"/>
      <c r="N157" s="110"/>
      <c r="O157" s="110"/>
      <c r="P157" s="109"/>
      <c r="Q157" s="109"/>
      <c r="R157" s="109"/>
      <c r="S157" s="110"/>
      <c r="T157" s="135"/>
    </row>
    <row r="158" spans="1:20" x14ac:dyDescent="0.2">
      <c r="A158" s="5">
        <v>157</v>
      </c>
      <c r="B158" s="110">
        <v>871</v>
      </c>
      <c r="C158" s="110" t="s">
        <v>406</v>
      </c>
      <c r="D158" s="110" t="s">
        <v>407</v>
      </c>
      <c r="E158" s="110"/>
      <c r="F158" s="110"/>
      <c r="G158" s="110" t="str">
        <f t="shared" si="2"/>
        <v>1</v>
      </c>
      <c r="H158" s="110"/>
      <c r="I158" s="110">
        <v>141.22410500000001</v>
      </c>
      <c r="J158" s="110">
        <v>40.626818999999998</v>
      </c>
      <c r="K158" s="110"/>
      <c r="L158" s="110"/>
      <c r="M158" s="110"/>
      <c r="N158" s="110"/>
      <c r="O158" s="110"/>
      <c r="P158" s="109"/>
      <c r="Q158" s="109"/>
      <c r="R158" s="109"/>
      <c r="S158" s="110"/>
      <c r="T158" s="135"/>
    </row>
    <row r="159" spans="1:20" x14ac:dyDescent="0.2">
      <c r="A159" s="5">
        <v>158</v>
      </c>
      <c r="B159" s="110">
        <v>881</v>
      </c>
      <c r="C159" s="110" t="s">
        <v>408</v>
      </c>
      <c r="D159" s="110" t="s">
        <v>409</v>
      </c>
      <c r="E159" s="110"/>
      <c r="F159" s="110"/>
      <c r="G159" s="110" t="str">
        <f t="shared" si="2"/>
        <v>1</v>
      </c>
      <c r="H159" s="110"/>
      <c r="I159" s="110">
        <v>141.23022499999999</v>
      </c>
      <c r="J159" s="110">
        <v>40.627642000000002</v>
      </c>
      <c r="K159" s="110"/>
      <c r="L159" s="110"/>
      <c r="M159" s="110"/>
      <c r="N159" s="110"/>
      <c r="O159" s="110"/>
      <c r="P159" s="109"/>
      <c r="Q159" s="109"/>
      <c r="R159" s="109"/>
      <c r="S159" s="110"/>
      <c r="T159" s="135"/>
    </row>
    <row r="160" spans="1:20" x14ac:dyDescent="0.2">
      <c r="A160" s="5">
        <v>159</v>
      </c>
      <c r="B160" s="110">
        <v>891</v>
      </c>
      <c r="C160" s="110" t="s">
        <v>410</v>
      </c>
      <c r="D160" s="110" t="s">
        <v>411</v>
      </c>
      <c r="E160" s="110"/>
      <c r="F160" s="110"/>
      <c r="G160" s="110" t="str">
        <f t="shared" si="2"/>
        <v>1</v>
      </c>
      <c r="H160" s="110"/>
      <c r="I160" s="110">
        <v>141.23524499999999</v>
      </c>
      <c r="J160" s="110">
        <v>40.628461999999999</v>
      </c>
      <c r="K160" s="110"/>
      <c r="L160" s="110"/>
      <c r="M160" s="110"/>
      <c r="N160" s="110"/>
      <c r="O160" s="110"/>
      <c r="P160" s="109"/>
      <c r="Q160" s="109"/>
      <c r="R160" s="109"/>
      <c r="S160" s="110"/>
      <c r="T160" s="135"/>
    </row>
    <row r="161" spans="1:20" x14ac:dyDescent="0.2">
      <c r="A161" s="5">
        <v>160</v>
      </c>
      <c r="B161" s="110">
        <v>901</v>
      </c>
      <c r="C161" s="110" t="s">
        <v>412</v>
      </c>
      <c r="D161" s="110" t="s">
        <v>413</v>
      </c>
      <c r="E161" s="110"/>
      <c r="F161" s="110"/>
      <c r="G161" s="110" t="str">
        <f t="shared" si="2"/>
        <v>1</v>
      </c>
      <c r="H161" s="110"/>
      <c r="I161" s="110">
        <v>141.242311</v>
      </c>
      <c r="J161" s="110">
        <v>40.629727000000003</v>
      </c>
      <c r="K161" s="110"/>
      <c r="L161" s="110"/>
      <c r="M161" s="110"/>
      <c r="N161" s="110"/>
      <c r="O161" s="110"/>
      <c r="P161" s="109"/>
      <c r="Q161" s="109"/>
      <c r="R161" s="109"/>
      <c r="S161" s="110"/>
      <c r="T161" s="135"/>
    </row>
    <row r="162" spans="1:20" x14ac:dyDescent="0.2">
      <c r="A162" s="5">
        <v>161</v>
      </c>
      <c r="B162" s="110">
        <v>911</v>
      </c>
      <c r="C162" s="110" t="s">
        <v>414</v>
      </c>
      <c r="D162" s="110" t="s">
        <v>415</v>
      </c>
      <c r="E162" s="110"/>
      <c r="F162" s="110"/>
      <c r="G162" s="110" t="str">
        <f t="shared" si="2"/>
        <v>1</v>
      </c>
      <c r="H162" s="110"/>
      <c r="I162" s="110">
        <v>141.25236899999999</v>
      </c>
      <c r="J162" s="110">
        <v>40.632928999999997</v>
      </c>
      <c r="K162" s="110"/>
      <c r="L162" s="110"/>
      <c r="M162" s="110"/>
      <c r="N162" s="110"/>
      <c r="O162" s="110"/>
      <c r="P162" s="109"/>
      <c r="Q162" s="109"/>
      <c r="R162" s="109"/>
      <c r="S162" s="110"/>
      <c r="T162" s="135"/>
    </row>
    <row r="163" spans="1:20" x14ac:dyDescent="0.2">
      <c r="A163" s="5">
        <v>162</v>
      </c>
      <c r="B163" s="110">
        <v>921</v>
      </c>
      <c r="C163" s="110" t="s">
        <v>416</v>
      </c>
      <c r="D163" s="192" t="s">
        <v>417</v>
      </c>
      <c r="E163" s="110"/>
      <c r="F163" s="110"/>
      <c r="G163" s="110" t="str">
        <f t="shared" si="2"/>
        <v>1</v>
      </c>
      <c r="H163" s="110"/>
      <c r="I163" s="110">
        <v>141.25829400000001</v>
      </c>
      <c r="J163" s="110">
        <v>40.634880000000003</v>
      </c>
      <c r="K163" s="110"/>
      <c r="L163" s="110"/>
      <c r="M163" s="110"/>
      <c r="N163" s="110"/>
      <c r="O163" s="110"/>
      <c r="P163" s="109"/>
      <c r="Q163" s="109"/>
      <c r="R163" s="109"/>
      <c r="S163" s="110"/>
      <c r="T163" s="135"/>
    </row>
    <row r="164" spans="1:20" x14ac:dyDescent="0.2">
      <c r="A164" s="5">
        <v>163</v>
      </c>
      <c r="B164" s="110">
        <v>931</v>
      </c>
      <c r="C164" s="110" t="s">
        <v>418</v>
      </c>
      <c r="D164" s="110" t="s">
        <v>419</v>
      </c>
      <c r="E164" s="110"/>
      <c r="F164" s="110"/>
      <c r="G164" s="110" t="str">
        <f t="shared" si="2"/>
        <v>1</v>
      </c>
      <c r="H164" s="110"/>
      <c r="I164" s="110">
        <v>141.26705000000001</v>
      </c>
      <c r="J164" s="110">
        <v>40.636966000000001</v>
      </c>
      <c r="K164" s="110"/>
      <c r="L164" s="110"/>
      <c r="M164" s="110"/>
      <c r="N164" s="110"/>
      <c r="O164" s="110"/>
      <c r="P164" s="109"/>
      <c r="Q164" s="109"/>
      <c r="R164" s="109"/>
      <c r="S164" s="110"/>
      <c r="T164" s="135"/>
    </row>
    <row r="165" spans="1:20" x14ac:dyDescent="0.2">
      <c r="A165" s="5">
        <v>164</v>
      </c>
      <c r="B165" s="110">
        <v>941</v>
      </c>
      <c r="C165" s="110" t="s">
        <v>420</v>
      </c>
      <c r="D165" s="110" t="s">
        <v>421</v>
      </c>
      <c r="E165" s="110"/>
      <c r="F165" s="110"/>
      <c r="G165" s="110" t="str">
        <f t="shared" si="2"/>
        <v>1</v>
      </c>
      <c r="H165" s="110"/>
      <c r="I165" s="110">
        <v>141.284277</v>
      </c>
      <c r="J165" s="110">
        <v>40.638846999999998</v>
      </c>
      <c r="K165" s="110"/>
      <c r="L165" s="110"/>
      <c r="M165" s="110"/>
      <c r="N165" s="110"/>
      <c r="O165" s="110"/>
      <c r="P165" s="109"/>
      <c r="Q165" s="109"/>
      <c r="R165" s="109"/>
      <c r="S165" s="110"/>
      <c r="T165" s="135"/>
    </row>
    <row r="166" spans="1:20" x14ac:dyDescent="0.2">
      <c r="A166" s="5">
        <v>165</v>
      </c>
      <c r="B166" s="110">
        <v>951</v>
      </c>
      <c r="C166" s="110" t="s">
        <v>422</v>
      </c>
      <c r="D166" s="110" t="s">
        <v>423</v>
      </c>
      <c r="E166" s="110"/>
      <c r="F166" s="110"/>
      <c r="G166" s="110" t="str">
        <f t="shared" si="2"/>
        <v>1</v>
      </c>
      <c r="H166" s="110"/>
      <c r="I166" s="110">
        <v>141.29547600000001</v>
      </c>
      <c r="J166" s="110">
        <v>40.639921999999999</v>
      </c>
      <c r="K166" s="110"/>
      <c r="L166" s="110"/>
      <c r="M166" s="110"/>
      <c r="N166" s="110"/>
      <c r="O166" s="110"/>
      <c r="P166" s="109"/>
      <c r="Q166" s="109"/>
      <c r="R166" s="109"/>
      <c r="S166" s="110"/>
      <c r="T166" s="135"/>
    </row>
    <row r="167" spans="1:20" x14ac:dyDescent="0.2">
      <c r="A167" s="5">
        <v>166</v>
      </c>
      <c r="B167" s="110">
        <v>961</v>
      </c>
      <c r="C167" s="110" t="s">
        <v>424</v>
      </c>
      <c r="D167" s="110" t="s">
        <v>425</v>
      </c>
      <c r="E167" s="110"/>
      <c r="F167" s="110"/>
      <c r="G167" s="110" t="str">
        <f t="shared" si="2"/>
        <v>1</v>
      </c>
      <c r="H167" s="110"/>
      <c r="I167" s="110">
        <v>141.30332100000001</v>
      </c>
      <c r="J167" s="110">
        <v>40.640751000000002</v>
      </c>
      <c r="K167" s="110"/>
      <c r="L167" s="110"/>
      <c r="M167" s="110"/>
      <c r="N167" s="110"/>
      <c r="O167" s="110"/>
      <c r="P167" s="109"/>
      <c r="Q167" s="109"/>
      <c r="R167" s="109"/>
      <c r="S167" s="110"/>
      <c r="T167" s="135"/>
    </row>
    <row r="168" spans="1:20" x14ac:dyDescent="0.2">
      <c r="A168" s="5">
        <v>167</v>
      </c>
      <c r="B168" s="110">
        <v>971</v>
      </c>
      <c r="C168" s="110" t="s">
        <v>426</v>
      </c>
      <c r="D168" s="192" t="s">
        <v>427</v>
      </c>
      <c r="E168" s="110"/>
      <c r="F168" s="110"/>
      <c r="G168" s="110" t="str">
        <f t="shared" si="2"/>
        <v>1</v>
      </c>
      <c r="H168" s="110"/>
      <c r="I168" s="110">
        <v>141.31897699999999</v>
      </c>
      <c r="J168" s="110">
        <v>40.642848999999998</v>
      </c>
      <c r="K168" s="110"/>
      <c r="L168" s="110"/>
      <c r="M168" s="110"/>
      <c r="N168" s="110"/>
      <c r="O168" s="110"/>
      <c r="P168" s="109"/>
      <c r="Q168" s="109"/>
      <c r="R168" s="109"/>
      <c r="S168" s="110"/>
      <c r="T168" s="135"/>
    </row>
    <row r="169" spans="1:20" x14ac:dyDescent="0.2">
      <c r="A169" s="5">
        <v>168</v>
      </c>
      <c r="B169" s="110">
        <v>981</v>
      </c>
      <c r="C169" s="110" t="s">
        <v>428</v>
      </c>
      <c r="D169" s="110" t="s">
        <v>429</v>
      </c>
      <c r="E169" s="110"/>
      <c r="F169" s="110"/>
      <c r="G169" s="110" t="str">
        <f t="shared" si="2"/>
        <v>1</v>
      </c>
      <c r="H169" s="110"/>
      <c r="I169" s="110">
        <v>141.322317</v>
      </c>
      <c r="J169" s="110">
        <v>40.642679000000001</v>
      </c>
      <c r="K169" s="110"/>
      <c r="L169" s="110"/>
      <c r="M169" s="110"/>
      <c r="N169" s="110"/>
      <c r="O169" s="110"/>
      <c r="P169" s="109"/>
      <c r="Q169" s="109"/>
      <c r="R169" s="109"/>
      <c r="S169" s="110"/>
      <c r="T169" s="135"/>
    </row>
    <row r="170" spans="1:20" x14ac:dyDescent="0.2">
      <c r="A170" s="5">
        <v>169</v>
      </c>
      <c r="B170" s="110">
        <v>991</v>
      </c>
      <c r="C170" s="110" t="s">
        <v>430</v>
      </c>
      <c r="D170" s="110" t="s">
        <v>431</v>
      </c>
      <c r="E170" s="110"/>
      <c r="F170" s="110"/>
      <c r="G170" s="110" t="str">
        <f t="shared" si="2"/>
        <v>1</v>
      </c>
      <c r="H170" s="110"/>
      <c r="I170" s="110">
        <v>141.326143</v>
      </c>
      <c r="J170" s="110">
        <v>40.642480999999997</v>
      </c>
      <c r="K170" s="110"/>
      <c r="L170" s="110"/>
      <c r="M170" s="110"/>
      <c r="N170" s="110"/>
      <c r="O170" s="110"/>
      <c r="P170" s="109"/>
      <c r="Q170" s="109"/>
      <c r="R170" s="109"/>
      <c r="S170" s="110"/>
      <c r="T170" s="135"/>
    </row>
    <row r="171" spans="1:20" x14ac:dyDescent="0.2">
      <c r="A171" s="5">
        <v>170</v>
      </c>
      <c r="B171" s="110">
        <v>1001</v>
      </c>
      <c r="C171" s="110" t="s">
        <v>432</v>
      </c>
      <c r="D171" s="110" t="s">
        <v>433</v>
      </c>
      <c r="E171" s="110"/>
      <c r="F171" s="110"/>
      <c r="G171" s="110" t="str">
        <f t="shared" si="2"/>
        <v>1</v>
      </c>
      <c r="H171" s="110"/>
      <c r="I171" s="110">
        <v>141.33699899999999</v>
      </c>
      <c r="J171" s="110">
        <v>40.643340999999999</v>
      </c>
      <c r="K171" s="110"/>
      <c r="L171" s="110"/>
      <c r="M171" s="110"/>
      <c r="N171" s="110"/>
      <c r="O171" s="110"/>
      <c r="P171" s="109"/>
      <c r="Q171" s="109"/>
      <c r="R171" s="109"/>
      <c r="S171" s="110"/>
      <c r="T171" s="135"/>
    </row>
    <row r="172" spans="1:20" x14ac:dyDescent="0.2">
      <c r="A172" s="5">
        <v>171</v>
      </c>
      <c r="B172" s="110">
        <v>1011</v>
      </c>
      <c r="C172" s="110" t="s">
        <v>434</v>
      </c>
      <c r="D172" s="110" t="s">
        <v>435</v>
      </c>
      <c r="E172" s="110"/>
      <c r="F172" s="110"/>
      <c r="G172" s="110" t="str">
        <f t="shared" si="2"/>
        <v>1</v>
      </c>
      <c r="H172" s="110"/>
      <c r="I172" s="110">
        <v>141.342984</v>
      </c>
      <c r="J172" s="110">
        <v>40.649676999999997</v>
      </c>
      <c r="K172" s="110"/>
      <c r="L172" s="110"/>
      <c r="M172" s="110"/>
      <c r="N172" s="110"/>
      <c r="O172" s="110"/>
      <c r="P172" s="109"/>
      <c r="Q172" s="109"/>
      <c r="R172" s="109"/>
      <c r="S172" s="110"/>
      <c r="T172" s="135"/>
    </row>
    <row r="173" spans="1:20" x14ac:dyDescent="0.2">
      <c r="A173" s="5">
        <v>172</v>
      </c>
      <c r="B173" s="110">
        <v>1021</v>
      </c>
      <c r="C173" s="110" t="s">
        <v>436</v>
      </c>
      <c r="D173" s="192" t="s">
        <v>437</v>
      </c>
      <c r="E173" s="110"/>
      <c r="F173" s="110"/>
      <c r="G173" s="110" t="str">
        <f t="shared" si="2"/>
        <v>1</v>
      </c>
      <c r="H173" s="110"/>
      <c r="I173" s="110">
        <v>141.34566100000001</v>
      </c>
      <c r="J173" s="110">
        <v>40.660423999999999</v>
      </c>
      <c r="K173" s="110"/>
      <c r="L173" s="110"/>
      <c r="M173" s="110"/>
      <c r="N173" s="110"/>
      <c r="O173" s="110"/>
      <c r="P173" s="109"/>
      <c r="Q173" s="109"/>
      <c r="R173" s="109"/>
      <c r="S173" s="110"/>
      <c r="T173" s="135"/>
    </row>
    <row r="174" spans="1:20" x14ac:dyDescent="0.2">
      <c r="A174" s="5">
        <v>173</v>
      </c>
      <c r="B174" s="110">
        <v>1031</v>
      </c>
      <c r="C174" s="110" t="s">
        <v>438</v>
      </c>
      <c r="D174" s="110" t="s">
        <v>439</v>
      </c>
      <c r="E174" s="110"/>
      <c r="F174" s="110"/>
      <c r="G174" s="110" t="str">
        <f t="shared" si="2"/>
        <v>1</v>
      </c>
      <c r="H174" s="110"/>
      <c r="I174" s="110">
        <v>141.349726</v>
      </c>
      <c r="J174" s="110">
        <v>40.663407999999997</v>
      </c>
      <c r="K174" s="110"/>
      <c r="L174" s="110"/>
      <c r="M174" s="110"/>
      <c r="N174" s="110"/>
      <c r="O174" s="110"/>
      <c r="P174" s="109"/>
      <c r="Q174" s="109"/>
      <c r="R174" s="109"/>
      <c r="S174" s="110"/>
      <c r="T174" s="135"/>
    </row>
    <row r="175" spans="1:20" x14ac:dyDescent="0.2">
      <c r="A175" s="5">
        <v>174</v>
      </c>
      <c r="B175" s="110">
        <v>1041</v>
      </c>
      <c r="C175" s="110" t="s">
        <v>440</v>
      </c>
      <c r="D175" s="110" t="s">
        <v>441</v>
      </c>
      <c r="E175" s="110"/>
      <c r="F175" s="110"/>
      <c r="G175" s="110" t="str">
        <f t="shared" si="2"/>
        <v>1</v>
      </c>
      <c r="H175" s="110"/>
      <c r="I175" s="192">
        <v>141.353882</v>
      </c>
      <c r="J175" s="192">
        <v>40.668709</v>
      </c>
      <c r="K175" s="110"/>
      <c r="L175" s="110"/>
      <c r="M175" s="110"/>
      <c r="N175" s="110"/>
      <c r="O175" s="110"/>
      <c r="P175" s="109"/>
      <c r="Q175" s="109"/>
      <c r="R175" s="109"/>
      <c r="S175" s="110"/>
      <c r="T175" s="135"/>
    </row>
    <row r="176" spans="1:20" x14ac:dyDescent="0.2">
      <c r="A176" s="5">
        <v>175</v>
      </c>
      <c r="B176" s="110">
        <v>1051</v>
      </c>
      <c r="C176" s="192" t="s">
        <v>442</v>
      </c>
      <c r="D176" s="192" t="s">
        <v>443</v>
      </c>
      <c r="E176" s="110"/>
      <c r="F176" s="110"/>
      <c r="G176" s="110" t="str">
        <f t="shared" si="2"/>
        <v>1</v>
      </c>
      <c r="H176" s="110"/>
      <c r="I176" s="110">
        <v>141.35419920000001</v>
      </c>
      <c r="J176" s="110">
        <v>40.674267100000002</v>
      </c>
      <c r="K176" s="110"/>
      <c r="L176" s="110"/>
      <c r="M176" s="110"/>
      <c r="N176" s="110"/>
      <c r="O176" s="110"/>
      <c r="P176" s="109"/>
      <c r="Q176" s="109"/>
      <c r="R176" s="109"/>
      <c r="S176" s="110"/>
      <c r="T176" s="135"/>
    </row>
    <row r="177" spans="1:20" x14ac:dyDescent="0.2">
      <c r="A177" s="5">
        <v>176</v>
      </c>
      <c r="B177" s="110">
        <v>1061</v>
      </c>
      <c r="C177" s="110" t="s">
        <v>444</v>
      </c>
      <c r="D177" s="110" t="s">
        <v>445</v>
      </c>
      <c r="E177" s="110"/>
      <c r="F177" s="110"/>
      <c r="G177" s="110" t="str">
        <f t="shared" si="2"/>
        <v>1</v>
      </c>
      <c r="H177" s="110"/>
      <c r="I177" s="110">
        <v>141.36079599999999</v>
      </c>
      <c r="J177" s="110">
        <v>40.678991000000003</v>
      </c>
      <c r="K177" s="110"/>
      <c r="L177" s="110"/>
      <c r="M177" s="110"/>
      <c r="N177" s="110"/>
      <c r="O177" s="110"/>
      <c r="P177" s="109"/>
      <c r="Q177" s="109"/>
      <c r="R177" s="109"/>
      <c r="S177" s="110"/>
      <c r="T177" s="135"/>
    </row>
    <row r="178" spans="1:20" x14ac:dyDescent="0.2">
      <c r="A178" s="5">
        <v>177</v>
      </c>
      <c r="B178" s="110">
        <v>1071</v>
      </c>
      <c r="C178" s="110" t="s">
        <v>446</v>
      </c>
      <c r="D178" s="110" t="s">
        <v>447</v>
      </c>
      <c r="E178" s="110"/>
      <c r="F178" s="110"/>
      <c r="G178" s="110" t="str">
        <f t="shared" si="2"/>
        <v>1</v>
      </c>
      <c r="H178" s="110"/>
      <c r="I178" s="110">
        <v>141.36168499999999</v>
      </c>
      <c r="J178" s="110">
        <v>40.680196000000002</v>
      </c>
      <c r="K178" s="110"/>
      <c r="L178" s="110"/>
      <c r="M178" s="110"/>
      <c r="N178" s="110"/>
      <c r="O178" s="110"/>
      <c r="P178" s="109"/>
      <c r="Q178" s="109"/>
      <c r="R178" s="109"/>
      <c r="S178" s="110"/>
      <c r="T178" s="135"/>
    </row>
    <row r="179" spans="1:20" x14ac:dyDescent="0.2">
      <c r="A179" s="5">
        <v>178</v>
      </c>
      <c r="B179" s="110">
        <v>1081</v>
      </c>
      <c r="C179" s="110" t="s">
        <v>448</v>
      </c>
      <c r="D179" s="110" t="s">
        <v>449</v>
      </c>
      <c r="E179" s="110"/>
      <c r="F179" s="110"/>
      <c r="G179" s="110" t="str">
        <f t="shared" si="2"/>
        <v>1</v>
      </c>
      <c r="H179" s="110"/>
      <c r="I179" s="110">
        <v>141.363786</v>
      </c>
      <c r="J179" s="110">
        <v>40.682732999999999</v>
      </c>
      <c r="K179" s="110"/>
      <c r="L179" s="110"/>
      <c r="M179" s="110"/>
      <c r="N179" s="110"/>
      <c r="O179" s="110"/>
      <c r="P179" s="109"/>
      <c r="Q179" s="109"/>
      <c r="R179" s="109"/>
      <c r="S179" s="110"/>
      <c r="T179" s="135"/>
    </row>
    <row r="180" spans="1:20" x14ac:dyDescent="0.2">
      <c r="A180" s="5">
        <v>179</v>
      </c>
      <c r="B180" s="110">
        <v>1091</v>
      </c>
      <c r="C180" s="110" t="s">
        <v>450</v>
      </c>
      <c r="D180" s="110" t="s">
        <v>451</v>
      </c>
      <c r="E180" s="110"/>
      <c r="F180" s="110"/>
      <c r="G180" s="110" t="str">
        <f t="shared" si="2"/>
        <v>1</v>
      </c>
      <c r="H180" s="110"/>
      <c r="I180" s="110">
        <v>141.365464</v>
      </c>
      <c r="J180" s="110">
        <v>40.684697999999997</v>
      </c>
      <c r="K180" s="110"/>
      <c r="L180" s="110"/>
      <c r="M180" s="110"/>
      <c r="N180" s="110"/>
      <c r="O180" s="110"/>
      <c r="P180" s="109"/>
      <c r="Q180" s="109"/>
      <c r="R180" s="109"/>
      <c r="S180" s="110"/>
      <c r="T180" s="135"/>
    </row>
    <row r="181" spans="1:20" x14ac:dyDescent="0.2">
      <c r="A181" s="5">
        <v>180</v>
      </c>
      <c r="B181" s="110">
        <v>1101</v>
      </c>
      <c r="C181" s="110" t="s">
        <v>452</v>
      </c>
      <c r="D181" s="110" t="s">
        <v>453</v>
      </c>
      <c r="E181" s="110"/>
      <c r="F181" s="110"/>
      <c r="G181" s="110" t="str">
        <f t="shared" si="2"/>
        <v>1</v>
      </c>
      <c r="H181" s="110"/>
      <c r="I181" s="110">
        <v>141.36661000000001</v>
      </c>
      <c r="J181" s="110">
        <v>40.684857999999998</v>
      </c>
      <c r="K181" s="110"/>
      <c r="L181" s="110"/>
      <c r="M181" s="110"/>
      <c r="N181" s="110"/>
      <c r="O181" s="110"/>
      <c r="P181" s="109"/>
      <c r="Q181" s="109"/>
      <c r="R181" s="109"/>
      <c r="S181" s="110"/>
      <c r="T181" s="135"/>
    </row>
    <row r="182" spans="1:20" x14ac:dyDescent="0.2">
      <c r="A182" s="5">
        <v>181</v>
      </c>
      <c r="B182" s="110">
        <v>1111</v>
      </c>
      <c r="C182" s="110" t="s">
        <v>454</v>
      </c>
      <c r="D182" s="110" t="s">
        <v>455</v>
      </c>
      <c r="E182" s="110"/>
      <c r="F182" s="110"/>
      <c r="G182" s="110" t="str">
        <f t="shared" si="2"/>
        <v>1</v>
      </c>
      <c r="H182" s="110"/>
      <c r="I182" s="110">
        <v>141.369574</v>
      </c>
      <c r="J182" s="110">
        <v>40.683351000000002</v>
      </c>
      <c r="K182" s="110"/>
      <c r="L182" s="110"/>
      <c r="M182" s="110"/>
      <c r="N182" s="110"/>
      <c r="O182" s="110"/>
      <c r="P182" s="109"/>
      <c r="Q182" s="109"/>
      <c r="R182" s="109"/>
      <c r="S182" s="110"/>
      <c r="T182" s="135"/>
    </row>
    <row r="183" spans="1:20" x14ac:dyDescent="0.2">
      <c r="A183" s="5">
        <v>182</v>
      </c>
      <c r="B183" s="110">
        <v>1121</v>
      </c>
      <c r="C183" s="110" t="s">
        <v>456</v>
      </c>
      <c r="D183" s="110" t="s">
        <v>457</v>
      </c>
      <c r="E183" s="110"/>
      <c r="F183" s="110"/>
      <c r="G183" s="110" t="str">
        <f t="shared" si="2"/>
        <v>1</v>
      </c>
      <c r="H183" s="110"/>
      <c r="I183" s="110">
        <v>141.361536</v>
      </c>
      <c r="J183" s="110">
        <v>40.678398000000001</v>
      </c>
      <c r="K183" s="110"/>
      <c r="L183" s="110"/>
      <c r="M183" s="110"/>
      <c r="N183" s="110"/>
      <c r="O183" s="110"/>
      <c r="P183" s="109"/>
      <c r="Q183" s="109"/>
      <c r="R183" s="109"/>
      <c r="S183" s="110"/>
      <c r="T183" s="135"/>
    </row>
    <row r="184" spans="1:20" x14ac:dyDescent="0.2">
      <c r="A184" s="5">
        <v>183</v>
      </c>
      <c r="B184" s="110">
        <v>1131</v>
      </c>
      <c r="C184" s="110" t="s">
        <v>458</v>
      </c>
      <c r="D184" s="110" t="s">
        <v>459</v>
      </c>
      <c r="E184" s="110"/>
      <c r="F184" s="110"/>
      <c r="G184" s="110" t="str">
        <f t="shared" si="2"/>
        <v>1</v>
      </c>
      <c r="H184" s="110"/>
      <c r="I184" s="110">
        <v>141.36514700000001</v>
      </c>
      <c r="J184" s="110">
        <v>40.680048999999997</v>
      </c>
      <c r="K184" s="110"/>
      <c r="L184" s="110"/>
      <c r="M184" s="110"/>
      <c r="N184" s="110"/>
      <c r="O184" s="110"/>
      <c r="P184" s="109"/>
      <c r="Q184" s="109"/>
      <c r="R184" s="109"/>
      <c r="S184" s="110"/>
      <c r="T184" s="135"/>
    </row>
    <row r="185" spans="1:20" x14ac:dyDescent="0.2">
      <c r="A185" s="5">
        <v>184</v>
      </c>
      <c r="B185" s="110">
        <v>1141</v>
      </c>
      <c r="C185" s="110" t="s">
        <v>460</v>
      </c>
      <c r="D185" s="192" t="s">
        <v>461</v>
      </c>
      <c r="E185" s="110"/>
      <c r="F185" s="110"/>
      <c r="G185" s="110" t="str">
        <f t="shared" si="2"/>
        <v>1</v>
      </c>
      <c r="H185" s="110"/>
      <c r="I185" s="110">
        <v>141.370249</v>
      </c>
      <c r="J185" s="110">
        <v>40.680683000000002</v>
      </c>
      <c r="K185" s="110"/>
      <c r="L185" s="110"/>
      <c r="M185" s="110"/>
      <c r="N185" s="110"/>
      <c r="O185" s="110"/>
      <c r="P185" s="109"/>
      <c r="Q185" s="109"/>
      <c r="R185" s="109"/>
      <c r="S185" s="110"/>
      <c r="T185" s="135"/>
    </row>
    <row r="186" spans="1:20" x14ac:dyDescent="0.2">
      <c r="A186" s="5">
        <v>185</v>
      </c>
      <c r="B186" s="110">
        <v>1151</v>
      </c>
      <c r="C186" s="110" t="s">
        <v>462</v>
      </c>
      <c r="D186" s="192" t="s">
        <v>463</v>
      </c>
      <c r="E186" s="110"/>
      <c r="F186" s="110"/>
      <c r="G186" s="110" t="str">
        <f t="shared" si="2"/>
        <v>1</v>
      </c>
      <c r="H186" s="110"/>
      <c r="I186" s="110">
        <v>141.369013</v>
      </c>
      <c r="J186" s="110">
        <v>40.679102999999998</v>
      </c>
      <c r="K186" s="110"/>
      <c r="L186" s="110"/>
      <c r="M186" s="110"/>
      <c r="N186" s="110"/>
      <c r="O186" s="110"/>
      <c r="P186" s="109"/>
      <c r="Q186" s="109"/>
      <c r="R186" s="109"/>
      <c r="S186" s="110"/>
      <c r="T186" s="135"/>
    </row>
    <row r="187" spans="1:20" x14ac:dyDescent="0.2">
      <c r="A187" s="5">
        <v>186</v>
      </c>
      <c r="B187" s="110">
        <v>1161</v>
      </c>
      <c r="C187" s="110" t="s">
        <v>464</v>
      </c>
      <c r="D187" s="110" t="s">
        <v>465</v>
      </c>
      <c r="E187" s="110"/>
      <c r="F187" s="110"/>
      <c r="G187" s="110" t="str">
        <f t="shared" si="2"/>
        <v>1</v>
      </c>
      <c r="H187" s="110"/>
      <c r="I187" s="110">
        <v>141.37090699999999</v>
      </c>
      <c r="J187" s="110">
        <v>40.678080999999999</v>
      </c>
      <c r="K187" s="110"/>
      <c r="L187" s="110"/>
      <c r="M187" s="110"/>
      <c r="N187" s="110"/>
      <c r="O187" s="110"/>
      <c r="P187" s="109"/>
      <c r="Q187" s="109"/>
      <c r="R187" s="109"/>
      <c r="S187" s="110"/>
      <c r="T187" s="135"/>
    </row>
    <row r="188" spans="1:20" x14ac:dyDescent="0.2">
      <c r="A188" s="5">
        <v>187</v>
      </c>
      <c r="B188" s="110">
        <v>1171</v>
      </c>
      <c r="C188" s="110" t="s">
        <v>466</v>
      </c>
      <c r="D188" s="192" t="s">
        <v>467</v>
      </c>
      <c r="E188" s="110"/>
      <c r="F188" s="110"/>
      <c r="G188" s="110" t="str">
        <f t="shared" si="2"/>
        <v>1</v>
      </c>
      <c r="H188" s="110"/>
      <c r="I188" s="110">
        <v>141.22054</v>
      </c>
      <c r="J188" s="110">
        <v>40.603577000000001</v>
      </c>
      <c r="K188" s="110"/>
      <c r="L188" s="110"/>
      <c r="M188" s="110"/>
      <c r="N188" s="110"/>
      <c r="O188" s="110"/>
      <c r="P188" s="109"/>
      <c r="Q188" s="109"/>
      <c r="R188" s="109"/>
      <c r="S188" s="110"/>
      <c r="T188" s="135"/>
    </row>
    <row r="189" spans="1:20" x14ac:dyDescent="0.2">
      <c r="A189" s="5">
        <v>188</v>
      </c>
      <c r="B189" s="110">
        <v>1181</v>
      </c>
      <c r="C189" s="110" t="s">
        <v>468</v>
      </c>
      <c r="D189" s="110" t="s">
        <v>469</v>
      </c>
      <c r="E189" s="110"/>
      <c r="F189" s="110"/>
      <c r="G189" s="110" t="str">
        <f t="shared" si="2"/>
        <v>1</v>
      </c>
      <c r="H189" s="110"/>
      <c r="I189" s="110">
        <v>141.22065499999999</v>
      </c>
      <c r="J189" s="110">
        <v>40.605519000000001</v>
      </c>
      <c r="K189" s="110"/>
      <c r="L189" s="110"/>
      <c r="M189" s="110"/>
      <c r="N189" s="110"/>
      <c r="O189" s="110"/>
      <c r="P189" s="109"/>
      <c r="Q189" s="109"/>
      <c r="R189" s="109"/>
      <c r="S189" s="110"/>
      <c r="T189" s="135"/>
    </row>
    <row r="190" spans="1:20" x14ac:dyDescent="0.2">
      <c r="A190" s="5">
        <v>189</v>
      </c>
      <c r="B190" s="110">
        <v>1191</v>
      </c>
      <c r="C190" s="110" t="s">
        <v>470</v>
      </c>
      <c r="D190" s="110" t="s">
        <v>471</v>
      </c>
      <c r="E190" s="110"/>
      <c r="F190" s="110"/>
      <c r="G190" s="110" t="str">
        <f t="shared" si="2"/>
        <v>1</v>
      </c>
      <c r="H190" s="110"/>
      <c r="I190" s="110">
        <v>141.219447</v>
      </c>
      <c r="J190" s="110">
        <v>40.607059999999997</v>
      </c>
      <c r="K190" s="110"/>
      <c r="L190" s="110"/>
      <c r="M190" s="110"/>
      <c r="N190" s="110"/>
      <c r="O190" s="110"/>
      <c r="P190" s="109"/>
      <c r="Q190" s="109"/>
      <c r="R190" s="109"/>
      <c r="S190" s="110"/>
      <c r="T190" s="135"/>
    </row>
    <row r="191" spans="1:20" x14ac:dyDescent="0.2">
      <c r="A191" s="5">
        <v>190</v>
      </c>
      <c r="B191" s="110">
        <v>1201</v>
      </c>
      <c r="C191" s="110" t="s">
        <v>472</v>
      </c>
      <c r="D191" s="110" t="s">
        <v>473</v>
      </c>
      <c r="E191" s="110"/>
      <c r="F191" s="110"/>
      <c r="G191" s="110" t="str">
        <f t="shared" si="2"/>
        <v>1</v>
      </c>
      <c r="H191" s="110"/>
      <c r="I191" s="110">
        <v>141.21853100000001</v>
      </c>
      <c r="J191" s="110">
        <v>40.608240000000002</v>
      </c>
      <c r="K191" s="110"/>
      <c r="L191" s="110"/>
      <c r="M191" s="110"/>
      <c r="N191" s="110"/>
      <c r="O191" s="110"/>
      <c r="P191" s="109"/>
      <c r="Q191" s="109"/>
      <c r="R191" s="109"/>
      <c r="S191" s="110"/>
      <c r="T191" s="135"/>
    </row>
    <row r="192" spans="1:20" x14ac:dyDescent="0.2">
      <c r="A192" s="5">
        <v>191</v>
      </c>
      <c r="B192" s="110">
        <v>1211</v>
      </c>
      <c r="C192" s="110" t="s">
        <v>474</v>
      </c>
      <c r="D192" s="110" t="s">
        <v>475</v>
      </c>
      <c r="E192" s="110"/>
      <c r="F192" s="110"/>
      <c r="G192" s="110" t="str">
        <f t="shared" si="2"/>
        <v>1</v>
      </c>
      <c r="H192" s="110"/>
      <c r="I192" s="110">
        <v>141.3487887</v>
      </c>
      <c r="J192" s="110">
        <v>40.668820799999999</v>
      </c>
      <c r="K192" s="110"/>
      <c r="L192" s="110"/>
      <c r="M192" s="110"/>
      <c r="N192" s="110"/>
      <c r="O192" s="110"/>
      <c r="P192" s="109"/>
      <c r="Q192" s="109"/>
      <c r="R192" s="109"/>
      <c r="S192" s="110"/>
      <c r="T192" s="135"/>
    </row>
    <row r="193" spans="1:20" x14ac:dyDescent="0.2">
      <c r="A193" s="5">
        <v>192</v>
      </c>
      <c r="B193" s="110">
        <v>992</v>
      </c>
      <c r="C193" s="110" t="s">
        <v>430</v>
      </c>
      <c r="D193" s="110" t="s">
        <v>431</v>
      </c>
      <c r="E193" s="110"/>
      <c r="F193" s="110"/>
      <c r="G193" s="110" t="str">
        <f t="shared" si="2"/>
        <v>2</v>
      </c>
      <c r="H193" s="110"/>
      <c r="I193" s="110">
        <v>141.32561100000001</v>
      </c>
      <c r="J193" s="110">
        <v>40.642118000000004</v>
      </c>
      <c r="K193" s="110"/>
      <c r="L193" s="110"/>
      <c r="M193" s="110"/>
      <c r="N193" s="110"/>
      <c r="O193" s="110"/>
      <c r="P193" s="109"/>
      <c r="Q193" s="109"/>
      <c r="R193" s="109"/>
      <c r="S193" s="110"/>
      <c r="T193" s="135"/>
    </row>
    <row r="194" spans="1:20" x14ac:dyDescent="0.2">
      <c r="A194" s="5">
        <v>193</v>
      </c>
      <c r="B194" s="110">
        <v>1221</v>
      </c>
      <c r="C194" s="110" t="s">
        <v>476</v>
      </c>
      <c r="D194" s="110" t="s">
        <v>477</v>
      </c>
      <c r="E194" s="110"/>
      <c r="F194" s="110"/>
      <c r="G194" s="110" t="str">
        <f t="shared" si="2"/>
        <v>1</v>
      </c>
      <c r="H194" s="110"/>
      <c r="I194" s="110">
        <v>141.328183</v>
      </c>
      <c r="J194" s="110">
        <v>40.617710000000002</v>
      </c>
      <c r="K194" s="110"/>
      <c r="L194" s="110"/>
      <c r="M194" s="110"/>
      <c r="N194" s="110"/>
      <c r="O194" s="110"/>
      <c r="P194" s="109"/>
      <c r="Q194" s="109"/>
      <c r="R194" s="109"/>
      <c r="S194" s="110"/>
      <c r="T194" s="135"/>
    </row>
    <row r="195" spans="1:20" x14ac:dyDescent="0.2">
      <c r="A195" s="5">
        <v>194</v>
      </c>
      <c r="B195" s="110">
        <v>1231</v>
      </c>
      <c r="C195" s="110" t="s">
        <v>478</v>
      </c>
      <c r="D195" s="110" t="s">
        <v>479</v>
      </c>
      <c r="E195" s="110"/>
      <c r="F195" s="110"/>
      <c r="G195" s="110" t="str">
        <f t="shared" ref="G195:G259" si="3">RIGHT(B195,1)</f>
        <v>1</v>
      </c>
      <c r="H195" s="110"/>
      <c r="I195" s="110">
        <v>141.20726300000001</v>
      </c>
      <c r="J195" s="110">
        <v>40.60069</v>
      </c>
      <c r="K195" s="110"/>
      <c r="L195" s="110"/>
      <c r="M195" s="110"/>
      <c r="N195" s="110"/>
      <c r="O195" s="110"/>
      <c r="P195" s="109"/>
      <c r="Q195" s="109"/>
      <c r="R195" s="109"/>
      <c r="S195" s="110"/>
      <c r="T195" s="135"/>
    </row>
    <row r="196" spans="1:20" x14ac:dyDescent="0.2">
      <c r="A196" s="5">
        <v>195</v>
      </c>
      <c r="B196" s="110">
        <v>1241</v>
      </c>
      <c r="C196" s="110" t="s">
        <v>480</v>
      </c>
      <c r="D196" s="110" t="s">
        <v>481</v>
      </c>
      <c r="E196" s="110"/>
      <c r="F196" s="110"/>
      <c r="G196" s="110" t="str">
        <f t="shared" si="3"/>
        <v>1</v>
      </c>
      <c r="H196" s="110"/>
      <c r="I196" s="110">
        <v>141.21041</v>
      </c>
      <c r="J196" s="110">
        <v>40.602412000000001</v>
      </c>
      <c r="K196" s="110"/>
      <c r="L196" s="110"/>
      <c r="M196" s="110"/>
      <c r="N196" s="110"/>
      <c r="O196" s="110"/>
      <c r="P196" s="109"/>
      <c r="Q196" s="109"/>
      <c r="R196" s="109"/>
      <c r="S196" s="110"/>
      <c r="T196" s="135"/>
    </row>
    <row r="197" spans="1:20" x14ac:dyDescent="0.2">
      <c r="A197" s="5">
        <v>196</v>
      </c>
      <c r="B197" s="110">
        <v>1251</v>
      </c>
      <c r="C197" s="110" t="s">
        <v>482</v>
      </c>
      <c r="D197" s="110" t="s">
        <v>483</v>
      </c>
      <c r="E197" s="110"/>
      <c r="F197" s="110"/>
      <c r="G197" s="110" t="str">
        <f t="shared" si="3"/>
        <v>1</v>
      </c>
      <c r="H197" s="110"/>
      <c r="I197" s="110">
        <v>141.21264600000001</v>
      </c>
      <c r="J197" s="110">
        <v>40.603358999999998</v>
      </c>
      <c r="K197" s="110"/>
      <c r="L197" s="110"/>
      <c r="M197" s="110"/>
      <c r="N197" s="110"/>
      <c r="O197" s="110"/>
      <c r="P197" s="109"/>
      <c r="Q197" s="109"/>
      <c r="R197" s="109"/>
      <c r="S197" s="110"/>
      <c r="T197" s="135"/>
    </row>
    <row r="198" spans="1:20" x14ac:dyDescent="0.2">
      <c r="A198" s="5">
        <v>197</v>
      </c>
      <c r="B198" s="110">
        <v>1261</v>
      </c>
      <c r="C198" s="110" t="s">
        <v>484</v>
      </c>
      <c r="D198" s="110" t="s">
        <v>485</v>
      </c>
      <c r="E198" s="110"/>
      <c r="F198" s="110"/>
      <c r="G198" s="110" t="str">
        <f t="shared" si="3"/>
        <v>1</v>
      </c>
      <c r="H198" s="110"/>
      <c r="I198" s="110">
        <v>141.215295</v>
      </c>
      <c r="J198" s="110">
        <v>40.604565999999998</v>
      </c>
      <c r="K198" s="110"/>
      <c r="L198" s="110"/>
      <c r="M198" s="110"/>
      <c r="N198" s="110"/>
      <c r="O198" s="110"/>
      <c r="P198" s="109"/>
      <c r="Q198" s="109"/>
      <c r="R198" s="109"/>
      <c r="S198" s="110"/>
      <c r="T198" s="135"/>
    </row>
    <row r="199" spans="1:20" x14ac:dyDescent="0.2">
      <c r="A199" s="5">
        <v>198</v>
      </c>
      <c r="B199" s="110">
        <v>1271</v>
      </c>
      <c r="C199" s="110" t="s">
        <v>486</v>
      </c>
      <c r="D199" s="110" t="s">
        <v>487</v>
      </c>
      <c r="E199" s="110"/>
      <c r="F199" s="110"/>
      <c r="G199" s="110" t="str">
        <f t="shared" si="3"/>
        <v>1</v>
      </c>
      <c r="H199" s="110"/>
      <c r="I199" s="110">
        <v>141.218221</v>
      </c>
      <c r="J199" s="110">
        <v>40.606504000000001</v>
      </c>
      <c r="K199" s="110"/>
      <c r="L199" s="110"/>
      <c r="M199" s="110"/>
      <c r="N199" s="110"/>
      <c r="O199" s="110"/>
      <c r="P199" s="109"/>
      <c r="Q199" s="109"/>
      <c r="R199" s="109"/>
      <c r="S199" s="110"/>
      <c r="T199" s="135"/>
    </row>
    <row r="200" spans="1:20" x14ac:dyDescent="0.2">
      <c r="A200" s="5">
        <v>199</v>
      </c>
      <c r="B200" s="110">
        <v>1281</v>
      </c>
      <c r="C200" s="110" t="s">
        <v>488</v>
      </c>
      <c r="D200" s="110" t="s">
        <v>489</v>
      </c>
      <c r="E200" s="110"/>
      <c r="F200" s="110"/>
      <c r="G200" s="110" t="str">
        <f t="shared" si="3"/>
        <v>1</v>
      </c>
      <c r="H200" s="110"/>
      <c r="I200" s="110">
        <v>141.21633700000001</v>
      </c>
      <c r="J200" s="110">
        <v>40.608922999999997</v>
      </c>
      <c r="K200" s="110"/>
      <c r="L200" s="110"/>
      <c r="M200" s="110"/>
      <c r="N200" s="110"/>
      <c r="O200" s="110"/>
      <c r="P200" s="109"/>
      <c r="Q200" s="109"/>
      <c r="R200" s="109"/>
      <c r="S200" s="110"/>
      <c r="T200" s="135"/>
    </row>
    <row r="201" spans="1:20" x14ac:dyDescent="0.2">
      <c r="A201" s="5">
        <v>200</v>
      </c>
      <c r="B201" s="110">
        <v>1112</v>
      </c>
      <c r="C201" s="110" t="s">
        <v>454</v>
      </c>
      <c r="D201" s="110" t="s">
        <v>455</v>
      </c>
      <c r="E201" s="110"/>
      <c r="F201" s="110"/>
      <c r="G201" s="110" t="str">
        <f t="shared" si="3"/>
        <v>2</v>
      </c>
      <c r="H201" s="110"/>
      <c r="I201" s="110">
        <v>141.369688</v>
      </c>
      <c r="J201" s="110">
        <v>40.683089000000002</v>
      </c>
      <c r="K201" s="110"/>
      <c r="L201" s="110"/>
      <c r="M201" s="110"/>
      <c r="N201" s="110"/>
      <c r="O201" s="110"/>
      <c r="P201" s="109"/>
      <c r="Q201" s="109"/>
      <c r="R201" s="109"/>
      <c r="S201" s="110"/>
      <c r="T201" s="135"/>
    </row>
    <row r="202" spans="1:20" x14ac:dyDescent="0.2">
      <c r="A202" s="5">
        <v>201</v>
      </c>
      <c r="B202" s="110">
        <v>1291</v>
      </c>
      <c r="C202" s="110" t="s">
        <v>490</v>
      </c>
      <c r="D202" s="110" t="s">
        <v>491</v>
      </c>
      <c r="E202" s="110"/>
      <c r="F202" s="110"/>
      <c r="G202" s="110" t="str">
        <f t="shared" si="3"/>
        <v>1</v>
      </c>
      <c r="H202" s="110"/>
      <c r="I202" s="110">
        <v>141.36785499999999</v>
      </c>
      <c r="J202" s="110">
        <v>40.682912999999999</v>
      </c>
      <c r="K202" s="110"/>
      <c r="L202" s="110"/>
      <c r="M202" s="110"/>
      <c r="N202" s="110"/>
      <c r="O202" s="110"/>
      <c r="P202" s="109"/>
      <c r="Q202" s="109"/>
      <c r="R202" s="109"/>
      <c r="S202" s="110"/>
      <c r="T202" s="135"/>
    </row>
    <row r="203" spans="1:20" x14ac:dyDescent="0.2">
      <c r="A203" s="5">
        <v>202</v>
      </c>
      <c r="B203" s="110">
        <v>1132</v>
      </c>
      <c r="C203" s="110" t="s">
        <v>458</v>
      </c>
      <c r="D203" s="110" t="s">
        <v>459</v>
      </c>
      <c r="E203" s="110"/>
      <c r="F203" s="110"/>
      <c r="G203" s="110" t="str">
        <f t="shared" si="3"/>
        <v>2</v>
      </c>
      <c r="H203" s="110"/>
      <c r="I203" s="110">
        <v>141.36637300000001</v>
      </c>
      <c r="J203" s="110">
        <v>40.681235000000001</v>
      </c>
      <c r="K203" s="110"/>
      <c r="L203" s="110"/>
      <c r="M203" s="110"/>
      <c r="N203" s="110"/>
      <c r="O203" s="110"/>
      <c r="P203" s="109"/>
      <c r="Q203" s="109"/>
      <c r="R203" s="109"/>
      <c r="S203" s="110"/>
      <c r="T203" s="135"/>
    </row>
    <row r="204" spans="1:20" x14ac:dyDescent="0.2">
      <c r="A204" s="5">
        <v>203</v>
      </c>
      <c r="B204" s="110">
        <v>1122</v>
      </c>
      <c r="C204" s="110" t="s">
        <v>456</v>
      </c>
      <c r="D204" s="110" t="s">
        <v>457</v>
      </c>
      <c r="E204" s="110"/>
      <c r="F204" s="110"/>
      <c r="G204" s="110" t="str">
        <f t="shared" si="3"/>
        <v>2</v>
      </c>
      <c r="H204" s="110"/>
      <c r="I204" s="110">
        <v>141.360815</v>
      </c>
      <c r="J204" s="110">
        <v>40.678258999999997</v>
      </c>
      <c r="K204" s="110"/>
      <c r="L204" s="110"/>
      <c r="M204" s="110"/>
      <c r="N204" s="110"/>
      <c r="O204" s="110"/>
      <c r="P204" s="109"/>
      <c r="Q204" s="109"/>
      <c r="R204" s="109"/>
      <c r="S204" s="110"/>
      <c r="T204" s="135"/>
    </row>
    <row r="205" spans="1:20" x14ac:dyDescent="0.2">
      <c r="A205" s="5">
        <v>204</v>
      </c>
      <c r="B205" s="110">
        <v>1052</v>
      </c>
      <c r="C205" s="192" t="s">
        <v>442</v>
      </c>
      <c r="D205" s="192" t="s">
        <v>443</v>
      </c>
      <c r="E205" s="110"/>
      <c r="F205" s="110"/>
      <c r="G205" s="110" t="str">
        <f t="shared" si="3"/>
        <v>2</v>
      </c>
      <c r="H205" s="110"/>
      <c r="I205" s="110">
        <v>141.35322600000001</v>
      </c>
      <c r="J205" s="110">
        <v>40.673996000000002</v>
      </c>
      <c r="K205" s="110"/>
      <c r="L205" s="110"/>
      <c r="M205" s="110"/>
      <c r="N205" s="110"/>
      <c r="O205" s="110"/>
      <c r="P205" s="109"/>
      <c r="Q205" s="109"/>
      <c r="R205" s="109"/>
      <c r="S205" s="110"/>
      <c r="T205" s="135"/>
    </row>
    <row r="206" spans="1:20" x14ac:dyDescent="0.2">
      <c r="A206" s="5">
        <v>205</v>
      </c>
      <c r="B206" s="194">
        <v>1042</v>
      </c>
      <c r="C206" s="194" t="s">
        <v>440</v>
      </c>
      <c r="D206" s="194" t="s">
        <v>492</v>
      </c>
      <c r="E206" s="194"/>
      <c r="F206" s="194"/>
      <c r="G206" s="195" t="str">
        <f>RIGHT(B206,1)</f>
        <v>2</v>
      </c>
      <c r="H206" s="194"/>
      <c r="I206" s="194">
        <v>141.35394099999999</v>
      </c>
      <c r="J206" s="194">
        <v>40.668567000000003</v>
      </c>
      <c r="K206" s="110"/>
      <c r="L206" s="110"/>
      <c r="M206" s="110"/>
      <c r="N206" s="110"/>
      <c r="O206" s="110"/>
      <c r="P206" s="109"/>
      <c r="Q206" s="109"/>
      <c r="R206" s="109"/>
      <c r="S206" s="110"/>
      <c r="T206" s="135"/>
    </row>
    <row r="207" spans="1:20" x14ac:dyDescent="0.2">
      <c r="A207" s="5">
        <v>206</v>
      </c>
      <c r="B207" s="110">
        <v>1032</v>
      </c>
      <c r="C207" s="110" t="s">
        <v>438</v>
      </c>
      <c r="D207" s="110" t="s">
        <v>439</v>
      </c>
      <c r="E207" s="110"/>
      <c r="F207" s="110"/>
      <c r="G207" s="110" t="str">
        <f t="shared" si="3"/>
        <v>2</v>
      </c>
      <c r="H207" s="110"/>
      <c r="I207" s="110">
        <v>141.34907100000001</v>
      </c>
      <c r="J207" s="110">
        <v>40.663072</v>
      </c>
      <c r="K207" s="110"/>
      <c r="L207" s="110"/>
      <c r="M207" s="110"/>
      <c r="N207" s="110"/>
      <c r="O207" s="110"/>
      <c r="P207" s="109"/>
      <c r="Q207" s="109"/>
      <c r="R207" s="109"/>
      <c r="S207" s="110"/>
      <c r="T207" s="135"/>
    </row>
    <row r="208" spans="1:20" x14ac:dyDescent="0.2">
      <c r="A208" s="5">
        <v>207</v>
      </c>
      <c r="B208" s="110">
        <v>1022</v>
      </c>
      <c r="C208" s="110" t="s">
        <v>436</v>
      </c>
      <c r="D208" s="192" t="s">
        <v>437</v>
      </c>
      <c r="E208" s="110"/>
      <c r="F208" s="110"/>
      <c r="G208" s="110" t="str">
        <f t="shared" si="3"/>
        <v>2</v>
      </c>
      <c r="H208" s="110"/>
      <c r="I208" s="110">
        <v>141.34594799999999</v>
      </c>
      <c r="J208" s="110">
        <v>40.660572000000002</v>
      </c>
      <c r="K208" s="110"/>
      <c r="L208" s="110"/>
      <c r="M208" s="110"/>
      <c r="N208" s="110"/>
      <c r="O208" s="110"/>
      <c r="P208" s="109"/>
      <c r="Q208" s="109"/>
      <c r="R208" s="109"/>
      <c r="S208" s="110"/>
      <c r="T208" s="135"/>
    </row>
    <row r="209" spans="1:20" x14ac:dyDescent="0.2">
      <c r="A209" s="5">
        <v>208</v>
      </c>
      <c r="B209" s="110">
        <v>1012</v>
      </c>
      <c r="C209" s="110" t="s">
        <v>434</v>
      </c>
      <c r="D209" s="110" t="s">
        <v>435</v>
      </c>
      <c r="E209" s="110"/>
      <c r="F209" s="110"/>
      <c r="G209" s="110" t="str">
        <f t="shared" si="3"/>
        <v>2</v>
      </c>
      <c r="H209" s="110"/>
      <c r="I209" s="110">
        <v>141.34307999999999</v>
      </c>
      <c r="J209" s="110">
        <v>40.649617999999997</v>
      </c>
      <c r="K209" s="110"/>
      <c r="L209" s="110"/>
      <c r="M209" s="110"/>
      <c r="N209" s="110"/>
      <c r="O209" s="110"/>
      <c r="P209" s="109"/>
      <c r="Q209" s="109"/>
      <c r="R209" s="109"/>
      <c r="S209" s="110"/>
      <c r="T209" s="135"/>
    </row>
    <row r="210" spans="1:20" x14ac:dyDescent="0.2">
      <c r="A210" s="5">
        <v>209</v>
      </c>
      <c r="B210" s="110">
        <v>1002</v>
      </c>
      <c r="C210" s="110" t="s">
        <v>432</v>
      </c>
      <c r="D210" s="110" t="s">
        <v>433</v>
      </c>
      <c r="E210" s="110"/>
      <c r="F210" s="110"/>
      <c r="G210" s="110" t="str">
        <f t="shared" si="3"/>
        <v>2</v>
      </c>
      <c r="H210" s="110"/>
      <c r="I210" s="110">
        <v>141.33685199999999</v>
      </c>
      <c r="J210" s="110">
        <v>40.643219000000002</v>
      </c>
      <c r="K210" s="110"/>
      <c r="L210" s="110"/>
      <c r="M210" s="110"/>
      <c r="N210" s="110"/>
      <c r="O210" s="110"/>
      <c r="P210" s="109"/>
      <c r="Q210" s="109"/>
      <c r="R210" s="109"/>
      <c r="S210" s="110"/>
      <c r="T210" s="135"/>
    </row>
    <row r="211" spans="1:20" x14ac:dyDescent="0.2">
      <c r="A211" s="5">
        <v>210</v>
      </c>
      <c r="B211" s="110">
        <v>993</v>
      </c>
      <c r="C211" s="110" t="s">
        <v>430</v>
      </c>
      <c r="D211" s="110" t="s">
        <v>431</v>
      </c>
      <c r="E211" s="110"/>
      <c r="F211" s="110"/>
      <c r="G211" s="110" t="str">
        <f t="shared" si="3"/>
        <v>3</v>
      </c>
      <c r="H211" s="110"/>
      <c r="I211" s="110">
        <v>141.32583099999999</v>
      </c>
      <c r="J211" s="110">
        <v>40.642440999999998</v>
      </c>
      <c r="K211" s="110"/>
      <c r="L211" s="110"/>
      <c r="M211" s="110"/>
      <c r="N211" s="110"/>
      <c r="O211" s="110"/>
      <c r="P211" s="109"/>
      <c r="Q211" s="109"/>
      <c r="R211" s="109"/>
      <c r="S211" s="110"/>
      <c r="T211" s="135"/>
    </row>
    <row r="212" spans="1:20" x14ac:dyDescent="0.2">
      <c r="A212" s="5">
        <v>211</v>
      </c>
      <c r="B212" s="110">
        <v>982</v>
      </c>
      <c r="C212" s="110" t="s">
        <v>428</v>
      </c>
      <c r="D212" s="110" t="s">
        <v>429</v>
      </c>
      <c r="E212" s="110"/>
      <c r="F212" s="110"/>
      <c r="G212" s="110" t="str">
        <f t="shared" si="3"/>
        <v>2</v>
      </c>
      <c r="H212" s="110"/>
      <c r="I212" s="110">
        <v>141.32231999999999</v>
      </c>
      <c r="J212" s="110">
        <v>40.642626</v>
      </c>
      <c r="K212" s="110"/>
      <c r="L212" s="110"/>
      <c r="M212" s="110"/>
      <c r="N212" s="110"/>
      <c r="O212" s="110"/>
      <c r="P212" s="109"/>
      <c r="Q212" s="109"/>
      <c r="R212" s="109"/>
      <c r="S212" s="110"/>
      <c r="T212" s="135"/>
    </row>
    <row r="213" spans="1:20" x14ac:dyDescent="0.2">
      <c r="A213" s="5">
        <v>212</v>
      </c>
      <c r="B213" s="110">
        <v>972</v>
      </c>
      <c r="C213" s="110" t="s">
        <v>426</v>
      </c>
      <c r="D213" s="192" t="s">
        <v>427</v>
      </c>
      <c r="E213" s="110"/>
      <c r="F213" s="110"/>
      <c r="G213" s="110" t="str">
        <f t="shared" si="3"/>
        <v>2</v>
      </c>
      <c r="H213" s="110"/>
      <c r="I213" s="110">
        <v>141.31859299999999</v>
      </c>
      <c r="J213" s="110">
        <v>40.642789999999998</v>
      </c>
      <c r="K213" s="110"/>
      <c r="L213" s="110"/>
      <c r="M213" s="110"/>
      <c r="N213" s="110"/>
      <c r="O213" s="110"/>
      <c r="P213" s="109"/>
      <c r="Q213" s="109"/>
      <c r="R213" s="109"/>
      <c r="S213" s="110"/>
      <c r="T213" s="135"/>
    </row>
    <row r="214" spans="1:20" x14ac:dyDescent="0.2">
      <c r="A214" s="5">
        <v>213</v>
      </c>
      <c r="B214" s="110">
        <v>962</v>
      </c>
      <c r="C214" s="110" t="s">
        <v>424</v>
      </c>
      <c r="D214" s="110" t="s">
        <v>425</v>
      </c>
      <c r="E214" s="110"/>
      <c r="F214" s="110"/>
      <c r="G214" s="110" t="str">
        <f t="shared" si="3"/>
        <v>2</v>
      </c>
      <c r="H214" s="110"/>
      <c r="I214" s="110">
        <v>141.303428</v>
      </c>
      <c r="J214" s="110">
        <v>40.640709999999999</v>
      </c>
      <c r="K214" s="110"/>
      <c r="L214" s="110"/>
      <c r="M214" s="110"/>
      <c r="N214" s="110"/>
      <c r="O214" s="110"/>
      <c r="P214" s="109"/>
      <c r="Q214" s="109"/>
      <c r="R214" s="109"/>
      <c r="S214" s="110"/>
      <c r="T214" s="135"/>
    </row>
    <row r="215" spans="1:20" x14ac:dyDescent="0.2">
      <c r="A215" s="5">
        <v>214</v>
      </c>
      <c r="B215" s="110">
        <v>952</v>
      </c>
      <c r="C215" s="110" t="s">
        <v>422</v>
      </c>
      <c r="D215" s="110" t="s">
        <v>423</v>
      </c>
      <c r="E215" s="110"/>
      <c r="F215" s="110"/>
      <c r="G215" s="110" t="str">
        <f t="shared" si="3"/>
        <v>2</v>
      </c>
      <c r="H215" s="110"/>
      <c r="I215" s="110">
        <v>141.29548299999999</v>
      </c>
      <c r="J215" s="110">
        <v>40.639853000000002</v>
      </c>
      <c r="K215" s="110"/>
      <c r="L215" s="110"/>
      <c r="M215" s="110"/>
      <c r="N215" s="110"/>
      <c r="O215" s="110"/>
      <c r="P215" s="109"/>
      <c r="Q215" s="109"/>
      <c r="R215" s="109"/>
      <c r="S215" s="110"/>
      <c r="T215" s="135"/>
    </row>
    <row r="216" spans="1:20" x14ac:dyDescent="0.2">
      <c r="A216" s="5">
        <v>215</v>
      </c>
      <c r="B216" s="110">
        <v>942</v>
      </c>
      <c r="C216" s="110" t="s">
        <v>420</v>
      </c>
      <c r="D216" s="110" t="s">
        <v>421</v>
      </c>
      <c r="E216" s="110"/>
      <c r="F216" s="110"/>
      <c r="G216" s="110" t="str">
        <f t="shared" si="3"/>
        <v>2</v>
      </c>
      <c r="H216" s="110"/>
      <c r="I216" s="110">
        <v>141.28431699999999</v>
      </c>
      <c r="J216" s="110">
        <v>40.638755000000003</v>
      </c>
      <c r="K216" s="110"/>
      <c r="L216" s="110"/>
      <c r="M216" s="110"/>
      <c r="N216" s="110"/>
      <c r="O216" s="110"/>
      <c r="P216" s="109"/>
      <c r="Q216" s="109"/>
      <c r="R216" s="109"/>
      <c r="S216" s="110"/>
      <c r="T216" s="135"/>
    </row>
    <row r="217" spans="1:20" x14ac:dyDescent="0.2">
      <c r="A217" s="5">
        <v>216</v>
      </c>
      <c r="B217" s="110">
        <v>932</v>
      </c>
      <c r="C217" s="110" t="s">
        <v>418</v>
      </c>
      <c r="D217" s="192" t="s">
        <v>493</v>
      </c>
      <c r="E217" s="110"/>
      <c r="F217" s="110"/>
      <c r="G217" s="110" t="str">
        <f t="shared" si="3"/>
        <v>2</v>
      </c>
      <c r="H217" s="110"/>
      <c r="I217" s="110">
        <v>141.26649900000001</v>
      </c>
      <c r="J217" s="110">
        <v>40.636794000000002</v>
      </c>
      <c r="K217" s="110"/>
      <c r="L217" s="110"/>
      <c r="M217" s="110"/>
      <c r="N217" s="110"/>
      <c r="O217" s="110"/>
      <c r="P217" s="109"/>
      <c r="Q217" s="109"/>
      <c r="R217" s="109"/>
      <c r="S217" s="110"/>
      <c r="T217" s="135"/>
    </row>
    <row r="218" spans="1:20" x14ac:dyDescent="0.2">
      <c r="A218" s="5">
        <v>217</v>
      </c>
      <c r="B218" s="110">
        <v>922</v>
      </c>
      <c r="C218" s="110" t="s">
        <v>416</v>
      </c>
      <c r="D218" s="110" t="s">
        <v>494</v>
      </c>
      <c r="E218" s="110"/>
      <c r="F218" s="110"/>
      <c r="G218" s="110" t="str">
        <f t="shared" si="3"/>
        <v>2</v>
      </c>
      <c r="H218" s="110"/>
      <c r="I218" s="110">
        <v>141.25869599999999</v>
      </c>
      <c r="J218" s="110">
        <v>40.634898999999997</v>
      </c>
      <c r="K218" s="110"/>
      <c r="L218" s="110"/>
      <c r="M218" s="110"/>
      <c r="N218" s="110"/>
      <c r="O218" s="110"/>
      <c r="P218" s="109"/>
      <c r="Q218" s="109"/>
      <c r="R218" s="109"/>
      <c r="S218" s="110"/>
      <c r="T218" s="135"/>
    </row>
    <row r="219" spans="1:20" x14ac:dyDescent="0.2">
      <c r="A219" s="5">
        <v>218</v>
      </c>
      <c r="B219" s="110">
        <v>912</v>
      </c>
      <c r="C219" s="110" t="s">
        <v>414</v>
      </c>
      <c r="D219" s="110" t="s">
        <v>415</v>
      </c>
      <c r="E219" s="110"/>
      <c r="F219" s="110"/>
      <c r="G219" s="110" t="str">
        <f t="shared" si="3"/>
        <v>2</v>
      </c>
      <c r="H219" s="110"/>
      <c r="I219" s="110">
        <v>141.25246300000001</v>
      </c>
      <c r="J219" s="110">
        <v>40.632876000000003</v>
      </c>
      <c r="K219" s="110"/>
      <c r="L219" s="110"/>
      <c r="M219" s="110"/>
      <c r="N219" s="110"/>
      <c r="O219" s="110"/>
      <c r="P219" s="109"/>
      <c r="Q219" s="109"/>
      <c r="R219" s="109"/>
      <c r="S219" s="110"/>
      <c r="T219" s="135"/>
    </row>
    <row r="220" spans="1:20" x14ac:dyDescent="0.2">
      <c r="A220" s="5">
        <v>219</v>
      </c>
      <c r="B220" s="110">
        <v>902</v>
      </c>
      <c r="C220" s="110" t="s">
        <v>412</v>
      </c>
      <c r="D220" s="110" t="s">
        <v>413</v>
      </c>
      <c r="E220" s="110"/>
      <c r="F220" s="110"/>
      <c r="G220" s="110" t="str">
        <f t="shared" si="3"/>
        <v>2</v>
      </c>
      <c r="H220" s="110"/>
      <c r="I220" s="110">
        <v>141.242322</v>
      </c>
      <c r="J220" s="110">
        <v>40.629652</v>
      </c>
      <c r="K220" s="110"/>
      <c r="L220" s="110"/>
      <c r="M220" s="110"/>
      <c r="N220" s="110"/>
      <c r="O220" s="110"/>
      <c r="P220" s="109"/>
      <c r="Q220" s="109"/>
      <c r="R220" s="109"/>
      <c r="S220" s="110"/>
      <c r="T220" s="135"/>
    </row>
    <row r="221" spans="1:20" x14ac:dyDescent="0.2">
      <c r="A221" s="5">
        <v>220</v>
      </c>
      <c r="B221" s="110">
        <v>892</v>
      </c>
      <c r="C221" s="110" t="s">
        <v>410</v>
      </c>
      <c r="D221" s="110" t="s">
        <v>411</v>
      </c>
      <c r="E221" s="110"/>
      <c r="F221" s="110"/>
      <c r="G221" s="110" t="str">
        <f t="shared" si="3"/>
        <v>2</v>
      </c>
      <c r="H221" s="110"/>
      <c r="I221" s="110">
        <v>141.23599300000001</v>
      </c>
      <c r="J221" s="110">
        <v>40.628543999999998</v>
      </c>
      <c r="K221" s="110"/>
      <c r="L221" s="110"/>
      <c r="M221" s="110"/>
      <c r="N221" s="110"/>
      <c r="O221" s="110"/>
      <c r="P221" s="109"/>
      <c r="Q221" s="109"/>
      <c r="R221" s="109"/>
      <c r="S221" s="110"/>
      <c r="T221" s="135"/>
    </row>
    <row r="222" spans="1:20" x14ac:dyDescent="0.2">
      <c r="A222" s="5">
        <v>221</v>
      </c>
      <c r="B222" s="110">
        <v>882</v>
      </c>
      <c r="C222" s="110" t="s">
        <v>408</v>
      </c>
      <c r="D222" s="110" t="s">
        <v>409</v>
      </c>
      <c r="E222" s="110"/>
      <c r="F222" s="110"/>
      <c r="G222" s="110" t="str">
        <f t="shared" si="3"/>
        <v>2</v>
      </c>
      <c r="H222" s="110"/>
      <c r="I222" s="110">
        <v>141.22760400000001</v>
      </c>
      <c r="J222" s="110">
        <v>40.627170999999997</v>
      </c>
      <c r="K222" s="110"/>
      <c r="L222" s="110"/>
      <c r="M222" s="110"/>
      <c r="N222" s="110"/>
      <c r="O222" s="110"/>
      <c r="P222" s="109"/>
      <c r="Q222" s="109"/>
      <c r="R222" s="109"/>
      <c r="S222" s="110"/>
      <c r="T222" s="135"/>
    </row>
    <row r="223" spans="1:20" x14ac:dyDescent="0.2">
      <c r="A223" s="5">
        <v>222</v>
      </c>
      <c r="B223" s="110">
        <v>872</v>
      </c>
      <c r="C223" s="110" t="s">
        <v>406</v>
      </c>
      <c r="D223" s="110" t="s">
        <v>407</v>
      </c>
      <c r="E223" s="110"/>
      <c r="F223" s="110"/>
      <c r="G223" s="110" t="str">
        <f t="shared" si="3"/>
        <v>2</v>
      </c>
      <c r="H223" s="110"/>
      <c r="I223" s="110">
        <v>141.22405699999999</v>
      </c>
      <c r="J223" s="110">
        <v>40.626725999999998</v>
      </c>
      <c r="K223" s="110"/>
      <c r="L223" s="110"/>
      <c r="M223" s="110"/>
      <c r="N223" s="110"/>
      <c r="O223" s="110"/>
      <c r="P223" s="109"/>
      <c r="Q223" s="109"/>
      <c r="R223" s="109"/>
      <c r="S223" s="110"/>
      <c r="T223" s="135"/>
    </row>
    <row r="224" spans="1:20" x14ac:dyDescent="0.2">
      <c r="A224" s="5">
        <v>223</v>
      </c>
      <c r="B224" s="110">
        <v>1202</v>
      </c>
      <c r="C224" s="110" t="s">
        <v>472</v>
      </c>
      <c r="D224" s="110" t="s">
        <v>473</v>
      </c>
      <c r="E224" s="110"/>
      <c r="F224" s="110"/>
      <c r="G224" s="110" t="str">
        <f t="shared" si="3"/>
        <v>2</v>
      </c>
      <c r="H224" s="110"/>
      <c r="I224" s="110">
        <v>141.21882099999999</v>
      </c>
      <c r="J224" s="110">
        <v>40.608105000000002</v>
      </c>
      <c r="K224" s="110"/>
      <c r="L224" s="110"/>
      <c r="M224" s="110"/>
      <c r="N224" s="110"/>
      <c r="O224" s="110"/>
      <c r="P224" s="109"/>
      <c r="Q224" s="109"/>
      <c r="R224" s="109"/>
      <c r="S224" s="110" t="s">
        <v>495</v>
      </c>
      <c r="T224" s="135"/>
    </row>
    <row r="225" spans="1:20" x14ac:dyDescent="0.2">
      <c r="A225" s="5">
        <v>224</v>
      </c>
      <c r="B225" s="113">
        <v>1192</v>
      </c>
      <c r="C225" s="113" t="s">
        <v>470</v>
      </c>
      <c r="D225" s="113" t="s">
        <v>471</v>
      </c>
      <c r="E225" s="110"/>
      <c r="F225" s="110"/>
      <c r="G225" s="110" t="str">
        <f t="shared" si="3"/>
        <v>2</v>
      </c>
      <c r="H225" s="110"/>
      <c r="I225" s="110">
        <v>141.21974399999999</v>
      </c>
      <c r="J225" s="110">
        <v>40.606924999999997</v>
      </c>
      <c r="K225" s="110"/>
      <c r="L225" s="110"/>
      <c r="M225" s="110"/>
      <c r="N225" s="110"/>
      <c r="O225" s="110"/>
      <c r="P225" s="109"/>
      <c r="Q225" s="109"/>
      <c r="R225" s="109"/>
      <c r="S225" s="110" t="s">
        <v>496</v>
      </c>
      <c r="T225" s="135"/>
    </row>
    <row r="226" spans="1:20" x14ac:dyDescent="0.2">
      <c r="A226" s="5">
        <v>225</v>
      </c>
      <c r="B226" s="110">
        <v>1182</v>
      </c>
      <c r="C226" s="110" t="s">
        <v>468</v>
      </c>
      <c r="D226" s="110" t="s">
        <v>469</v>
      </c>
      <c r="E226" s="110"/>
      <c r="F226" s="110"/>
      <c r="G226" s="110" t="str">
        <f t="shared" si="3"/>
        <v>2</v>
      </c>
      <c r="H226" s="110"/>
      <c r="I226" s="110">
        <v>141.221777</v>
      </c>
      <c r="J226" s="110">
        <v>40.604266000000003</v>
      </c>
      <c r="K226" s="110"/>
      <c r="L226" s="110"/>
      <c r="M226" s="110"/>
      <c r="N226" s="110"/>
      <c r="O226" s="110"/>
      <c r="P226" s="109"/>
      <c r="Q226" s="109"/>
      <c r="R226" s="109"/>
      <c r="S226" s="110" t="s">
        <v>497</v>
      </c>
      <c r="T226" s="135"/>
    </row>
    <row r="227" spans="1:20" x14ac:dyDescent="0.2">
      <c r="A227" s="5">
        <v>226</v>
      </c>
      <c r="B227" s="110">
        <v>1301</v>
      </c>
      <c r="C227" s="110" t="s">
        <v>498</v>
      </c>
      <c r="D227" s="110" t="s">
        <v>419</v>
      </c>
      <c r="E227" s="110"/>
      <c r="F227" s="110"/>
      <c r="G227" s="110" t="str">
        <f t="shared" si="3"/>
        <v>1</v>
      </c>
      <c r="H227" s="110"/>
      <c r="I227" s="110">
        <v>141.266345</v>
      </c>
      <c r="J227" s="110">
        <v>40.639443999999997</v>
      </c>
      <c r="K227" s="110"/>
      <c r="L227" s="110"/>
      <c r="M227" s="110"/>
      <c r="N227" s="110"/>
      <c r="O227" s="110"/>
      <c r="P227" s="109"/>
      <c r="Q227" s="109"/>
      <c r="R227" s="109"/>
      <c r="S227" s="110"/>
      <c r="T227" s="135"/>
    </row>
    <row r="228" spans="1:20" x14ac:dyDescent="0.2">
      <c r="A228" s="5">
        <v>227</v>
      </c>
      <c r="B228" s="110">
        <v>1311</v>
      </c>
      <c r="C228" s="192" t="s">
        <v>499</v>
      </c>
      <c r="D228" s="192" t="s">
        <v>500</v>
      </c>
      <c r="E228" s="110"/>
      <c r="F228" s="110"/>
      <c r="G228" s="110" t="str">
        <f t="shared" si="3"/>
        <v>1</v>
      </c>
      <c r="H228" s="110"/>
      <c r="I228" s="110">
        <v>141.39789099999999</v>
      </c>
      <c r="J228" s="110">
        <v>40.691273000000002</v>
      </c>
      <c r="K228" s="110"/>
      <c r="L228" s="110"/>
      <c r="M228" s="110"/>
      <c r="N228" s="110"/>
      <c r="O228" s="110"/>
      <c r="P228" s="109"/>
      <c r="Q228" s="109"/>
      <c r="R228" s="109"/>
      <c r="S228" s="110"/>
      <c r="T228" s="135"/>
    </row>
    <row r="229" spans="1:20" x14ac:dyDescent="0.2">
      <c r="A229" s="5">
        <v>228</v>
      </c>
      <c r="B229" s="110">
        <v>1321</v>
      </c>
      <c r="C229" s="110" t="s">
        <v>501</v>
      </c>
      <c r="D229" s="110" t="s">
        <v>502</v>
      </c>
      <c r="E229" s="110"/>
      <c r="F229" s="110"/>
      <c r="G229" s="110" t="str">
        <f t="shared" si="3"/>
        <v>1</v>
      </c>
      <c r="H229" s="110"/>
      <c r="I229" s="110">
        <v>141.39440099999999</v>
      </c>
      <c r="J229" s="110">
        <v>40.691668999999997</v>
      </c>
      <c r="K229" s="110"/>
      <c r="L229" s="110"/>
      <c r="M229" s="110"/>
      <c r="N229" s="110"/>
      <c r="O229" s="110"/>
      <c r="P229" s="109"/>
      <c r="Q229" s="109"/>
      <c r="R229" s="109"/>
      <c r="S229" s="110"/>
      <c r="T229" s="135"/>
    </row>
    <row r="230" spans="1:20" x14ac:dyDescent="0.2">
      <c r="A230" s="5">
        <v>229</v>
      </c>
      <c r="B230" s="110">
        <v>1331</v>
      </c>
      <c r="C230" s="110" t="s">
        <v>503</v>
      </c>
      <c r="D230" s="110" t="s">
        <v>504</v>
      </c>
      <c r="E230" s="110"/>
      <c r="F230" s="110"/>
      <c r="G230" s="110" t="str">
        <f t="shared" si="3"/>
        <v>1</v>
      </c>
      <c r="H230" s="110"/>
      <c r="I230" s="110">
        <v>141.388452</v>
      </c>
      <c r="J230" s="110">
        <v>40.692013000000003</v>
      </c>
      <c r="K230" s="110"/>
      <c r="L230" s="110"/>
      <c r="M230" s="110"/>
      <c r="N230" s="110"/>
      <c r="O230" s="110"/>
      <c r="P230" s="109"/>
      <c r="Q230" s="109"/>
      <c r="R230" s="109"/>
      <c r="S230" s="110"/>
      <c r="T230" s="135"/>
    </row>
    <row r="231" spans="1:20" x14ac:dyDescent="0.2">
      <c r="A231" s="5">
        <v>230</v>
      </c>
      <c r="B231" s="110">
        <v>1341</v>
      </c>
      <c r="C231" s="110" t="s">
        <v>505</v>
      </c>
      <c r="D231" s="110" t="s">
        <v>506</v>
      </c>
      <c r="E231" s="110"/>
      <c r="F231" s="110"/>
      <c r="G231" s="110" t="str">
        <f t="shared" si="3"/>
        <v>1</v>
      </c>
      <c r="H231" s="110"/>
      <c r="I231" s="110">
        <v>141.383014</v>
      </c>
      <c r="J231" s="110">
        <v>40.691336999999997</v>
      </c>
      <c r="K231" s="110"/>
      <c r="L231" s="110"/>
      <c r="M231" s="110"/>
      <c r="N231" s="110"/>
      <c r="O231" s="110"/>
      <c r="P231" s="109"/>
      <c r="Q231" s="109"/>
      <c r="R231" s="109"/>
      <c r="S231" s="110"/>
      <c r="T231" s="135"/>
    </row>
    <row r="232" spans="1:20" x14ac:dyDescent="0.2">
      <c r="A232" s="5">
        <v>231</v>
      </c>
      <c r="B232" s="110">
        <v>1351</v>
      </c>
      <c r="C232" s="110" t="s">
        <v>507</v>
      </c>
      <c r="D232" s="192" t="s">
        <v>508</v>
      </c>
      <c r="E232" s="110"/>
      <c r="F232" s="110"/>
      <c r="G232" s="110" t="str">
        <f t="shared" si="3"/>
        <v>1</v>
      </c>
      <c r="H232" s="110"/>
      <c r="I232" s="110">
        <v>141.377962</v>
      </c>
      <c r="J232" s="110">
        <v>40.690272</v>
      </c>
      <c r="K232" s="110"/>
      <c r="L232" s="110"/>
      <c r="M232" s="110"/>
      <c r="N232" s="110"/>
      <c r="O232" s="110"/>
      <c r="P232" s="109"/>
      <c r="Q232" s="109"/>
      <c r="R232" s="109"/>
      <c r="S232" s="110"/>
      <c r="T232" s="135"/>
    </row>
    <row r="233" spans="1:20" x14ac:dyDescent="0.2">
      <c r="A233" s="5">
        <v>232</v>
      </c>
      <c r="B233" s="110">
        <v>1361</v>
      </c>
      <c r="C233" s="110" t="s">
        <v>509</v>
      </c>
      <c r="D233" s="110" t="s">
        <v>510</v>
      </c>
      <c r="E233" s="110"/>
      <c r="F233" s="110"/>
      <c r="G233" s="110" t="str">
        <f t="shared" si="3"/>
        <v>1</v>
      </c>
      <c r="H233" s="110"/>
      <c r="I233" s="110">
        <v>141.37326300000001</v>
      </c>
      <c r="J233" s="110">
        <v>40.688892000000003</v>
      </c>
      <c r="K233" s="110"/>
      <c r="L233" s="110"/>
      <c r="M233" s="110"/>
      <c r="N233" s="110"/>
      <c r="O233" s="110"/>
      <c r="P233" s="109"/>
      <c r="Q233" s="109"/>
      <c r="R233" s="109"/>
      <c r="S233" s="110"/>
      <c r="T233" s="135"/>
    </row>
    <row r="234" spans="1:20" x14ac:dyDescent="0.2">
      <c r="A234" s="5">
        <v>233</v>
      </c>
      <c r="B234" s="110">
        <v>1371</v>
      </c>
      <c r="C234" s="110" t="s">
        <v>511</v>
      </c>
      <c r="D234" s="110" t="s">
        <v>512</v>
      </c>
      <c r="E234" s="110"/>
      <c r="F234" s="110"/>
      <c r="G234" s="110" t="str">
        <f t="shared" si="3"/>
        <v>1</v>
      </c>
      <c r="H234" s="110"/>
      <c r="I234" s="110">
        <v>141.37084999999999</v>
      </c>
      <c r="J234" s="110">
        <v>40.685389999999998</v>
      </c>
      <c r="K234" s="110"/>
      <c r="L234" s="110"/>
      <c r="M234" s="110"/>
      <c r="N234" s="110"/>
      <c r="O234" s="110"/>
      <c r="P234" s="109"/>
      <c r="Q234" s="109"/>
      <c r="R234" s="109"/>
      <c r="S234" s="110"/>
      <c r="T234" s="135"/>
    </row>
    <row r="235" spans="1:20" x14ac:dyDescent="0.2">
      <c r="A235" s="5">
        <v>234</v>
      </c>
      <c r="B235" s="110">
        <v>1381</v>
      </c>
      <c r="C235" s="110" t="s">
        <v>513</v>
      </c>
      <c r="D235" s="110" t="s">
        <v>514</v>
      </c>
      <c r="E235" s="110"/>
      <c r="F235" s="110"/>
      <c r="G235" s="110" t="str">
        <f t="shared" si="3"/>
        <v>1</v>
      </c>
      <c r="H235" s="110"/>
      <c r="I235" s="110">
        <v>141.06380200000001</v>
      </c>
      <c r="J235" s="110">
        <v>40.876109999999997</v>
      </c>
      <c r="K235" s="110"/>
      <c r="L235" s="110"/>
      <c r="M235" s="110"/>
      <c r="N235" s="110"/>
      <c r="O235" s="110"/>
      <c r="P235" s="109"/>
      <c r="Q235" s="109"/>
      <c r="R235" s="109"/>
      <c r="S235" s="110" t="s">
        <v>515</v>
      </c>
      <c r="T235" s="135"/>
    </row>
    <row r="236" spans="1:20" x14ac:dyDescent="0.2">
      <c r="A236" s="5">
        <v>235</v>
      </c>
      <c r="B236" s="110">
        <v>1391</v>
      </c>
      <c r="C236" s="110" t="s">
        <v>516</v>
      </c>
      <c r="D236" s="110" t="s">
        <v>517</v>
      </c>
      <c r="E236" s="110"/>
      <c r="F236" s="110"/>
      <c r="G236" s="110" t="str">
        <f t="shared" si="3"/>
        <v>1</v>
      </c>
      <c r="H236" s="110"/>
      <c r="I236" s="110">
        <v>141.070527</v>
      </c>
      <c r="J236" s="110">
        <v>40.875807999999999</v>
      </c>
      <c r="K236" s="110"/>
      <c r="L236" s="110"/>
      <c r="M236" s="110"/>
      <c r="N236" s="110"/>
      <c r="O236" s="110"/>
      <c r="P236" s="109"/>
      <c r="Q236" s="109"/>
      <c r="R236" s="109"/>
      <c r="S236" s="110" t="s">
        <v>518</v>
      </c>
      <c r="T236" s="135"/>
    </row>
    <row r="237" spans="1:20" x14ac:dyDescent="0.2">
      <c r="A237" s="5">
        <v>236</v>
      </c>
      <c r="B237" s="110">
        <v>1401</v>
      </c>
      <c r="C237" s="110" t="s">
        <v>519</v>
      </c>
      <c r="D237" s="110" t="s">
        <v>520</v>
      </c>
      <c r="E237" s="110"/>
      <c r="F237" s="110"/>
      <c r="G237" s="110" t="str">
        <f t="shared" si="3"/>
        <v>1</v>
      </c>
      <c r="H237" s="110"/>
      <c r="I237" s="110">
        <v>141.08801700000001</v>
      </c>
      <c r="J237" s="110">
        <v>40.877124000000002</v>
      </c>
      <c r="K237" s="110"/>
      <c r="L237" s="110"/>
      <c r="M237" s="110"/>
      <c r="N237" s="110"/>
      <c r="O237" s="110"/>
      <c r="P237" s="109"/>
      <c r="Q237" s="109"/>
      <c r="R237" s="109"/>
      <c r="S237" s="110" t="s">
        <v>521</v>
      </c>
      <c r="T237" s="135"/>
    </row>
    <row r="238" spans="1:20" x14ac:dyDescent="0.2">
      <c r="A238" s="5">
        <v>237</v>
      </c>
      <c r="B238" s="110">
        <v>1411</v>
      </c>
      <c r="C238" s="110" t="s">
        <v>522</v>
      </c>
      <c r="D238" s="110" t="s">
        <v>523</v>
      </c>
      <c r="E238" s="110"/>
      <c r="F238" s="110"/>
      <c r="G238" s="110" t="str">
        <f t="shared" si="3"/>
        <v>1</v>
      </c>
      <c r="H238" s="110"/>
      <c r="I238" s="110">
        <v>141.09029799999999</v>
      </c>
      <c r="J238" s="110">
        <v>40.879085000000003</v>
      </c>
      <c r="K238" s="110"/>
      <c r="L238" s="110"/>
      <c r="M238" s="110"/>
      <c r="N238" s="110"/>
      <c r="O238" s="110"/>
      <c r="P238" s="109"/>
      <c r="Q238" s="109"/>
      <c r="R238" s="109"/>
      <c r="S238" s="110" t="s">
        <v>524</v>
      </c>
      <c r="T238" s="135"/>
    </row>
    <row r="239" spans="1:20" x14ac:dyDescent="0.2">
      <c r="A239" s="5">
        <v>238</v>
      </c>
      <c r="B239" s="110">
        <v>1421</v>
      </c>
      <c r="C239" s="110" t="s">
        <v>525</v>
      </c>
      <c r="D239" s="110" t="s">
        <v>526</v>
      </c>
      <c r="E239" s="110"/>
      <c r="F239" s="110"/>
      <c r="G239" s="110" t="str">
        <f t="shared" si="3"/>
        <v>1</v>
      </c>
      <c r="H239" s="110"/>
      <c r="I239" s="110">
        <v>141.09011000000001</v>
      </c>
      <c r="J239" s="110">
        <v>40.879902999999999</v>
      </c>
      <c r="K239" s="110"/>
      <c r="L239" s="110"/>
      <c r="M239" s="110"/>
      <c r="N239" s="110"/>
      <c r="O239" s="110"/>
      <c r="P239" s="109"/>
      <c r="Q239" s="109"/>
      <c r="R239" s="109"/>
      <c r="S239" s="110" t="s">
        <v>527</v>
      </c>
      <c r="T239" s="135"/>
    </row>
    <row r="240" spans="1:20" x14ac:dyDescent="0.2">
      <c r="A240" s="5">
        <v>239</v>
      </c>
      <c r="B240" s="110">
        <v>1431</v>
      </c>
      <c r="C240" s="110" t="s">
        <v>528</v>
      </c>
      <c r="D240" s="110" t="s">
        <v>529</v>
      </c>
      <c r="E240" s="110"/>
      <c r="F240" s="110"/>
      <c r="G240" s="110" t="str">
        <f t="shared" si="3"/>
        <v>1</v>
      </c>
      <c r="H240" s="110"/>
      <c r="I240" s="110">
        <v>141.09238099999999</v>
      </c>
      <c r="J240" s="110">
        <v>40.878703000000002</v>
      </c>
      <c r="K240" s="110"/>
      <c r="L240" s="110"/>
      <c r="M240" s="110"/>
      <c r="N240" s="110"/>
      <c r="O240" s="110"/>
      <c r="P240" s="109"/>
      <c r="Q240" s="109"/>
      <c r="R240" s="109"/>
      <c r="S240" s="110" t="s">
        <v>530</v>
      </c>
      <c r="T240" s="135"/>
    </row>
    <row r="241" spans="1:20" x14ac:dyDescent="0.2">
      <c r="A241" s="5">
        <v>240</v>
      </c>
      <c r="B241" s="110">
        <v>1441</v>
      </c>
      <c r="C241" s="110" t="s">
        <v>531</v>
      </c>
      <c r="D241" s="110" t="s">
        <v>532</v>
      </c>
      <c r="E241" s="110"/>
      <c r="F241" s="110"/>
      <c r="G241" s="110" t="str">
        <f t="shared" si="3"/>
        <v>1</v>
      </c>
      <c r="H241" s="110"/>
      <c r="I241" s="110">
        <v>141.09680900000001</v>
      </c>
      <c r="J241" s="110">
        <v>40.875444000000002</v>
      </c>
      <c r="K241" s="110"/>
      <c r="L241" s="110"/>
      <c r="M241" s="110"/>
      <c r="N241" s="110"/>
      <c r="O241" s="110"/>
      <c r="P241" s="109"/>
      <c r="Q241" s="109"/>
      <c r="R241" s="109"/>
      <c r="S241" s="110" t="s">
        <v>533</v>
      </c>
      <c r="T241" s="135"/>
    </row>
    <row r="242" spans="1:20" x14ac:dyDescent="0.2">
      <c r="A242" s="5">
        <v>241</v>
      </c>
      <c r="B242" s="110">
        <v>1451</v>
      </c>
      <c r="C242" s="110" t="s">
        <v>534</v>
      </c>
      <c r="D242" s="110" t="s">
        <v>500</v>
      </c>
      <c r="E242" s="110"/>
      <c r="F242" s="110"/>
      <c r="G242" s="110" t="str">
        <f t="shared" si="3"/>
        <v>1</v>
      </c>
      <c r="H242" s="110"/>
      <c r="I242" s="110">
        <v>141.09856099999999</v>
      </c>
      <c r="J242" s="110">
        <v>40.873990999999997</v>
      </c>
      <c r="K242" s="110"/>
      <c r="L242" s="110"/>
      <c r="M242" s="110"/>
      <c r="N242" s="110"/>
      <c r="O242" s="110"/>
      <c r="P242" s="109"/>
      <c r="Q242" s="109"/>
      <c r="R242" s="109"/>
      <c r="S242" s="110" t="s">
        <v>535</v>
      </c>
      <c r="T242" s="135"/>
    </row>
    <row r="243" spans="1:20" x14ac:dyDescent="0.2">
      <c r="A243" s="5">
        <v>242</v>
      </c>
      <c r="B243" s="110">
        <v>1461</v>
      </c>
      <c r="C243" s="110" t="s">
        <v>536</v>
      </c>
      <c r="D243" s="110" t="s">
        <v>537</v>
      </c>
      <c r="E243" s="110"/>
      <c r="F243" s="110"/>
      <c r="G243" s="110" t="str">
        <f t="shared" si="3"/>
        <v>1</v>
      </c>
      <c r="H243" s="110"/>
      <c r="I243" s="110">
        <v>141.10263900000001</v>
      </c>
      <c r="J243" s="110">
        <v>40.872366</v>
      </c>
      <c r="K243" s="110"/>
      <c r="L243" s="110"/>
      <c r="M243" s="110"/>
      <c r="N243" s="110"/>
      <c r="O243" s="110"/>
      <c r="P243" s="109"/>
      <c r="Q243" s="109"/>
      <c r="R243" s="109"/>
      <c r="S243" s="110" t="s">
        <v>538</v>
      </c>
      <c r="T243" s="135"/>
    </row>
    <row r="244" spans="1:20" x14ac:dyDescent="0.2">
      <c r="A244" s="5">
        <v>243</v>
      </c>
      <c r="B244" s="110">
        <v>1471</v>
      </c>
      <c r="C244" s="110" t="s">
        <v>539</v>
      </c>
      <c r="D244" s="110" t="s">
        <v>540</v>
      </c>
      <c r="E244" s="110"/>
      <c r="F244" s="110"/>
      <c r="G244" s="110" t="str">
        <f t="shared" si="3"/>
        <v>1</v>
      </c>
      <c r="H244" s="110"/>
      <c r="I244" s="110">
        <v>141.108959</v>
      </c>
      <c r="J244" s="110">
        <v>40.871285999999998</v>
      </c>
      <c r="K244" s="110"/>
      <c r="L244" s="110"/>
      <c r="M244" s="110"/>
      <c r="N244" s="110"/>
      <c r="O244" s="110"/>
      <c r="P244" s="109"/>
      <c r="Q244" s="109"/>
      <c r="R244" s="109"/>
      <c r="S244" s="110" t="s">
        <v>541</v>
      </c>
      <c r="T244" s="135"/>
    </row>
    <row r="245" spans="1:20" x14ac:dyDescent="0.2">
      <c r="A245" s="5">
        <v>244</v>
      </c>
      <c r="B245" s="110">
        <v>1481</v>
      </c>
      <c r="C245" s="110" t="s">
        <v>542</v>
      </c>
      <c r="D245" s="110" t="s">
        <v>543</v>
      </c>
      <c r="E245" s="110"/>
      <c r="F245" s="110"/>
      <c r="G245" s="110" t="str">
        <f t="shared" si="3"/>
        <v>1</v>
      </c>
      <c r="H245" s="110"/>
      <c r="I245" s="110">
        <v>141.11150599999999</v>
      </c>
      <c r="J245" s="110">
        <v>40.870337999999997</v>
      </c>
      <c r="K245" s="110"/>
      <c r="L245" s="110"/>
      <c r="M245" s="110"/>
      <c r="N245" s="110"/>
      <c r="O245" s="110"/>
      <c r="P245" s="109"/>
      <c r="Q245" s="109"/>
      <c r="R245" s="109"/>
      <c r="S245" s="110" t="s">
        <v>544</v>
      </c>
      <c r="T245" s="135"/>
    </row>
    <row r="246" spans="1:20" x14ac:dyDescent="0.2">
      <c r="A246" s="5">
        <v>245</v>
      </c>
      <c r="B246" s="110">
        <v>1491</v>
      </c>
      <c r="C246" s="110" t="s">
        <v>545</v>
      </c>
      <c r="D246" s="110" t="s">
        <v>546</v>
      </c>
      <c r="E246" s="110"/>
      <c r="F246" s="110"/>
      <c r="G246" s="110" t="str">
        <f t="shared" si="3"/>
        <v>1</v>
      </c>
      <c r="H246" s="110"/>
      <c r="I246" s="110">
        <v>141.11485999999999</v>
      </c>
      <c r="J246" s="110">
        <v>40.869425</v>
      </c>
      <c r="K246" s="110"/>
      <c r="L246" s="110"/>
      <c r="M246" s="110"/>
      <c r="N246" s="110"/>
      <c r="O246" s="110"/>
      <c r="P246" s="109"/>
      <c r="Q246" s="109"/>
      <c r="R246" s="109"/>
      <c r="S246" s="110" t="s">
        <v>547</v>
      </c>
      <c r="T246" s="135"/>
    </row>
    <row r="247" spans="1:20" x14ac:dyDescent="0.2">
      <c r="A247" s="5">
        <v>246</v>
      </c>
      <c r="B247" s="110">
        <v>1501</v>
      </c>
      <c r="C247" s="110" t="s">
        <v>548</v>
      </c>
      <c r="D247" s="110" t="s">
        <v>549</v>
      </c>
      <c r="E247" s="110"/>
      <c r="F247" s="110"/>
      <c r="G247" s="110" t="str">
        <f t="shared" si="3"/>
        <v>1</v>
      </c>
      <c r="H247" s="110"/>
      <c r="I247" s="110">
        <v>141.12000699999999</v>
      </c>
      <c r="J247" s="110">
        <v>40.868727999999997</v>
      </c>
      <c r="K247" s="110"/>
      <c r="L247" s="110"/>
      <c r="M247" s="110"/>
      <c r="N247" s="110"/>
      <c r="O247" s="110"/>
      <c r="P247" s="109"/>
      <c r="Q247" s="109"/>
      <c r="R247" s="109"/>
      <c r="S247" s="110" t="s">
        <v>550</v>
      </c>
      <c r="T247" s="135"/>
    </row>
    <row r="248" spans="1:20" x14ac:dyDescent="0.2">
      <c r="A248" s="5">
        <v>247</v>
      </c>
      <c r="B248" s="110">
        <v>1511</v>
      </c>
      <c r="C248" s="110" t="s">
        <v>551</v>
      </c>
      <c r="D248" s="110" t="s">
        <v>552</v>
      </c>
      <c r="E248" s="110"/>
      <c r="F248" s="110"/>
      <c r="G248" s="110" t="str">
        <f t="shared" si="3"/>
        <v>1</v>
      </c>
      <c r="H248" s="110"/>
      <c r="I248" s="110">
        <v>141.12460899999999</v>
      </c>
      <c r="J248" s="110">
        <v>40.867246000000002</v>
      </c>
      <c r="K248" s="110"/>
      <c r="L248" s="110"/>
      <c r="M248" s="110"/>
      <c r="N248" s="110"/>
      <c r="O248" s="110"/>
      <c r="P248" s="109"/>
      <c r="Q248" s="109"/>
      <c r="R248" s="109"/>
      <c r="S248" s="110" t="s">
        <v>553</v>
      </c>
      <c r="T248" s="135"/>
    </row>
    <row r="249" spans="1:20" x14ac:dyDescent="0.2">
      <c r="A249" s="5">
        <v>248</v>
      </c>
      <c r="B249" s="110">
        <v>1521</v>
      </c>
      <c r="C249" s="110" t="s">
        <v>554</v>
      </c>
      <c r="D249" s="110" t="s">
        <v>555</v>
      </c>
      <c r="E249" s="110"/>
      <c r="F249" s="110"/>
      <c r="G249" s="110" t="str">
        <f t="shared" si="3"/>
        <v>1</v>
      </c>
      <c r="H249" s="110"/>
      <c r="I249" s="110">
        <v>141.12705</v>
      </c>
      <c r="J249" s="110">
        <v>40.866869999999999</v>
      </c>
      <c r="K249" s="110"/>
      <c r="L249" s="110"/>
      <c r="M249" s="110"/>
      <c r="N249" s="110"/>
      <c r="O249" s="110"/>
      <c r="P249" s="109"/>
      <c r="Q249" s="109"/>
      <c r="R249" s="109"/>
      <c r="S249" s="110" t="s">
        <v>556</v>
      </c>
      <c r="T249" s="135"/>
    </row>
    <row r="250" spans="1:20" x14ac:dyDescent="0.2">
      <c r="A250" s="5">
        <v>249</v>
      </c>
      <c r="B250" s="110">
        <v>1531</v>
      </c>
      <c r="C250" s="110" t="s">
        <v>557</v>
      </c>
      <c r="D250" s="110" t="s">
        <v>558</v>
      </c>
      <c r="E250" s="110"/>
      <c r="F250" s="110"/>
      <c r="G250" s="110" t="str">
        <f t="shared" si="3"/>
        <v>1</v>
      </c>
      <c r="H250" s="110"/>
      <c r="I250" s="110">
        <v>141.12777600000001</v>
      </c>
      <c r="J250" s="110">
        <v>40.865381999999997</v>
      </c>
      <c r="K250" s="110"/>
      <c r="L250" s="110"/>
      <c r="M250" s="110"/>
      <c r="N250" s="110"/>
      <c r="O250" s="110"/>
      <c r="P250" s="109"/>
      <c r="Q250" s="109"/>
      <c r="R250" s="109"/>
      <c r="S250" s="110" t="s">
        <v>559</v>
      </c>
      <c r="T250" s="135"/>
    </row>
    <row r="251" spans="1:20" x14ac:dyDescent="0.2">
      <c r="A251" s="5">
        <v>250</v>
      </c>
      <c r="B251" s="110">
        <v>1541</v>
      </c>
      <c r="C251" s="110" t="s">
        <v>560</v>
      </c>
      <c r="D251" s="110" t="s">
        <v>561</v>
      </c>
      <c r="E251" s="110"/>
      <c r="F251" s="110"/>
      <c r="G251" s="110" t="str">
        <f t="shared" si="3"/>
        <v>1</v>
      </c>
      <c r="H251" s="110"/>
      <c r="I251" s="110">
        <v>141.12657100000001</v>
      </c>
      <c r="J251" s="110">
        <v>40.860035000000003</v>
      </c>
      <c r="K251" s="110"/>
      <c r="L251" s="110"/>
      <c r="M251" s="110"/>
      <c r="N251" s="110"/>
      <c r="O251" s="110"/>
      <c r="P251" s="109"/>
      <c r="Q251" s="109"/>
      <c r="R251" s="109"/>
      <c r="S251" s="110" t="s">
        <v>562</v>
      </c>
      <c r="T251" s="135"/>
    </row>
    <row r="252" spans="1:20" x14ac:dyDescent="0.2">
      <c r="A252" s="5">
        <v>251</v>
      </c>
      <c r="B252" s="110">
        <v>1551</v>
      </c>
      <c r="C252" s="110" t="s">
        <v>563</v>
      </c>
      <c r="D252" s="110" t="s">
        <v>564</v>
      </c>
      <c r="E252" s="110"/>
      <c r="F252" s="110"/>
      <c r="G252" s="110" t="str">
        <f t="shared" si="3"/>
        <v>1</v>
      </c>
      <c r="H252" s="110"/>
      <c r="I252" s="110">
        <v>141.12580800000001</v>
      </c>
      <c r="J252" s="110">
        <v>40.856831</v>
      </c>
      <c r="K252" s="110"/>
      <c r="L252" s="110"/>
      <c r="M252" s="110"/>
      <c r="N252" s="110"/>
      <c r="O252" s="110"/>
      <c r="P252" s="109"/>
      <c r="Q252" s="109"/>
      <c r="R252" s="109"/>
      <c r="S252" s="110" t="s">
        <v>565</v>
      </c>
      <c r="T252" s="135"/>
    </row>
    <row r="253" spans="1:20" x14ac:dyDescent="0.2">
      <c r="A253" s="5">
        <v>252</v>
      </c>
      <c r="B253" s="110">
        <v>1561</v>
      </c>
      <c r="C253" s="110" t="s">
        <v>566</v>
      </c>
      <c r="D253" s="110" t="s">
        <v>567</v>
      </c>
      <c r="E253" s="110"/>
      <c r="F253" s="110"/>
      <c r="G253" s="110" t="str">
        <f t="shared" si="3"/>
        <v>1</v>
      </c>
      <c r="H253" s="110"/>
      <c r="I253" s="110">
        <v>141.11994799999999</v>
      </c>
      <c r="J253" s="110">
        <v>40.855662000000002</v>
      </c>
      <c r="K253" s="110"/>
      <c r="L253" s="110"/>
      <c r="M253" s="110"/>
      <c r="N253" s="110"/>
      <c r="O253" s="110"/>
      <c r="P253" s="109"/>
      <c r="Q253" s="109"/>
      <c r="R253" s="109"/>
      <c r="S253" s="110" t="s">
        <v>568</v>
      </c>
      <c r="T253" s="135"/>
    </row>
    <row r="254" spans="1:20" x14ac:dyDescent="0.2">
      <c r="A254" s="5">
        <v>253</v>
      </c>
      <c r="B254" s="110">
        <v>1571</v>
      </c>
      <c r="C254" s="110" t="s">
        <v>569</v>
      </c>
      <c r="D254" s="192" t="s">
        <v>570</v>
      </c>
      <c r="E254" s="110"/>
      <c r="F254" s="110"/>
      <c r="G254" s="110" t="str">
        <f t="shared" si="3"/>
        <v>1</v>
      </c>
      <c r="H254" s="110"/>
      <c r="I254" s="110">
        <v>141.12506500000001</v>
      </c>
      <c r="J254" s="110">
        <v>40.853782000000002</v>
      </c>
      <c r="K254" s="110"/>
      <c r="L254" s="110"/>
      <c r="M254" s="110"/>
      <c r="N254" s="110"/>
      <c r="O254" s="110"/>
      <c r="P254" s="109"/>
      <c r="Q254" s="109"/>
      <c r="R254" s="109"/>
      <c r="S254" s="110" t="s">
        <v>571</v>
      </c>
      <c r="T254" s="135"/>
    </row>
    <row r="255" spans="1:20" x14ac:dyDescent="0.2">
      <c r="A255" s="5">
        <v>254</v>
      </c>
      <c r="B255" s="110">
        <v>1581</v>
      </c>
      <c r="C255" s="110" t="s">
        <v>572</v>
      </c>
      <c r="D255" s="110" t="s">
        <v>573</v>
      </c>
      <c r="E255" s="110"/>
      <c r="F255" s="110"/>
      <c r="G255" s="110" t="str">
        <f t="shared" si="3"/>
        <v>1</v>
      </c>
      <c r="H255" s="110"/>
      <c r="I255" s="110">
        <v>141.125653</v>
      </c>
      <c r="J255" s="110">
        <v>40.848045999999997</v>
      </c>
      <c r="K255" s="110"/>
      <c r="L255" s="110"/>
      <c r="M255" s="110"/>
      <c r="N255" s="110"/>
      <c r="O255" s="110"/>
      <c r="P255" s="109"/>
      <c r="Q255" s="109"/>
      <c r="R255" s="109"/>
      <c r="S255" s="110" t="s">
        <v>574</v>
      </c>
      <c r="T255" s="135"/>
    </row>
    <row r="256" spans="1:20" x14ac:dyDescent="0.2">
      <c r="A256" s="5">
        <v>255</v>
      </c>
      <c r="B256" s="110">
        <v>1591</v>
      </c>
      <c r="C256" s="110" t="s">
        <v>575</v>
      </c>
      <c r="D256" s="110" t="s">
        <v>576</v>
      </c>
      <c r="E256" s="110"/>
      <c r="F256" s="110"/>
      <c r="G256" s="110" t="str">
        <f t="shared" si="3"/>
        <v>1</v>
      </c>
      <c r="H256" s="110"/>
      <c r="I256" s="110">
        <v>141.12729400000001</v>
      </c>
      <c r="J256" s="110">
        <v>40.839081</v>
      </c>
      <c r="K256" s="110"/>
      <c r="L256" s="110"/>
      <c r="M256" s="110"/>
      <c r="N256" s="110"/>
      <c r="O256" s="110"/>
      <c r="P256" s="109"/>
      <c r="Q256" s="109"/>
      <c r="R256" s="109"/>
      <c r="S256" s="110" t="s">
        <v>577</v>
      </c>
      <c r="T256" s="135"/>
    </row>
    <row r="257" spans="1:20" x14ac:dyDescent="0.2">
      <c r="A257" s="5">
        <v>256</v>
      </c>
      <c r="B257" s="110">
        <v>1601</v>
      </c>
      <c r="C257" s="110" t="s">
        <v>578</v>
      </c>
      <c r="D257" s="110" t="s">
        <v>579</v>
      </c>
      <c r="E257" s="110"/>
      <c r="F257" s="110"/>
      <c r="G257" s="110" t="str">
        <f t="shared" si="3"/>
        <v>1</v>
      </c>
      <c r="H257" s="110"/>
      <c r="I257" s="110">
        <v>141.12722400000001</v>
      </c>
      <c r="J257" s="110">
        <v>40.828854</v>
      </c>
      <c r="K257" s="110"/>
      <c r="L257" s="110"/>
      <c r="M257" s="110"/>
      <c r="N257" s="110"/>
      <c r="O257" s="110"/>
      <c r="P257" s="109"/>
      <c r="Q257" s="109"/>
      <c r="R257" s="109"/>
      <c r="S257" s="110" t="s">
        <v>580</v>
      </c>
      <c r="T257" s="135"/>
    </row>
    <row r="258" spans="1:20" x14ac:dyDescent="0.2">
      <c r="A258" s="5">
        <v>257</v>
      </c>
      <c r="B258" s="110">
        <v>1611</v>
      </c>
      <c r="C258" s="110" t="s">
        <v>581</v>
      </c>
      <c r="D258" s="110" t="s">
        <v>582</v>
      </c>
      <c r="E258" s="110"/>
      <c r="F258" s="110"/>
      <c r="G258" s="110" t="str">
        <f t="shared" si="3"/>
        <v>1</v>
      </c>
      <c r="H258" s="110"/>
      <c r="I258" s="110">
        <v>141.122207</v>
      </c>
      <c r="J258" s="110">
        <v>40.823464999999999</v>
      </c>
      <c r="K258" s="110"/>
      <c r="L258" s="110"/>
      <c r="M258" s="110"/>
      <c r="N258" s="110"/>
      <c r="O258" s="110"/>
      <c r="P258" s="109"/>
      <c r="Q258" s="109"/>
      <c r="R258" s="109"/>
      <c r="S258" s="110" t="s">
        <v>583</v>
      </c>
      <c r="T258" s="135"/>
    </row>
    <row r="259" spans="1:20" x14ac:dyDescent="0.2">
      <c r="A259" s="5">
        <v>258</v>
      </c>
      <c r="B259" s="110">
        <v>1621</v>
      </c>
      <c r="C259" s="110" t="s">
        <v>584</v>
      </c>
      <c r="D259" s="192" t="s">
        <v>585</v>
      </c>
      <c r="E259" s="110"/>
      <c r="F259" s="110"/>
      <c r="G259" s="110" t="str">
        <f t="shared" si="3"/>
        <v>1</v>
      </c>
      <c r="H259" s="110"/>
      <c r="I259" s="110">
        <v>141.130101</v>
      </c>
      <c r="J259" s="110">
        <v>40.809514</v>
      </c>
      <c r="K259" s="110"/>
      <c r="L259" s="110"/>
      <c r="M259" s="110"/>
      <c r="N259" s="110"/>
      <c r="O259" s="110"/>
      <c r="P259" s="109"/>
      <c r="Q259" s="109"/>
      <c r="R259" s="109"/>
      <c r="S259" s="110" t="s">
        <v>586</v>
      </c>
      <c r="T259" s="135"/>
    </row>
    <row r="260" spans="1:20" x14ac:dyDescent="0.2">
      <c r="A260" s="5">
        <v>259</v>
      </c>
      <c r="B260" s="110">
        <v>1631</v>
      </c>
      <c r="C260" s="110" t="s">
        <v>587</v>
      </c>
      <c r="D260" s="110" t="s">
        <v>588</v>
      </c>
      <c r="E260" s="110"/>
      <c r="F260" s="110"/>
      <c r="G260" s="110" t="str">
        <f t="shared" ref="G260:G323" si="4">RIGHT(B260,1)</f>
        <v>1</v>
      </c>
      <c r="H260" s="110"/>
      <c r="I260" s="110">
        <v>141.135412</v>
      </c>
      <c r="J260" s="110">
        <v>40.804940000000002</v>
      </c>
      <c r="K260" s="110"/>
      <c r="L260" s="110"/>
      <c r="M260" s="110"/>
      <c r="N260" s="110"/>
      <c r="O260" s="110"/>
      <c r="P260" s="109"/>
      <c r="Q260" s="109"/>
      <c r="R260" s="109"/>
      <c r="S260" s="110" t="s">
        <v>589</v>
      </c>
      <c r="T260" s="135"/>
    </row>
    <row r="261" spans="1:20" x14ac:dyDescent="0.2">
      <c r="A261" s="5">
        <v>260</v>
      </c>
      <c r="B261" s="110">
        <v>1641</v>
      </c>
      <c r="C261" s="110" t="s">
        <v>590</v>
      </c>
      <c r="D261" s="110" t="s">
        <v>591</v>
      </c>
      <c r="E261" s="110"/>
      <c r="F261" s="110"/>
      <c r="G261" s="110" t="str">
        <f t="shared" si="4"/>
        <v>1</v>
      </c>
      <c r="H261" s="110"/>
      <c r="I261" s="110">
        <v>141.147662</v>
      </c>
      <c r="J261" s="110">
        <v>40.798796000000003</v>
      </c>
      <c r="K261" s="110"/>
      <c r="L261" s="110"/>
      <c r="M261" s="110"/>
      <c r="N261" s="110"/>
      <c r="O261" s="110"/>
      <c r="P261" s="109"/>
      <c r="Q261" s="109"/>
      <c r="R261" s="109"/>
      <c r="S261" s="110" t="s">
        <v>592</v>
      </c>
      <c r="T261" s="135"/>
    </row>
    <row r="262" spans="1:20" x14ac:dyDescent="0.2">
      <c r="A262" s="5">
        <v>261</v>
      </c>
      <c r="B262" s="110">
        <v>1651</v>
      </c>
      <c r="C262" s="110" t="s">
        <v>593</v>
      </c>
      <c r="D262" s="192" t="s">
        <v>594</v>
      </c>
      <c r="E262" s="110"/>
      <c r="F262" s="110"/>
      <c r="G262" s="110" t="str">
        <f t="shared" si="4"/>
        <v>1</v>
      </c>
      <c r="H262" s="110"/>
      <c r="I262" s="110">
        <v>141.147806</v>
      </c>
      <c r="J262" s="110">
        <v>40.791567999999998</v>
      </c>
      <c r="K262" s="110"/>
      <c r="L262" s="110"/>
      <c r="M262" s="110"/>
      <c r="N262" s="110"/>
      <c r="O262" s="110"/>
      <c r="P262" s="109"/>
      <c r="Q262" s="109"/>
      <c r="R262" s="109"/>
      <c r="S262" s="110" t="s">
        <v>595</v>
      </c>
      <c r="T262" s="135"/>
    </row>
    <row r="263" spans="1:20" x14ac:dyDescent="0.2">
      <c r="A263" s="5">
        <v>262</v>
      </c>
      <c r="B263" s="110">
        <v>1661</v>
      </c>
      <c r="C263" s="110" t="s">
        <v>596</v>
      </c>
      <c r="D263" s="110" t="s">
        <v>597</v>
      </c>
      <c r="E263" s="110"/>
      <c r="F263" s="110"/>
      <c r="G263" s="110" t="str">
        <f t="shared" si="4"/>
        <v>1</v>
      </c>
      <c r="H263" s="110"/>
      <c r="I263" s="110">
        <v>141.14542399999999</v>
      </c>
      <c r="J263" s="110">
        <v>40.775782999999997</v>
      </c>
      <c r="K263" s="110"/>
      <c r="L263" s="110"/>
      <c r="M263" s="110"/>
      <c r="N263" s="110"/>
      <c r="O263" s="110"/>
      <c r="P263" s="109"/>
      <c r="Q263" s="109"/>
      <c r="R263" s="109"/>
      <c r="S263" s="110" t="s">
        <v>598</v>
      </c>
      <c r="T263" s="135"/>
    </row>
    <row r="264" spans="1:20" x14ac:dyDescent="0.2">
      <c r="A264" s="5">
        <v>263</v>
      </c>
      <c r="B264" s="110">
        <v>1671</v>
      </c>
      <c r="C264" s="110" t="s">
        <v>599</v>
      </c>
      <c r="D264" s="110" t="s">
        <v>600</v>
      </c>
      <c r="E264" s="110"/>
      <c r="F264" s="110"/>
      <c r="G264" s="110" t="str">
        <f t="shared" si="4"/>
        <v>1</v>
      </c>
      <c r="H264" s="110"/>
      <c r="I264" s="110">
        <v>141.14396199999999</v>
      </c>
      <c r="J264" s="110">
        <v>40.769193000000001</v>
      </c>
      <c r="K264" s="110"/>
      <c r="L264" s="110"/>
      <c r="M264" s="110"/>
      <c r="N264" s="110"/>
      <c r="O264" s="110"/>
      <c r="P264" s="109"/>
      <c r="Q264" s="109"/>
      <c r="R264" s="109"/>
      <c r="S264" s="110" t="s">
        <v>601</v>
      </c>
      <c r="T264" s="135"/>
    </row>
    <row r="265" spans="1:20" x14ac:dyDescent="0.2">
      <c r="A265" s="5">
        <v>264</v>
      </c>
      <c r="B265" s="110">
        <v>1681</v>
      </c>
      <c r="C265" s="110" t="s">
        <v>602</v>
      </c>
      <c r="D265" s="110" t="s">
        <v>603</v>
      </c>
      <c r="E265" s="110"/>
      <c r="F265" s="110"/>
      <c r="G265" s="110" t="str">
        <f t="shared" si="4"/>
        <v>1</v>
      </c>
      <c r="H265" s="110"/>
      <c r="I265" s="110">
        <v>141.14538200000001</v>
      </c>
      <c r="J265" s="110">
        <v>40.763221999999999</v>
      </c>
      <c r="K265" s="110"/>
      <c r="L265" s="110"/>
      <c r="M265" s="110"/>
      <c r="N265" s="110"/>
      <c r="O265" s="110"/>
      <c r="P265" s="109"/>
      <c r="Q265" s="109"/>
      <c r="R265" s="109"/>
      <c r="S265" s="110" t="s">
        <v>604</v>
      </c>
      <c r="T265" s="135"/>
    </row>
    <row r="266" spans="1:20" x14ac:dyDescent="0.2">
      <c r="A266" s="5">
        <v>265</v>
      </c>
      <c r="B266" s="110">
        <v>1691</v>
      </c>
      <c r="C266" s="110" t="s">
        <v>605</v>
      </c>
      <c r="D266" s="110" t="s">
        <v>606</v>
      </c>
      <c r="E266" s="110"/>
      <c r="F266" s="110"/>
      <c r="G266" s="110" t="str">
        <f t="shared" si="4"/>
        <v>1</v>
      </c>
      <c r="H266" s="110"/>
      <c r="I266" s="110">
        <v>141.14980499999999</v>
      </c>
      <c r="J266" s="110">
        <v>40.755678000000003</v>
      </c>
      <c r="K266" s="110"/>
      <c r="L266" s="110"/>
      <c r="M266" s="110"/>
      <c r="N266" s="110"/>
      <c r="O266" s="110"/>
      <c r="P266" s="109"/>
      <c r="Q266" s="109"/>
      <c r="R266" s="109"/>
      <c r="S266" s="110" t="s">
        <v>607</v>
      </c>
      <c r="T266" s="135"/>
    </row>
    <row r="267" spans="1:20" x14ac:dyDescent="0.2">
      <c r="A267" s="5">
        <v>266</v>
      </c>
      <c r="B267" s="110">
        <v>1701</v>
      </c>
      <c r="C267" s="110" t="s">
        <v>608</v>
      </c>
      <c r="D267" s="110" t="s">
        <v>609</v>
      </c>
      <c r="E267" s="110"/>
      <c r="F267" s="110"/>
      <c r="G267" s="110" t="str">
        <f t="shared" si="4"/>
        <v>1</v>
      </c>
      <c r="H267" s="110"/>
      <c r="I267" s="110">
        <v>141.15214499999999</v>
      </c>
      <c r="J267" s="110">
        <v>40.751005999999997</v>
      </c>
      <c r="K267" s="110"/>
      <c r="L267" s="110"/>
      <c r="M267" s="110"/>
      <c r="N267" s="110"/>
      <c r="O267" s="110"/>
      <c r="P267" s="109"/>
      <c r="Q267" s="109"/>
      <c r="R267" s="109"/>
      <c r="S267" s="110" t="s">
        <v>610</v>
      </c>
      <c r="T267" s="135"/>
    </row>
    <row r="268" spans="1:20" x14ac:dyDescent="0.2">
      <c r="A268" s="5">
        <v>267</v>
      </c>
      <c r="B268" s="110">
        <v>1711</v>
      </c>
      <c r="C268" s="110" t="s">
        <v>611</v>
      </c>
      <c r="D268" s="110" t="s">
        <v>612</v>
      </c>
      <c r="E268" s="110"/>
      <c r="F268" s="110"/>
      <c r="G268" s="110" t="str">
        <f t="shared" si="4"/>
        <v>1</v>
      </c>
      <c r="H268" s="110"/>
      <c r="I268" s="110">
        <v>141.154922</v>
      </c>
      <c r="J268" s="110">
        <v>40.745967</v>
      </c>
      <c r="K268" s="110"/>
      <c r="L268" s="110"/>
      <c r="M268" s="110"/>
      <c r="N268" s="110"/>
      <c r="O268" s="110"/>
      <c r="P268" s="109"/>
      <c r="Q268" s="109"/>
      <c r="R268" s="109"/>
      <c r="S268" s="110" t="s">
        <v>613</v>
      </c>
      <c r="T268" s="135"/>
    </row>
    <row r="269" spans="1:20" x14ac:dyDescent="0.2">
      <c r="A269" s="5">
        <v>268</v>
      </c>
      <c r="B269" s="110">
        <v>1721</v>
      </c>
      <c r="C269" s="110" t="s">
        <v>614</v>
      </c>
      <c r="D269" s="110" t="s">
        <v>615</v>
      </c>
      <c r="E269" s="110"/>
      <c r="F269" s="110"/>
      <c r="G269" s="110" t="str">
        <f t="shared" si="4"/>
        <v>1</v>
      </c>
      <c r="H269" s="110"/>
      <c r="I269" s="110">
        <v>141.15808799999999</v>
      </c>
      <c r="J269" s="110">
        <v>40.740338000000001</v>
      </c>
      <c r="K269" s="110"/>
      <c r="L269" s="110"/>
      <c r="M269" s="110"/>
      <c r="N269" s="110"/>
      <c r="O269" s="110"/>
      <c r="P269" s="109"/>
      <c r="Q269" s="109"/>
      <c r="R269" s="109"/>
      <c r="S269" s="110" t="s">
        <v>616</v>
      </c>
      <c r="T269" s="135"/>
    </row>
    <row r="270" spans="1:20" x14ac:dyDescent="0.2">
      <c r="A270" s="5">
        <v>269</v>
      </c>
      <c r="B270" s="110">
        <v>1731</v>
      </c>
      <c r="C270" s="110" t="s">
        <v>617</v>
      </c>
      <c r="D270" s="110" t="s">
        <v>618</v>
      </c>
      <c r="E270" s="110"/>
      <c r="F270" s="110"/>
      <c r="G270" s="110" t="str">
        <f t="shared" si="4"/>
        <v>1</v>
      </c>
      <c r="H270" s="110"/>
      <c r="I270" s="110">
        <v>141.162643</v>
      </c>
      <c r="J270" s="110">
        <v>40.735219999999998</v>
      </c>
      <c r="K270" s="110"/>
      <c r="L270" s="110"/>
      <c r="M270" s="110"/>
      <c r="N270" s="110"/>
      <c r="O270" s="110"/>
      <c r="P270" s="109"/>
      <c r="Q270" s="109"/>
      <c r="R270" s="109"/>
      <c r="S270" s="110" t="s">
        <v>619</v>
      </c>
      <c r="T270" s="135"/>
    </row>
    <row r="271" spans="1:20" x14ac:dyDescent="0.2">
      <c r="A271" s="5">
        <v>270</v>
      </c>
      <c r="B271" s="110">
        <v>1741</v>
      </c>
      <c r="C271" s="110" t="s">
        <v>620</v>
      </c>
      <c r="D271" s="110" t="s">
        <v>621</v>
      </c>
      <c r="E271" s="110"/>
      <c r="F271" s="110"/>
      <c r="G271" s="110" t="str">
        <f t="shared" si="4"/>
        <v>1</v>
      </c>
      <c r="H271" s="110"/>
      <c r="I271" s="110">
        <v>141.15879810000001</v>
      </c>
      <c r="J271" s="110">
        <v>40.721546799999999</v>
      </c>
      <c r="K271" s="110"/>
      <c r="L271" s="110"/>
      <c r="M271" s="110"/>
      <c r="N271" s="110"/>
      <c r="O271" s="110"/>
      <c r="P271" s="109"/>
      <c r="Q271" s="109"/>
      <c r="R271" s="109"/>
      <c r="S271" s="110" t="s">
        <v>622</v>
      </c>
      <c r="T271" s="135"/>
    </row>
    <row r="272" spans="1:20" x14ac:dyDescent="0.2">
      <c r="A272" s="5">
        <v>271</v>
      </c>
      <c r="B272" s="110">
        <v>1751</v>
      </c>
      <c r="C272" s="110" t="s">
        <v>623</v>
      </c>
      <c r="D272" s="110" t="s">
        <v>624</v>
      </c>
      <c r="E272" s="110"/>
      <c r="F272" s="110"/>
      <c r="G272" s="110" t="str">
        <f t="shared" si="4"/>
        <v>1</v>
      </c>
      <c r="H272" s="110"/>
      <c r="I272" s="110">
        <v>141.1568322</v>
      </c>
      <c r="J272" s="110">
        <v>40.717383300000002</v>
      </c>
      <c r="K272" s="110"/>
      <c r="L272" s="110"/>
      <c r="M272" s="110"/>
      <c r="N272" s="110"/>
      <c r="O272" s="110"/>
      <c r="P272" s="109"/>
      <c r="Q272" s="109"/>
      <c r="R272" s="109"/>
      <c r="S272" s="110" t="s">
        <v>625</v>
      </c>
      <c r="T272" s="135"/>
    </row>
    <row r="273" spans="1:20" x14ac:dyDescent="0.2">
      <c r="A273" s="5">
        <v>272</v>
      </c>
      <c r="B273" s="110">
        <v>1761</v>
      </c>
      <c r="C273" s="110" t="s">
        <v>626</v>
      </c>
      <c r="D273" s="110" t="s">
        <v>627</v>
      </c>
      <c r="E273" s="110"/>
      <c r="F273" s="110"/>
      <c r="G273" s="110" t="str">
        <f t="shared" si="4"/>
        <v>1</v>
      </c>
      <c r="H273" s="110"/>
      <c r="I273" s="110">
        <v>141.153975</v>
      </c>
      <c r="J273" s="110">
        <v>40.719639999999998</v>
      </c>
      <c r="K273" s="110"/>
      <c r="L273" s="110"/>
      <c r="M273" s="110"/>
      <c r="N273" s="110"/>
      <c r="O273" s="110"/>
      <c r="P273" s="109"/>
      <c r="Q273" s="109"/>
      <c r="R273" s="109"/>
      <c r="S273" s="110" t="s">
        <v>628</v>
      </c>
      <c r="T273" s="135"/>
    </row>
    <row r="274" spans="1:20" x14ac:dyDescent="0.2">
      <c r="A274" s="5">
        <v>273</v>
      </c>
      <c r="B274" s="110">
        <v>1771</v>
      </c>
      <c r="C274" s="110" t="s">
        <v>629</v>
      </c>
      <c r="D274" s="110" t="s">
        <v>630</v>
      </c>
      <c r="E274" s="110"/>
      <c r="F274" s="110"/>
      <c r="G274" s="110" t="str">
        <f t="shared" si="4"/>
        <v>1</v>
      </c>
      <c r="H274" s="110"/>
      <c r="I274" s="110">
        <v>141.15515199999999</v>
      </c>
      <c r="J274" s="110">
        <v>40.717156000000003</v>
      </c>
      <c r="K274" s="110"/>
      <c r="L274" s="110"/>
      <c r="M274" s="110"/>
      <c r="N274" s="110"/>
      <c r="O274" s="110"/>
      <c r="P274" s="109"/>
      <c r="Q274" s="109"/>
      <c r="R274" s="109"/>
      <c r="S274" s="110" t="s">
        <v>631</v>
      </c>
      <c r="T274" s="135"/>
    </row>
    <row r="275" spans="1:20" x14ac:dyDescent="0.2">
      <c r="A275" s="5">
        <v>274</v>
      </c>
      <c r="B275" s="110">
        <v>1781</v>
      </c>
      <c r="C275" s="110" t="s">
        <v>632</v>
      </c>
      <c r="D275" s="192" t="s">
        <v>633</v>
      </c>
      <c r="E275" s="110"/>
      <c r="F275" s="110"/>
      <c r="G275" s="110" t="str">
        <f t="shared" si="4"/>
        <v>1</v>
      </c>
      <c r="H275" s="110"/>
      <c r="I275" s="110">
        <v>141.157051</v>
      </c>
      <c r="J275" s="110">
        <v>40.710648999999997</v>
      </c>
      <c r="K275" s="110"/>
      <c r="L275" s="110"/>
      <c r="M275" s="110"/>
      <c r="N275" s="110"/>
      <c r="O275" s="110"/>
      <c r="P275" s="109"/>
      <c r="Q275" s="109"/>
      <c r="R275" s="109"/>
      <c r="S275" s="110" t="s">
        <v>634</v>
      </c>
      <c r="T275" s="135"/>
    </row>
    <row r="276" spans="1:20" x14ac:dyDescent="0.2">
      <c r="A276" s="5">
        <v>275</v>
      </c>
      <c r="B276" s="110">
        <v>1791</v>
      </c>
      <c r="C276" s="110" t="s">
        <v>635</v>
      </c>
      <c r="D276" s="110" t="s">
        <v>636</v>
      </c>
      <c r="E276" s="110"/>
      <c r="F276" s="110"/>
      <c r="G276" s="110" t="str">
        <f t="shared" si="4"/>
        <v>1</v>
      </c>
      <c r="H276" s="110"/>
      <c r="I276" s="110">
        <v>141.157059</v>
      </c>
      <c r="J276" s="110">
        <v>40.706046999999998</v>
      </c>
      <c r="K276" s="110"/>
      <c r="L276" s="110"/>
      <c r="M276" s="110"/>
      <c r="N276" s="110"/>
      <c r="O276" s="110"/>
      <c r="P276" s="109"/>
      <c r="Q276" s="109"/>
      <c r="R276" s="109"/>
      <c r="S276" s="110" t="s">
        <v>637</v>
      </c>
      <c r="T276" s="135"/>
    </row>
    <row r="277" spans="1:20" x14ac:dyDescent="0.2">
      <c r="A277" s="5">
        <v>276</v>
      </c>
      <c r="B277" s="110">
        <v>1801</v>
      </c>
      <c r="C277" s="110" t="s">
        <v>638</v>
      </c>
      <c r="D277" s="110" t="s">
        <v>639</v>
      </c>
      <c r="E277" s="110"/>
      <c r="F277" s="110"/>
      <c r="G277" s="110" t="str">
        <f t="shared" si="4"/>
        <v>1</v>
      </c>
      <c r="H277" s="110"/>
      <c r="I277" s="110">
        <v>141.15919199999999</v>
      </c>
      <c r="J277" s="110">
        <v>40.700699</v>
      </c>
      <c r="K277" s="110"/>
      <c r="L277" s="110"/>
      <c r="M277" s="110"/>
      <c r="N277" s="110"/>
      <c r="O277" s="110"/>
      <c r="P277" s="109"/>
      <c r="Q277" s="109"/>
      <c r="R277" s="109"/>
      <c r="S277" s="110" t="s">
        <v>640</v>
      </c>
      <c r="T277" s="135"/>
    </row>
    <row r="278" spans="1:20" x14ac:dyDescent="0.2">
      <c r="A278" s="5">
        <v>277</v>
      </c>
      <c r="B278" s="110">
        <v>1811</v>
      </c>
      <c r="C278" s="110" t="s">
        <v>641</v>
      </c>
      <c r="D278" s="110" t="s">
        <v>642</v>
      </c>
      <c r="E278" s="110"/>
      <c r="F278" s="110"/>
      <c r="G278" s="110" t="str">
        <f t="shared" si="4"/>
        <v>1</v>
      </c>
      <c r="H278" s="110"/>
      <c r="I278" s="110">
        <v>141.161956</v>
      </c>
      <c r="J278" s="110">
        <v>40.696340999999997</v>
      </c>
      <c r="K278" s="110"/>
      <c r="L278" s="110"/>
      <c r="M278" s="110"/>
      <c r="N278" s="110"/>
      <c r="O278" s="110"/>
      <c r="P278" s="109"/>
      <c r="Q278" s="109"/>
      <c r="R278" s="109"/>
      <c r="S278" s="110" t="s">
        <v>643</v>
      </c>
      <c r="T278" s="135"/>
    </row>
    <row r="279" spans="1:20" x14ac:dyDescent="0.2">
      <c r="A279" s="5">
        <v>278</v>
      </c>
      <c r="B279" s="110">
        <v>1821</v>
      </c>
      <c r="C279" s="110" t="s">
        <v>644</v>
      </c>
      <c r="D279" s="110" t="s">
        <v>645</v>
      </c>
      <c r="E279" s="110"/>
      <c r="F279" s="110"/>
      <c r="G279" s="110" t="str">
        <f t="shared" si="4"/>
        <v>1</v>
      </c>
      <c r="H279" s="110"/>
      <c r="I279" s="110">
        <v>141.15800400000001</v>
      </c>
      <c r="J279" s="110">
        <v>40.698</v>
      </c>
      <c r="K279" s="110"/>
      <c r="L279" s="110"/>
      <c r="M279" s="110"/>
      <c r="N279" s="110"/>
      <c r="O279" s="110"/>
      <c r="P279" s="109"/>
      <c r="Q279" s="109"/>
      <c r="R279" s="109"/>
      <c r="S279" s="110" t="s">
        <v>646</v>
      </c>
      <c r="T279" s="135"/>
    </row>
    <row r="280" spans="1:20" x14ac:dyDescent="0.2">
      <c r="A280" s="5">
        <v>279</v>
      </c>
      <c r="B280" s="110">
        <v>1831</v>
      </c>
      <c r="C280" s="110" t="s">
        <v>647</v>
      </c>
      <c r="D280" s="110" t="s">
        <v>648</v>
      </c>
      <c r="E280" s="110"/>
      <c r="F280" s="110"/>
      <c r="G280" s="110" t="str">
        <f t="shared" si="4"/>
        <v>1</v>
      </c>
      <c r="H280" s="110"/>
      <c r="I280" s="110">
        <v>141.15532400000001</v>
      </c>
      <c r="J280" s="110">
        <v>40.698439999999998</v>
      </c>
      <c r="K280" s="110"/>
      <c r="L280" s="110"/>
      <c r="M280" s="110"/>
      <c r="N280" s="110"/>
      <c r="O280" s="110"/>
      <c r="P280" s="109"/>
      <c r="Q280" s="109"/>
      <c r="R280" s="109"/>
      <c r="S280" s="110" t="s">
        <v>649</v>
      </c>
      <c r="T280" s="135"/>
    </row>
    <row r="281" spans="1:20" x14ac:dyDescent="0.2">
      <c r="A281" s="5">
        <v>280</v>
      </c>
      <c r="B281" s="110">
        <v>1841</v>
      </c>
      <c r="C281" s="110" t="s">
        <v>650</v>
      </c>
      <c r="D281" s="110" t="s">
        <v>651</v>
      </c>
      <c r="E281" s="110"/>
      <c r="F281" s="110"/>
      <c r="G281" s="110" t="str">
        <f t="shared" si="4"/>
        <v>1</v>
      </c>
      <c r="H281" s="110"/>
      <c r="I281" s="110">
        <v>141.15348599999999</v>
      </c>
      <c r="J281" s="110">
        <v>40.697313000000001</v>
      </c>
      <c r="K281" s="110"/>
      <c r="L281" s="110"/>
      <c r="M281" s="110"/>
      <c r="N281" s="110"/>
      <c r="O281" s="110"/>
      <c r="P281" s="109"/>
      <c r="Q281" s="109"/>
      <c r="R281" s="109"/>
      <c r="S281" s="110" t="s">
        <v>652</v>
      </c>
      <c r="T281" s="135"/>
    </row>
    <row r="282" spans="1:20" x14ac:dyDescent="0.2">
      <c r="A282" s="5">
        <v>281</v>
      </c>
      <c r="B282" s="110">
        <v>1851</v>
      </c>
      <c r="C282" s="110" t="s">
        <v>653</v>
      </c>
      <c r="D282" s="192" t="s">
        <v>654</v>
      </c>
      <c r="E282" s="110"/>
      <c r="F282" s="110"/>
      <c r="G282" s="110" t="str">
        <f t="shared" si="4"/>
        <v>1</v>
      </c>
      <c r="H282" s="110"/>
      <c r="I282" s="110">
        <v>141.15484699999999</v>
      </c>
      <c r="J282" s="110">
        <v>40.695878999999998</v>
      </c>
      <c r="K282" s="110"/>
      <c r="L282" s="110"/>
      <c r="M282" s="110"/>
      <c r="N282" s="110"/>
      <c r="O282" s="110"/>
      <c r="P282" s="109"/>
      <c r="Q282" s="109"/>
      <c r="R282" s="109"/>
      <c r="S282" s="110" t="s">
        <v>655</v>
      </c>
      <c r="T282" s="135"/>
    </row>
    <row r="283" spans="1:20" x14ac:dyDescent="0.2">
      <c r="A283" s="5">
        <v>282</v>
      </c>
      <c r="B283" s="110">
        <v>1861</v>
      </c>
      <c r="C283" s="110" t="s">
        <v>656</v>
      </c>
      <c r="D283" s="110" t="s">
        <v>657</v>
      </c>
      <c r="E283" s="110"/>
      <c r="F283" s="110"/>
      <c r="G283" s="110" t="str">
        <f t="shared" si="4"/>
        <v>1</v>
      </c>
      <c r="H283" s="110"/>
      <c r="I283" s="110">
        <v>141.15791400000001</v>
      </c>
      <c r="J283" s="110">
        <v>40.693308000000002</v>
      </c>
      <c r="K283" s="110"/>
      <c r="L283" s="110"/>
      <c r="M283" s="110"/>
      <c r="N283" s="110"/>
      <c r="O283" s="110"/>
      <c r="P283" s="109"/>
      <c r="Q283" s="109"/>
      <c r="R283" s="109"/>
      <c r="S283" s="110" t="s">
        <v>658</v>
      </c>
      <c r="T283" s="135"/>
    </row>
    <row r="284" spans="1:20" x14ac:dyDescent="0.2">
      <c r="A284" s="5">
        <v>283</v>
      </c>
      <c r="B284" s="110">
        <v>1871</v>
      </c>
      <c r="C284" s="110" t="s">
        <v>659</v>
      </c>
      <c r="D284" s="110" t="s">
        <v>660</v>
      </c>
      <c r="E284" s="110"/>
      <c r="F284" s="110"/>
      <c r="G284" s="110" t="str">
        <f t="shared" si="4"/>
        <v>1</v>
      </c>
      <c r="H284" s="110"/>
      <c r="I284" s="110">
        <v>141.158987</v>
      </c>
      <c r="J284" s="110">
        <v>40.691501000000002</v>
      </c>
      <c r="K284" s="110"/>
      <c r="L284" s="110"/>
      <c r="M284" s="110"/>
      <c r="N284" s="110"/>
      <c r="O284" s="110"/>
      <c r="P284" s="109"/>
      <c r="Q284" s="109"/>
      <c r="R284" s="109"/>
      <c r="S284" s="110" t="s">
        <v>661</v>
      </c>
      <c r="T284" s="135"/>
    </row>
    <row r="285" spans="1:20" x14ac:dyDescent="0.2">
      <c r="A285" s="5">
        <v>284</v>
      </c>
      <c r="B285" s="110">
        <v>1881</v>
      </c>
      <c r="C285" s="110" t="s">
        <v>662</v>
      </c>
      <c r="D285" s="110" t="s">
        <v>663</v>
      </c>
      <c r="E285" s="110"/>
      <c r="F285" s="110"/>
      <c r="G285" s="110" t="str">
        <f t="shared" si="4"/>
        <v>1</v>
      </c>
      <c r="H285" s="110"/>
      <c r="I285" s="110">
        <v>141.16528700000001</v>
      </c>
      <c r="J285" s="110">
        <v>40.684480999999998</v>
      </c>
      <c r="K285" s="110"/>
      <c r="L285" s="110"/>
      <c r="M285" s="110"/>
      <c r="N285" s="110"/>
      <c r="O285" s="110"/>
      <c r="P285" s="109"/>
      <c r="Q285" s="109"/>
      <c r="R285" s="109"/>
      <c r="S285" s="110" t="s">
        <v>664</v>
      </c>
      <c r="T285" s="135"/>
    </row>
    <row r="286" spans="1:20" x14ac:dyDescent="0.2">
      <c r="A286" s="5">
        <v>285</v>
      </c>
      <c r="B286" s="110">
        <v>1891</v>
      </c>
      <c r="C286" s="110" t="s">
        <v>665</v>
      </c>
      <c r="D286" s="110" t="s">
        <v>666</v>
      </c>
      <c r="E286" s="110"/>
      <c r="F286" s="110"/>
      <c r="G286" s="110" t="str">
        <f t="shared" si="4"/>
        <v>1</v>
      </c>
      <c r="H286" s="110"/>
      <c r="I286" s="110">
        <v>141.17554200000001</v>
      </c>
      <c r="J286" s="110">
        <v>40.675953999999997</v>
      </c>
      <c r="K286" s="110"/>
      <c r="L286" s="110"/>
      <c r="M286" s="110"/>
      <c r="N286" s="110"/>
      <c r="O286" s="110"/>
      <c r="P286" s="109"/>
      <c r="Q286" s="109"/>
      <c r="R286" s="109"/>
      <c r="S286" s="110" t="s">
        <v>667</v>
      </c>
      <c r="T286" s="135"/>
    </row>
    <row r="287" spans="1:20" x14ac:dyDescent="0.2">
      <c r="A287" s="5">
        <v>286</v>
      </c>
      <c r="B287" s="110">
        <v>1901</v>
      </c>
      <c r="C287" s="110" t="s">
        <v>668</v>
      </c>
      <c r="D287" s="110" t="s">
        <v>669</v>
      </c>
      <c r="E287" s="110"/>
      <c r="F287" s="110"/>
      <c r="G287" s="110" t="str">
        <f t="shared" si="4"/>
        <v>1</v>
      </c>
      <c r="H287" s="110"/>
      <c r="I287" s="110">
        <v>141.18002999999999</v>
      </c>
      <c r="J287" s="110">
        <v>40.673226999999997</v>
      </c>
      <c r="K287" s="110"/>
      <c r="L287" s="110"/>
      <c r="M287" s="110"/>
      <c r="N287" s="110"/>
      <c r="O287" s="110"/>
      <c r="P287" s="109"/>
      <c r="Q287" s="109"/>
      <c r="R287" s="109"/>
      <c r="S287" s="110" t="s">
        <v>670</v>
      </c>
      <c r="T287" s="135"/>
    </row>
    <row r="288" spans="1:20" x14ac:dyDescent="0.2">
      <c r="A288" s="5">
        <v>287</v>
      </c>
      <c r="B288" s="110">
        <v>1911</v>
      </c>
      <c r="C288" s="110" t="s">
        <v>671</v>
      </c>
      <c r="D288" s="110" t="s">
        <v>672</v>
      </c>
      <c r="E288" s="110"/>
      <c r="F288" s="110"/>
      <c r="G288" s="110" t="str">
        <f t="shared" si="4"/>
        <v>1</v>
      </c>
      <c r="H288" s="110"/>
      <c r="I288" s="110">
        <v>141.19146599999999</v>
      </c>
      <c r="J288" s="110">
        <v>40.659342000000002</v>
      </c>
      <c r="K288" s="110"/>
      <c r="L288" s="110"/>
      <c r="M288" s="110"/>
      <c r="N288" s="110"/>
      <c r="O288" s="110"/>
      <c r="P288" s="109"/>
      <c r="Q288" s="109"/>
      <c r="R288" s="109"/>
      <c r="S288" s="110" t="s">
        <v>673</v>
      </c>
      <c r="T288" s="135"/>
    </row>
    <row r="289" spans="1:20" x14ac:dyDescent="0.2">
      <c r="A289" s="5">
        <v>288</v>
      </c>
      <c r="B289" s="110">
        <v>1921</v>
      </c>
      <c r="C289" s="110" t="s">
        <v>674</v>
      </c>
      <c r="D289" s="110" t="s">
        <v>675</v>
      </c>
      <c r="E289" s="110"/>
      <c r="F289" s="110"/>
      <c r="G289" s="110" t="str">
        <f t="shared" si="4"/>
        <v>1</v>
      </c>
      <c r="H289" s="110"/>
      <c r="I289" s="110">
        <v>141.19397699999999</v>
      </c>
      <c r="J289" s="110">
        <v>40.654322000000001</v>
      </c>
      <c r="K289" s="110"/>
      <c r="L289" s="110"/>
      <c r="M289" s="110"/>
      <c r="N289" s="110"/>
      <c r="O289" s="110"/>
      <c r="P289" s="109"/>
      <c r="Q289" s="109"/>
      <c r="R289" s="109"/>
      <c r="S289" s="110" t="s">
        <v>676</v>
      </c>
      <c r="T289" s="135"/>
    </row>
    <row r="290" spans="1:20" x14ac:dyDescent="0.2">
      <c r="A290" s="5">
        <v>289</v>
      </c>
      <c r="B290" s="110">
        <v>1931</v>
      </c>
      <c r="C290" s="110" t="s">
        <v>677</v>
      </c>
      <c r="D290" s="192" t="s">
        <v>678</v>
      </c>
      <c r="E290" s="110"/>
      <c r="F290" s="110"/>
      <c r="G290" s="110" t="str">
        <f t="shared" si="4"/>
        <v>1</v>
      </c>
      <c r="H290" s="110"/>
      <c r="I290" s="110">
        <v>141.197866</v>
      </c>
      <c r="J290" s="110">
        <v>40.646566</v>
      </c>
      <c r="K290" s="110"/>
      <c r="L290" s="110"/>
      <c r="M290" s="110"/>
      <c r="N290" s="110"/>
      <c r="O290" s="110"/>
      <c r="P290" s="109"/>
      <c r="Q290" s="109"/>
      <c r="R290" s="109"/>
      <c r="S290" s="110" t="s">
        <v>679</v>
      </c>
      <c r="T290" s="135"/>
    </row>
    <row r="291" spans="1:20" x14ac:dyDescent="0.2">
      <c r="A291" s="5">
        <v>290</v>
      </c>
      <c r="B291" s="110">
        <v>1941</v>
      </c>
      <c r="C291" s="110" t="s">
        <v>680</v>
      </c>
      <c r="D291" s="110" t="s">
        <v>681</v>
      </c>
      <c r="E291" s="110"/>
      <c r="F291" s="110"/>
      <c r="G291" s="110" t="str">
        <f t="shared" si="4"/>
        <v>1</v>
      </c>
      <c r="H291" s="110"/>
      <c r="I291" s="110">
        <v>141.19963100000001</v>
      </c>
      <c r="J291" s="110">
        <v>40.642780999999999</v>
      </c>
      <c r="K291" s="110"/>
      <c r="L291" s="110"/>
      <c r="M291" s="110"/>
      <c r="N291" s="110"/>
      <c r="O291" s="110"/>
      <c r="P291" s="109"/>
      <c r="Q291" s="109"/>
      <c r="R291" s="109"/>
      <c r="S291" s="110" t="s">
        <v>682</v>
      </c>
      <c r="T291" s="135"/>
    </row>
    <row r="292" spans="1:20" x14ac:dyDescent="0.2">
      <c r="A292" s="5">
        <v>291</v>
      </c>
      <c r="B292" s="110">
        <v>1951</v>
      </c>
      <c r="C292" s="110" t="s">
        <v>683</v>
      </c>
      <c r="D292" s="110" t="s">
        <v>684</v>
      </c>
      <c r="E292" s="110"/>
      <c r="F292" s="110"/>
      <c r="G292" s="110" t="str">
        <f t="shared" si="4"/>
        <v>1</v>
      </c>
      <c r="H292" s="110"/>
      <c r="I292" s="110">
        <v>141.201641</v>
      </c>
      <c r="J292" s="110">
        <v>40.638252999999999</v>
      </c>
      <c r="K292" s="110"/>
      <c r="L292" s="110"/>
      <c r="M292" s="110"/>
      <c r="N292" s="110"/>
      <c r="O292" s="110"/>
      <c r="P292" s="109"/>
      <c r="Q292" s="109"/>
      <c r="R292" s="109"/>
      <c r="S292" s="110" t="s">
        <v>685</v>
      </c>
      <c r="T292" s="135"/>
    </row>
    <row r="293" spans="1:20" x14ac:dyDescent="0.2">
      <c r="A293" s="5">
        <v>292</v>
      </c>
      <c r="B293" s="110">
        <v>1961</v>
      </c>
      <c r="C293" s="110" t="s">
        <v>686</v>
      </c>
      <c r="D293" s="110" t="s">
        <v>687</v>
      </c>
      <c r="E293" s="110"/>
      <c r="F293" s="110"/>
      <c r="G293" s="110" t="str">
        <f t="shared" si="4"/>
        <v>1</v>
      </c>
      <c r="H293" s="110"/>
      <c r="I293" s="110">
        <v>141.202742</v>
      </c>
      <c r="J293" s="110">
        <v>40.635554999999997</v>
      </c>
      <c r="K293" s="110"/>
      <c r="L293" s="110"/>
      <c r="M293" s="110"/>
      <c r="N293" s="110"/>
      <c r="O293" s="110"/>
      <c r="P293" s="109"/>
      <c r="Q293" s="109"/>
      <c r="R293" s="109"/>
      <c r="S293" s="110" t="s">
        <v>688</v>
      </c>
      <c r="T293" s="135"/>
    </row>
    <row r="294" spans="1:20" x14ac:dyDescent="0.2">
      <c r="A294" s="5">
        <v>293</v>
      </c>
      <c r="B294" s="110">
        <v>1971</v>
      </c>
      <c r="C294" s="110" t="s">
        <v>689</v>
      </c>
      <c r="D294" s="110" t="s">
        <v>690</v>
      </c>
      <c r="E294" s="110"/>
      <c r="F294" s="110"/>
      <c r="G294" s="110" t="str">
        <f t="shared" si="4"/>
        <v>1</v>
      </c>
      <c r="H294" s="110"/>
      <c r="I294" s="110">
        <v>141.204599</v>
      </c>
      <c r="J294" s="110">
        <v>40.631081999999999</v>
      </c>
      <c r="K294" s="110"/>
      <c r="L294" s="110"/>
      <c r="M294" s="110"/>
      <c r="N294" s="110"/>
      <c r="O294" s="110"/>
      <c r="P294" s="109"/>
      <c r="Q294" s="109"/>
      <c r="R294" s="109"/>
      <c r="S294" s="110" t="s">
        <v>691</v>
      </c>
      <c r="T294" s="135"/>
    </row>
    <row r="295" spans="1:20" x14ac:dyDescent="0.2">
      <c r="A295" s="5">
        <v>294</v>
      </c>
      <c r="B295" s="110">
        <v>1981</v>
      </c>
      <c r="C295" s="110" t="s">
        <v>692</v>
      </c>
      <c r="D295" s="192" t="s">
        <v>693</v>
      </c>
      <c r="E295" s="110"/>
      <c r="F295" s="110"/>
      <c r="G295" s="110" t="str">
        <f t="shared" si="4"/>
        <v>1</v>
      </c>
      <c r="H295" s="110"/>
      <c r="I295" s="110">
        <v>141.20704900000001</v>
      </c>
      <c r="J295" s="110">
        <v>40.625391999999998</v>
      </c>
      <c r="K295" s="110"/>
      <c r="L295" s="110"/>
      <c r="M295" s="110"/>
      <c r="N295" s="110"/>
      <c r="O295" s="110"/>
      <c r="P295" s="109"/>
      <c r="Q295" s="109"/>
      <c r="R295" s="109"/>
      <c r="S295" s="110" t="s">
        <v>694</v>
      </c>
      <c r="T295" s="135"/>
    </row>
    <row r="296" spans="1:20" x14ac:dyDescent="0.2">
      <c r="A296" s="5">
        <v>295</v>
      </c>
      <c r="B296" s="110">
        <v>1991</v>
      </c>
      <c r="C296" s="110" t="s">
        <v>695</v>
      </c>
      <c r="D296" s="110" t="s">
        <v>696</v>
      </c>
      <c r="E296" s="110"/>
      <c r="F296" s="110"/>
      <c r="G296" s="110" t="str">
        <f t="shared" si="4"/>
        <v>1</v>
      </c>
      <c r="H296" s="110"/>
      <c r="I296" s="110">
        <v>141.20923199999999</v>
      </c>
      <c r="J296" s="110">
        <v>40.613543999999997</v>
      </c>
      <c r="K296" s="110"/>
      <c r="L296" s="110"/>
      <c r="M296" s="110"/>
      <c r="N296" s="110"/>
      <c r="O296" s="110"/>
      <c r="P296" s="109"/>
      <c r="Q296" s="109"/>
      <c r="R296" s="109"/>
      <c r="S296" s="110" t="s">
        <v>697</v>
      </c>
      <c r="T296" s="135"/>
    </row>
    <row r="297" spans="1:20" x14ac:dyDescent="0.2">
      <c r="A297" s="5">
        <v>296</v>
      </c>
      <c r="B297" s="110">
        <v>2001</v>
      </c>
      <c r="C297" s="110" t="s">
        <v>698</v>
      </c>
      <c r="D297" s="110" t="s">
        <v>491</v>
      </c>
      <c r="E297" s="110"/>
      <c r="F297" s="110"/>
      <c r="G297" s="110" t="str">
        <f t="shared" si="4"/>
        <v>1</v>
      </c>
      <c r="H297" s="110"/>
      <c r="I297" s="110">
        <v>141.20756800000001</v>
      </c>
      <c r="J297" s="110">
        <v>40.612831</v>
      </c>
      <c r="K297" s="110"/>
      <c r="L297" s="110"/>
      <c r="M297" s="110"/>
      <c r="N297" s="110"/>
      <c r="O297" s="110"/>
      <c r="P297" s="109"/>
      <c r="Q297" s="109"/>
      <c r="R297" s="109"/>
      <c r="S297" s="110" t="s">
        <v>699</v>
      </c>
      <c r="T297" s="135"/>
    </row>
    <row r="298" spans="1:20" x14ac:dyDescent="0.2">
      <c r="A298" s="5">
        <v>297</v>
      </c>
      <c r="B298" s="110">
        <v>2011</v>
      </c>
      <c r="C298" s="110" t="s">
        <v>700</v>
      </c>
      <c r="D298" s="110" t="s">
        <v>701</v>
      </c>
      <c r="E298" s="110"/>
      <c r="F298" s="110"/>
      <c r="G298" s="110" t="str">
        <f t="shared" si="4"/>
        <v>1</v>
      </c>
      <c r="H298" s="110"/>
      <c r="I298" s="110">
        <v>141.20442800000001</v>
      </c>
      <c r="J298" s="110">
        <v>40.611758999999999</v>
      </c>
      <c r="K298" s="110"/>
      <c r="L298" s="110"/>
      <c r="M298" s="110"/>
      <c r="N298" s="110"/>
      <c r="O298" s="110"/>
      <c r="P298" s="109"/>
      <c r="Q298" s="109"/>
      <c r="R298" s="109"/>
      <c r="S298" s="110" t="s">
        <v>702</v>
      </c>
      <c r="T298" s="135"/>
    </row>
    <row r="299" spans="1:20" x14ac:dyDescent="0.2">
      <c r="A299" s="5">
        <v>298</v>
      </c>
      <c r="B299" s="110">
        <v>2002</v>
      </c>
      <c r="C299" s="110" t="s">
        <v>698</v>
      </c>
      <c r="D299" s="110" t="s">
        <v>491</v>
      </c>
      <c r="E299" s="110"/>
      <c r="F299" s="110"/>
      <c r="G299" s="110" t="str">
        <f t="shared" si="4"/>
        <v>2</v>
      </c>
      <c r="H299" s="110"/>
      <c r="I299" s="110">
        <v>141.20745500000001</v>
      </c>
      <c r="J299" s="110">
        <v>40.612893999999997</v>
      </c>
      <c r="K299" s="110"/>
      <c r="L299" s="110"/>
      <c r="M299" s="110"/>
      <c r="N299" s="110"/>
      <c r="O299" s="110"/>
      <c r="P299" s="109"/>
      <c r="Q299" s="109"/>
      <c r="R299" s="109"/>
      <c r="S299" s="110" t="s">
        <v>699</v>
      </c>
      <c r="T299" s="135"/>
    </row>
    <row r="300" spans="1:20" x14ac:dyDescent="0.2">
      <c r="A300" s="5">
        <v>299</v>
      </c>
      <c r="B300" s="110">
        <v>1992</v>
      </c>
      <c r="C300" s="110" t="s">
        <v>695</v>
      </c>
      <c r="D300" s="110" t="s">
        <v>696</v>
      </c>
      <c r="E300" s="110"/>
      <c r="F300" s="110"/>
      <c r="G300" s="110" t="str">
        <f t="shared" si="4"/>
        <v>2</v>
      </c>
      <c r="H300" s="110"/>
      <c r="I300" s="110">
        <v>141.20925199999999</v>
      </c>
      <c r="J300" s="110">
        <v>40.613737</v>
      </c>
      <c r="K300" s="110"/>
      <c r="L300" s="110"/>
      <c r="M300" s="110"/>
      <c r="N300" s="110"/>
      <c r="O300" s="110"/>
      <c r="P300" s="109"/>
      <c r="Q300" s="109"/>
      <c r="R300" s="109"/>
      <c r="S300" s="110" t="s">
        <v>697</v>
      </c>
      <c r="T300" s="135"/>
    </row>
    <row r="301" spans="1:20" x14ac:dyDescent="0.2">
      <c r="A301" s="5">
        <v>300</v>
      </c>
      <c r="B301" s="110">
        <v>2021</v>
      </c>
      <c r="C301" s="110" t="s">
        <v>703</v>
      </c>
      <c r="D301" s="110" t="s">
        <v>704</v>
      </c>
      <c r="E301" s="110"/>
      <c r="F301" s="110"/>
      <c r="G301" s="110" t="str">
        <f t="shared" si="4"/>
        <v>1</v>
      </c>
      <c r="H301" s="110"/>
      <c r="I301" s="110">
        <v>141.224816</v>
      </c>
      <c r="J301" s="110">
        <v>40.606352999999999</v>
      </c>
      <c r="K301" s="110"/>
      <c r="L301" s="110"/>
      <c r="M301" s="110"/>
      <c r="N301" s="110"/>
      <c r="O301" s="110"/>
      <c r="P301" s="109"/>
      <c r="Q301" s="109"/>
      <c r="R301" s="109"/>
      <c r="S301" s="110" t="s">
        <v>705</v>
      </c>
      <c r="T301" s="135"/>
    </row>
    <row r="302" spans="1:20" x14ac:dyDescent="0.2">
      <c r="A302" s="5">
        <v>301</v>
      </c>
      <c r="B302" s="110">
        <v>2031</v>
      </c>
      <c r="C302" s="110" t="s">
        <v>706</v>
      </c>
      <c r="D302" s="110" t="s">
        <v>707</v>
      </c>
      <c r="E302" s="110"/>
      <c r="F302" s="110"/>
      <c r="G302" s="110" t="str">
        <f t="shared" si="4"/>
        <v>1</v>
      </c>
      <c r="H302" s="110"/>
      <c r="I302" s="110">
        <v>141.22879900000001</v>
      </c>
      <c r="J302" s="110">
        <v>40.608167000000002</v>
      </c>
      <c r="K302" s="110"/>
      <c r="L302" s="110"/>
      <c r="M302" s="110"/>
      <c r="N302" s="110"/>
      <c r="O302" s="110"/>
      <c r="P302" s="109"/>
      <c r="Q302" s="109"/>
      <c r="R302" s="109"/>
      <c r="S302" s="110" t="s">
        <v>708</v>
      </c>
      <c r="T302" s="135"/>
    </row>
    <row r="303" spans="1:20" x14ac:dyDescent="0.2">
      <c r="A303" s="5">
        <v>302</v>
      </c>
      <c r="B303" s="110">
        <v>2041</v>
      </c>
      <c r="C303" s="110" t="s">
        <v>709</v>
      </c>
      <c r="D303" s="192" t="s">
        <v>710</v>
      </c>
      <c r="E303" s="110"/>
      <c r="F303" s="110"/>
      <c r="G303" s="110" t="str">
        <f t="shared" si="4"/>
        <v>1</v>
      </c>
      <c r="H303" s="110"/>
      <c r="I303" s="110">
        <v>141.23198500000001</v>
      </c>
      <c r="J303" s="110">
        <v>40.609594000000001</v>
      </c>
      <c r="K303" s="110"/>
      <c r="L303" s="110"/>
      <c r="M303" s="110"/>
      <c r="N303" s="110"/>
      <c r="O303" s="110"/>
      <c r="P303" s="109"/>
      <c r="Q303" s="109"/>
      <c r="R303" s="109"/>
      <c r="S303" s="110" t="s">
        <v>711</v>
      </c>
      <c r="T303" s="135"/>
    </row>
    <row r="304" spans="1:20" x14ac:dyDescent="0.2">
      <c r="A304" s="5">
        <v>303</v>
      </c>
      <c r="B304" s="110">
        <v>93</v>
      </c>
      <c r="C304" s="110" t="s">
        <v>246</v>
      </c>
      <c r="D304" s="110" t="s">
        <v>247</v>
      </c>
      <c r="E304" s="110"/>
      <c r="F304" s="110"/>
      <c r="G304" s="110" t="str">
        <f t="shared" si="4"/>
        <v>3</v>
      </c>
      <c r="H304" s="110"/>
      <c r="I304" s="110">
        <v>141.23150999999999</v>
      </c>
      <c r="J304" s="110">
        <v>40.613064000000001</v>
      </c>
      <c r="K304" s="110"/>
      <c r="L304" s="110"/>
      <c r="M304" s="110"/>
      <c r="N304" s="110"/>
      <c r="O304" s="110"/>
      <c r="P304" s="109"/>
      <c r="Q304" s="109"/>
      <c r="R304" s="109"/>
      <c r="S304" s="110" t="s">
        <v>248</v>
      </c>
      <c r="T304" s="135"/>
    </row>
    <row r="305" spans="1:20" x14ac:dyDescent="0.2">
      <c r="A305" s="5">
        <v>304</v>
      </c>
      <c r="B305" s="110">
        <v>123</v>
      </c>
      <c r="C305" s="110" t="s">
        <v>255</v>
      </c>
      <c r="D305" s="110" t="s">
        <v>256</v>
      </c>
      <c r="E305" s="110"/>
      <c r="F305" s="110"/>
      <c r="G305" s="110" t="str">
        <f t="shared" si="4"/>
        <v>3</v>
      </c>
      <c r="H305" s="110"/>
      <c r="I305" s="110">
        <v>141.24907300000001</v>
      </c>
      <c r="J305" s="110">
        <v>40.614503999999997</v>
      </c>
      <c r="K305" s="110"/>
      <c r="L305" s="110"/>
      <c r="M305" s="110"/>
      <c r="N305" s="110"/>
      <c r="O305" s="110"/>
      <c r="P305" s="109"/>
      <c r="Q305" s="109"/>
      <c r="R305" s="109"/>
      <c r="S305" s="110" t="s">
        <v>257</v>
      </c>
      <c r="T305" s="135"/>
    </row>
    <row r="306" spans="1:20" x14ac:dyDescent="0.2">
      <c r="A306" s="5">
        <v>305</v>
      </c>
      <c r="B306" s="110">
        <v>1452</v>
      </c>
      <c r="C306" s="110" t="s">
        <v>534</v>
      </c>
      <c r="D306" s="110" t="s">
        <v>500</v>
      </c>
      <c r="E306" s="110"/>
      <c r="F306" s="110"/>
      <c r="G306" s="110" t="str">
        <f t="shared" si="4"/>
        <v>2</v>
      </c>
      <c r="H306" s="110"/>
      <c r="I306" s="110">
        <v>141.09852900000001</v>
      </c>
      <c r="J306" s="110">
        <v>40.873941000000002</v>
      </c>
      <c r="K306" s="110"/>
      <c r="L306" s="110"/>
      <c r="M306" s="110"/>
      <c r="N306" s="110"/>
      <c r="O306" s="110"/>
      <c r="P306" s="109"/>
      <c r="Q306" s="109"/>
      <c r="R306" s="109"/>
      <c r="S306" s="110" t="s">
        <v>535</v>
      </c>
      <c r="T306" s="135"/>
    </row>
    <row r="307" spans="1:20" x14ac:dyDescent="0.2">
      <c r="A307" s="5">
        <v>306</v>
      </c>
      <c r="B307" s="110">
        <v>2051</v>
      </c>
      <c r="C307" s="110" t="s">
        <v>712</v>
      </c>
      <c r="D307" s="110" t="s">
        <v>713</v>
      </c>
      <c r="E307" s="110"/>
      <c r="F307" s="110"/>
      <c r="G307" s="110" t="str">
        <f t="shared" si="4"/>
        <v>1</v>
      </c>
      <c r="H307" s="110"/>
      <c r="I307" s="110">
        <v>141.182412</v>
      </c>
      <c r="J307" s="110">
        <v>40.673380000000002</v>
      </c>
      <c r="K307" s="110"/>
      <c r="L307" s="110"/>
      <c r="M307" s="110"/>
      <c r="N307" s="110"/>
      <c r="O307" s="110"/>
      <c r="P307" s="109"/>
      <c r="Q307" s="109"/>
      <c r="R307" s="109"/>
      <c r="S307" s="110" t="s">
        <v>714</v>
      </c>
      <c r="T307" s="135"/>
    </row>
    <row r="308" spans="1:20" x14ac:dyDescent="0.2">
      <c r="A308" s="5">
        <v>307</v>
      </c>
      <c r="B308" s="110">
        <v>2061</v>
      </c>
      <c r="C308" s="110" t="s">
        <v>715</v>
      </c>
      <c r="D308" s="110" t="s">
        <v>716</v>
      </c>
      <c r="E308" s="110"/>
      <c r="F308" s="110"/>
      <c r="G308" s="110" t="str">
        <f t="shared" si="4"/>
        <v>1</v>
      </c>
      <c r="H308" s="110"/>
      <c r="I308" s="110">
        <v>141.18872300000001</v>
      </c>
      <c r="J308" s="110">
        <v>40.676203999999998</v>
      </c>
      <c r="K308" s="110"/>
      <c r="L308" s="110"/>
      <c r="M308" s="110"/>
      <c r="N308" s="110"/>
      <c r="O308" s="110"/>
      <c r="P308" s="109"/>
      <c r="Q308" s="109"/>
      <c r="R308" s="109"/>
      <c r="S308" s="110" t="s">
        <v>717</v>
      </c>
      <c r="T308" s="135"/>
    </row>
    <row r="309" spans="1:20" x14ac:dyDescent="0.2">
      <c r="A309" s="5">
        <v>308</v>
      </c>
      <c r="B309" s="110">
        <v>2071</v>
      </c>
      <c r="C309" s="110" t="s">
        <v>718</v>
      </c>
      <c r="D309" s="110" t="s">
        <v>719</v>
      </c>
      <c r="E309" s="110"/>
      <c r="F309" s="110"/>
      <c r="G309" s="110" t="str">
        <f t="shared" si="4"/>
        <v>1</v>
      </c>
      <c r="H309" s="110"/>
      <c r="I309" s="110">
        <v>141.19523899999999</v>
      </c>
      <c r="J309" s="110">
        <v>40.678888000000001</v>
      </c>
      <c r="K309" s="110"/>
      <c r="L309" s="110"/>
      <c r="M309" s="110"/>
      <c r="N309" s="110"/>
      <c r="O309" s="110"/>
      <c r="P309" s="109"/>
      <c r="Q309" s="109"/>
      <c r="R309" s="109"/>
      <c r="S309" s="110" t="s">
        <v>720</v>
      </c>
      <c r="T309" s="135"/>
    </row>
    <row r="310" spans="1:20" x14ac:dyDescent="0.2">
      <c r="A310" s="5">
        <v>309</v>
      </c>
      <c r="B310" s="110">
        <v>2081</v>
      </c>
      <c r="C310" s="110" t="s">
        <v>721</v>
      </c>
      <c r="D310" s="110" t="s">
        <v>722</v>
      </c>
      <c r="E310" s="110"/>
      <c r="F310" s="110"/>
      <c r="G310" s="110" t="str">
        <f t="shared" si="4"/>
        <v>1</v>
      </c>
      <c r="H310" s="110"/>
      <c r="I310" s="110">
        <v>141.20608899999999</v>
      </c>
      <c r="J310" s="110">
        <v>40.671843000000003</v>
      </c>
      <c r="K310" s="110"/>
      <c r="L310" s="110"/>
      <c r="M310" s="110"/>
      <c r="N310" s="110"/>
      <c r="O310" s="110"/>
      <c r="P310" s="109"/>
      <c r="Q310" s="109"/>
      <c r="R310" s="109"/>
      <c r="S310" s="110" t="s">
        <v>723</v>
      </c>
      <c r="T310" s="135"/>
    </row>
    <row r="311" spans="1:20" x14ac:dyDescent="0.2">
      <c r="A311" s="5">
        <v>310</v>
      </c>
      <c r="B311" s="110">
        <v>2091</v>
      </c>
      <c r="C311" s="110" t="s">
        <v>724</v>
      </c>
      <c r="D311" s="110" t="s">
        <v>725</v>
      </c>
      <c r="E311" s="110"/>
      <c r="F311" s="110"/>
      <c r="G311" s="110" t="str">
        <f t="shared" si="4"/>
        <v>1</v>
      </c>
      <c r="H311" s="110"/>
      <c r="I311" s="110">
        <v>141.20720299999999</v>
      </c>
      <c r="J311" s="110">
        <v>40.667487000000001</v>
      </c>
      <c r="K311" s="110"/>
      <c r="L311" s="110"/>
      <c r="M311" s="110"/>
      <c r="N311" s="110"/>
      <c r="O311" s="110"/>
      <c r="P311" s="109"/>
      <c r="Q311" s="109"/>
      <c r="R311" s="109"/>
      <c r="S311" s="110" t="s">
        <v>726</v>
      </c>
      <c r="T311" s="135"/>
    </row>
    <row r="312" spans="1:20" x14ac:dyDescent="0.2">
      <c r="A312" s="5">
        <v>311</v>
      </c>
      <c r="B312" s="110">
        <v>2101</v>
      </c>
      <c r="C312" s="110" t="s">
        <v>727</v>
      </c>
      <c r="D312" s="110" t="s">
        <v>728</v>
      </c>
      <c r="E312" s="110"/>
      <c r="F312" s="110"/>
      <c r="G312" s="110" t="str">
        <f t="shared" si="4"/>
        <v>1</v>
      </c>
      <c r="H312" s="110"/>
      <c r="I312" s="110">
        <v>141.19898699999999</v>
      </c>
      <c r="J312" s="110">
        <v>40.662864999999996</v>
      </c>
      <c r="K312" s="110"/>
      <c r="L312" s="110"/>
      <c r="M312" s="110"/>
      <c r="N312" s="110"/>
      <c r="O312" s="110"/>
      <c r="P312" s="109"/>
      <c r="Q312" s="109"/>
      <c r="R312" s="109"/>
      <c r="S312" s="110" t="s">
        <v>729</v>
      </c>
      <c r="T312" s="135"/>
    </row>
    <row r="313" spans="1:20" x14ac:dyDescent="0.2">
      <c r="A313" s="5">
        <v>312</v>
      </c>
      <c r="B313" s="110">
        <v>2111</v>
      </c>
      <c r="C313" s="110" t="s">
        <v>730</v>
      </c>
      <c r="D313" s="110" t="s">
        <v>731</v>
      </c>
      <c r="E313" s="110"/>
      <c r="F313" s="110"/>
      <c r="G313" s="110" t="str">
        <f t="shared" si="4"/>
        <v>1</v>
      </c>
      <c r="H313" s="110"/>
      <c r="I313" s="110">
        <v>141.19669099999999</v>
      </c>
      <c r="J313" s="110">
        <v>40.660736999999997</v>
      </c>
      <c r="K313" s="110"/>
      <c r="L313" s="110"/>
      <c r="M313" s="110"/>
      <c r="N313" s="110"/>
      <c r="O313" s="110"/>
      <c r="P313" s="109"/>
      <c r="Q313" s="109"/>
      <c r="R313" s="109"/>
      <c r="S313" s="110" t="s">
        <v>732</v>
      </c>
      <c r="T313" s="135"/>
    </row>
    <row r="314" spans="1:20" x14ac:dyDescent="0.2">
      <c r="A314" s="5">
        <v>313</v>
      </c>
      <c r="B314" s="110">
        <v>1912</v>
      </c>
      <c r="C314" s="110" t="s">
        <v>671</v>
      </c>
      <c r="D314" s="110" t="s">
        <v>672</v>
      </c>
      <c r="E314" s="110"/>
      <c r="F314" s="110"/>
      <c r="G314" s="110" t="str">
        <f t="shared" si="4"/>
        <v>2</v>
      </c>
      <c r="H314" s="110"/>
      <c r="I314" s="110">
        <v>141.19330199999999</v>
      </c>
      <c r="J314" s="110">
        <v>40.659176000000002</v>
      </c>
      <c r="K314" s="110"/>
      <c r="L314" s="110"/>
      <c r="M314" s="110"/>
      <c r="N314" s="110"/>
      <c r="O314" s="110"/>
      <c r="P314" s="109"/>
      <c r="Q314" s="109"/>
      <c r="R314" s="109"/>
      <c r="S314" s="110" t="s">
        <v>673</v>
      </c>
      <c r="T314" s="135"/>
    </row>
    <row r="315" spans="1:20" x14ac:dyDescent="0.2">
      <c r="A315" s="5">
        <v>314</v>
      </c>
      <c r="B315" s="110">
        <v>2121</v>
      </c>
      <c r="C315" s="110" t="s">
        <v>733</v>
      </c>
      <c r="D315" s="110" t="s">
        <v>734</v>
      </c>
      <c r="E315" s="110"/>
      <c r="F315" s="110"/>
      <c r="G315" s="110" t="str">
        <f t="shared" si="4"/>
        <v>1</v>
      </c>
      <c r="H315" s="110"/>
      <c r="I315" s="110">
        <v>140.69477900000001</v>
      </c>
      <c r="J315" s="110">
        <v>40.828195999999998</v>
      </c>
      <c r="K315" s="110"/>
      <c r="L315" s="110"/>
      <c r="M315" s="110"/>
      <c r="N315" s="110"/>
      <c r="O315" s="110"/>
      <c r="P315" s="109"/>
      <c r="Q315" s="109"/>
      <c r="R315" s="109"/>
      <c r="S315" s="110" t="s">
        <v>735</v>
      </c>
      <c r="T315" s="135"/>
    </row>
    <row r="316" spans="1:20" x14ac:dyDescent="0.2">
      <c r="A316" s="5">
        <v>315</v>
      </c>
      <c r="B316" s="110">
        <v>2131</v>
      </c>
      <c r="C316" s="110" t="s">
        <v>736</v>
      </c>
      <c r="D316" s="110" t="s">
        <v>737</v>
      </c>
      <c r="E316" s="110"/>
      <c r="F316" s="110"/>
      <c r="G316" s="110" t="str">
        <f t="shared" si="4"/>
        <v>1</v>
      </c>
      <c r="H316" s="110"/>
      <c r="I316" s="110">
        <v>140.744584</v>
      </c>
      <c r="J316" s="110">
        <v>40.825586000000001</v>
      </c>
      <c r="K316" s="110"/>
      <c r="L316" s="110"/>
      <c r="M316" s="110"/>
      <c r="N316" s="110"/>
      <c r="O316" s="110"/>
      <c r="P316" s="109"/>
      <c r="Q316" s="109"/>
      <c r="R316" s="109"/>
      <c r="S316" s="110" t="s">
        <v>738</v>
      </c>
      <c r="T316" s="135"/>
    </row>
    <row r="317" spans="1:20" x14ac:dyDescent="0.2">
      <c r="A317" s="5">
        <v>316</v>
      </c>
      <c r="B317" s="110">
        <v>2141</v>
      </c>
      <c r="C317" s="110" t="s">
        <v>739</v>
      </c>
      <c r="D317" s="110" t="s">
        <v>740</v>
      </c>
      <c r="E317" s="110"/>
      <c r="F317" s="110"/>
      <c r="G317" s="110" t="str">
        <f t="shared" si="4"/>
        <v>1</v>
      </c>
      <c r="H317" s="110"/>
      <c r="I317" s="110">
        <v>140.74059700000001</v>
      </c>
      <c r="J317" s="110">
        <v>40.826312000000001</v>
      </c>
      <c r="K317" s="110"/>
      <c r="L317" s="110"/>
      <c r="M317" s="110"/>
      <c r="N317" s="110"/>
      <c r="O317" s="110"/>
      <c r="P317" s="109"/>
      <c r="Q317" s="109"/>
      <c r="R317" s="109"/>
      <c r="S317" s="110" t="s">
        <v>741</v>
      </c>
      <c r="T317" s="135"/>
    </row>
    <row r="318" spans="1:20" x14ac:dyDescent="0.2">
      <c r="A318" s="5">
        <v>317</v>
      </c>
      <c r="B318" s="110">
        <v>2151</v>
      </c>
      <c r="C318" s="110" t="s">
        <v>742</v>
      </c>
      <c r="D318" s="110" t="s">
        <v>743</v>
      </c>
      <c r="E318" s="110"/>
      <c r="F318" s="110"/>
      <c r="G318" s="110" t="str">
        <f t="shared" si="4"/>
        <v>1</v>
      </c>
      <c r="H318" s="110"/>
      <c r="I318" s="110">
        <v>140.734996</v>
      </c>
      <c r="J318" s="110">
        <v>40.828181999999998</v>
      </c>
      <c r="K318" s="110"/>
      <c r="L318" s="110"/>
      <c r="M318" s="110"/>
      <c r="N318" s="110"/>
      <c r="O318" s="110"/>
      <c r="P318" s="109"/>
      <c r="Q318" s="109"/>
      <c r="R318" s="109"/>
      <c r="S318" s="110" t="s">
        <v>744</v>
      </c>
      <c r="T318" s="135"/>
    </row>
    <row r="319" spans="1:20" x14ac:dyDescent="0.2">
      <c r="A319" s="5">
        <v>318</v>
      </c>
      <c r="B319" s="110">
        <v>2142</v>
      </c>
      <c r="C319" s="110" t="s">
        <v>739</v>
      </c>
      <c r="D319" s="110" t="s">
        <v>740</v>
      </c>
      <c r="E319" s="110"/>
      <c r="F319" s="110"/>
      <c r="G319" s="110" t="str">
        <f t="shared" si="4"/>
        <v>2</v>
      </c>
      <c r="H319" s="110"/>
      <c r="I319" s="110">
        <v>140.742119</v>
      </c>
      <c r="J319" s="110">
        <v>40.826208999999999</v>
      </c>
      <c r="K319" s="110"/>
      <c r="L319" s="110"/>
      <c r="M319" s="110"/>
      <c r="N319" s="110"/>
      <c r="O319" s="110"/>
      <c r="P319" s="109"/>
      <c r="Q319" s="109"/>
      <c r="R319" s="109"/>
      <c r="S319" s="110" t="s">
        <v>741</v>
      </c>
      <c r="T319" s="135"/>
    </row>
    <row r="320" spans="1:20" x14ac:dyDescent="0.2">
      <c r="A320" s="5">
        <v>319</v>
      </c>
      <c r="B320" s="110">
        <v>2132</v>
      </c>
      <c r="C320" s="110" t="s">
        <v>736</v>
      </c>
      <c r="D320" s="110" t="s">
        <v>737</v>
      </c>
      <c r="E320" s="110"/>
      <c r="F320" s="110"/>
      <c r="G320" s="110" t="str">
        <f t="shared" si="4"/>
        <v>2</v>
      </c>
      <c r="H320" s="110"/>
      <c r="I320" s="110">
        <v>140.74461400000001</v>
      </c>
      <c r="J320" s="110">
        <v>40.825772000000001</v>
      </c>
      <c r="K320" s="110"/>
      <c r="L320" s="110"/>
      <c r="M320" s="110"/>
      <c r="N320" s="110"/>
      <c r="O320" s="110"/>
      <c r="P320" s="109"/>
      <c r="Q320" s="109"/>
      <c r="R320" s="109"/>
      <c r="S320" s="110" t="s">
        <v>738</v>
      </c>
      <c r="T320" s="135"/>
    </row>
    <row r="321" spans="1:20" x14ac:dyDescent="0.2">
      <c r="A321" s="5">
        <v>320</v>
      </c>
      <c r="B321" s="110">
        <v>2161</v>
      </c>
      <c r="C321" s="110" t="s">
        <v>745</v>
      </c>
      <c r="D321" s="110" t="s">
        <v>491</v>
      </c>
      <c r="E321" s="110"/>
      <c r="F321" s="110"/>
      <c r="G321" s="110" t="str">
        <f t="shared" si="4"/>
        <v>1</v>
      </c>
      <c r="H321" s="110"/>
      <c r="I321" s="110">
        <v>140.74679800000001</v>
      </c>
      <c r="J321" s="110">
        <v>40.823220999999997</v>
      </c>
      <c r="K321" s="110"/>
      <c r="L321" s="110"/>
      <c r="M321" s="110"/>
      <c r="N321" s="110"/>
      <c r="O321" s="110"/>
      <c r="P321" s="109"/>
      <c r="Q321" s="109"/>
      <c r="R321" s="109"/>
      <c r="S321" s="110" t="s">
        <v>746</v>
      </c>
      <c r="T321" s="135"/>
    </row>
    <row r="322" spans="1:20" x14ac:dyDescent="0.2">
      <c r="A322" s="5">
        <v>321</v>
      </c>
      <c r="B322" s="110">
        <v>2171</v>
      </c>
      <c r="C322" s="110" t="s">
        <v>747</v>
      </c>
      <c r="D322" s="192" t="s">
        <v>748</v>
      </c>
      <c r="E322" s="110"/>
      <c r="F322" s="110"/>
      <c r="G322" s="110" t="str">
        <f t="shared" si="4"/>
        <v>1</v>
      </c>
      <c r="H322" s="110"/>
      <c r="I322" s="110">
        <v>140.751161</v>
      </c>
      <c r="J322" s="110">
        <v>40.823585999999999</v>
      </c>
      <c r="K322" s="110"/>
      <c r="L322" s="110"/>
      <c r="M322" s="110"/>
      <c r="N322" s="110"/>
      <c r="O322" s="110"/>
      <c r="P322" s="109"/>
      <c r="Q322" s="109"/>
      <c r="R322" s="109"/>
      <c r="S322" s="110" t="s">
        <v>749</v>
      </c>
      <c r="T322" s="135"/>
    </row>
    <row r="323" spans="1:20" x14ac:dyDescent="0.2">
      <c r="A323" s="5">
        <v>322</v>
      </c>
      <c r="B323" s="110">
        <v>2181</v>
      </c>
      <c r="C323" s="110" t="s">
        <v>750</v>
      </c>
      <c r="D323" s="110" t="s">
        <v>751</v>
      </c>
      <c r="E323" s="110"/>
      <c r="F323" s="110"/>
      <c r="G323" s="110" t="str">
        <f t="shared" si="4"/>
        <v>1</v>
      </c>
      <c r="H323" s="110"/>
      <c r="I323" s="110">
        <v>140.75546499999999</v>
      </c>
      <c r="J323" s="110">
        <v>40.82394</v>
      </c>
      <c r="K323" s="110"/>
      <c r="L323" s="110"/>
      <c r="M323" s="110"/>
      <c r="N323" s="110"/>
      <c r="O323" s="110"/>
      <c r="P323" s="109"/>
      <c r="Q323" s="109"/>
      <c r="R323" s="109"/>
      <c r="S323" s="110" t="s">
        <v>752</v>
      </c>
      <c r="T323" s="135"/>
    </row>
    <row r="324" spans="1:20" x14ac:dyDescent="0.2">
      <c r="A324" s="5">
        <v>323</v>
      </c>
      <c r="B324" s="110">
        <v>2191</v>
      </c>
      <c r="C324" s="110" t="s">
        <v>753</v>
      </c>
      <c r="D324" s="110" t="s">
        <v>754</v>
      </c>
      <c r="E324" s="110"/>
      <c r="F324" s="110"/>
      <c r="G324" s="110" t="str">
        <f t="shared" ref="G324:G387" si="5">RIGHT(B324,1)</f>
        <v>1</v>
      </c>
      <c r="H324" s="110"/>
      <c r="I324" s="110">
        <v>140.76073199999999</v>
      </c>
      <c r="J324" s="110">
        <v>40.824316000000003</v>
      </c>
      <c r="K324" s="110"/>
      <c r="L324" s="110"/>
      <c r="M324" s="110"/>
      <c r="N324" s="110"/>
      <c r="O324" s="110"/>
      <c r="P324" s="109"/>
      <c r="Q324" s="109"/>
      <c r="R324" s="109"/>
      <c r="S324" s="110" t="s">
        <v>755</v>
      </c>
      <c r="T324" s="135"/>
    </row>
    <row r="325" spans="1:20" x14ac:dyDescent="0.2">
      <c r="A325" s="5">
        <v>324</v>
      </c>
      <c r="B325" s="110">
        <v>2201</v>
      </c>
      <c r="C325" s="110" t="s">
        <v>756</v>
      </c>
      <c r="D325" s="110" t="s">
        <v>757</v>
      </c>
      <c r="E325" s="110"/>
      <c r="F325" s="110"/>
      <c r="G325" s="110" t="str">
        <f t="shared" si="5"/>
        <v>1</v>
      </c>
      <c r="H325" s="110"/>
      <c r="I325" s="110">
        <v>140.76987399999999</v>
      </c>
      <c r="J325" s="110">
        <v>40.825344000000001</v>
      </c>
      <c r="K325" s="110"/>
      <c r="L325" s="110"/>
      <c r="M325" s="110"/>
      <c r="N325" s="110"/>
      <c r="O325" s="110"/>
      <c r="P325" s="109"/>
      <c r="Q325" s="109"/>
      <c r="R325" s="109"/>
      <c r="S325" s="110" t="s">
        <v>758</v>
      </c>
      <c r="T325" s="135"/>
    </row>
    <row r="326" spans="1:20" x14ac:dyDescent="0.2">
      <c r="A326" s="5">
        <v>325</v>
      </c>
      <c r="B326" s="110">
        <v>2211</v>
      </c>
      <c r="C326" s="110" t="s">
        <v>759</v>
      </c>
      <c r="D326" s="110" t="s">
        <v>760</v>
      </c>
      <c r="E326" s="110"/>
      <c r="F326" s="110"/>
      <c r="G326" s="110" t="str">
        <f t="shared" si="5"/>
        <v>1</v>
      </c>
      <c r="H326" s="110"/>
      <c r="I326" s="110">
        <v>140.77843899999999</v>
      </c>
      <c r="J326" s="110">
        <v>40.827061999999998</v>
      </c>
      <c r="K326" s="110"/>
      <c r="L326" s="110"/>
      <c r="M326" s="110"/>
      <c r="N326" s="110"/>
      <c r="O326" s="110"/>
      <c r="P326" s="109"/>
      <c r="Q326" s="109"/>
      <c r="R326" s="109"/>
      <c r="S326" s="110" t="s">
        <v>761</v>
      </c>
      <c r="T326" s="135"/>
    </row>
    <row r="327" spans="1:20" x14ac:dyDescent="0.2">
      <c r="A327" s="5">
        <v>326</v>
      </c>
      <c r="B327" s="110">
        <v>2221</v>
      </c>
      <c r="C327" s="110" t="s">
        <v>762</v>
      </c>
      <c r="D327" s="110" t="s">
        <v>763</v>
      </c>
      <c r="E327" s="110"/>
      <c r="F327" s="110"/>
      <c r="G327" s="110" t="str">
        <f t="shared" si="5"/>
        <v>1</v>
      </c>
      <c r="H327" s="110"/>
      <c r="I327" s="110">
        <v>140.78992299999999</v>
      </c>
      <c r="J327" s="110">
        <v>40.828181999999998</v>
      </c>
      <c r="K327" s="110"/>
      <c r="L327" s="110"/>
      <c r="M327" s="110"/>
      <c r="N327" s="110"/>
      <c r="O327" s="110"/>
      <c r="P327" s="109"/>
      <c r="Q327" s="109"/>
      <c r="R327" s="109"/>
      <c r="S327" s="110" t="s">
        <v>764</v>
      </c>
      <c r="T327" s="135"/>
    </row>
    <row r="328" spans="1:20" x14ac:dyDescent="0.2">
      <c r="A328" s="5">
        <v>327</v>
      </c>
      <c r="B328" s="110">
        <v>2231</v>
      </c>
      <c r="C328" s="110" t="s">
        <v>765</v>
      </c>
      <c r="D328" s="110" t="s">
        <v>766</v>
      </c>
      <c r="E328" s="110"/>
      <c r="F328" s="110"/>
      <c r="G328" s="110" t="str">
        <f t="shared" si="5"/>
        <v>1</v>
      </c>
      <c r="H328" s="110"/>
      <c r="I328" s="110">
        <v>140.7955</v>
      </c>
      <c r="J328" s="110">
        <v>40.827125000000002</v>
      </c>
      <c r="K328" s="110"/>
      <c r="L328" s="110"/>
      <c r="M328" s="110"/>
      <c r="N328" s="110"/>
      <c r="O328" s="110"/>
      <c r="P328" s="109"/>
      <c r="Q328" s="109"/>
      <c r="R328" s="109"/>
      <c r="S328" s="110" t="s">
        <v>767</v>
      </c>
      <c r="T328" s="135"/>
    </row>
    <row r="329" spans="1:20" x14ac:dyDescent="0.2">
      <c r="A329" s="5">
        <v>328</v>
      </c>
      <c r="B329" s="110">
        <v>2241</v>
      </c>
      <c r="C329" s="110" t="s">
        <v>768</v>
      </c>
      <c r="D329" s="110" t="s">
        <v>769</v>
      </c>
      <c r="E329" s="110"/>
      <c r="F329" s="110"/>
      <c r="G329" s="110" t="str">
        <f t="shared" si="5"/>
        <v>1</v>
      </c>
      <c r="H329" s="110"/>
      <c r="I329" s="110">
        <v>140.798406</v>
      </c>
      <c r="J329" s="110">
        <v>40.826720000000002</v>
      </c>
      <c r="K329" s="110"/>
      <c r="L329" s="110"/>
      <c r="M329" s="110"/>
      <c r="N329" s="110"/>
      <c r="O329" s="110"/>
      <c r="P329" s="109"/>
      <c r="Q329" s="109"/>
      <c r="R329" s="109"/>
      <c r="S329" s="110" t="s">
        <v>770</v>
      </c>
      <c r="T329" s="135"/>
    </row>
    <row r="330" spans="1:20" x14ac:dyDescent="0.2">
      <c r="A330" s="5">
        <v>329</v>
      </c>
      <c r="B330" s="110">
        <v>2251</v>
      </c>
      <c r="C330" s="110" t="s">
        <v>771</v>
      </c>
      <c r="D330" s="110" t="s">
        <v>772</v>
      </c>
      <c r="E330" s="110"/>
      <c r="F330" s="110"/>
      <c r="G330" s="110" t="str">
        <f t="shared" si="5"/>
        <v>1</v>
      </c>
      <c r="H330" s="110"/>
      <c r="I330" s="110">
        <v>140.80868000000001</v>
      </c>
      <c r="J330" s="110">
        <v>40.828502999999998</v>
      </c>
      <c r="K330" s="110"/>
      <c r="L330" s="110"/>
      <c r="M330" s="110"/>
      <c r="N330" s="110"/>
      <c r="O330" s="110"/>
      <c r="P330" s="109"/>
      <c r="Q330" s="109"/>
      <c r="R330" s="109"/>
      <c r="S330" s="110" t="s">
        <v>773</v>
      </c>
      <c r="T330" s="135"/>
    </row>
    <row r="331" spans="1:20" x14ac:dyDescent="0.2">
      <c r="A331" s="5">
        <v>330</v>
      </c>
      <c r="B331" s="110">
        <v>2261</v>
      </c>
      <c r="C331" s="110" t="s">
        <v>774</v>
      </c>
      <c r="D331" s="110" t="s">
        <v>775</v>
      </c>
      <c r="E331" s="110"/>
      <c r="F331" s="110"/>
      <c r="G331" s="110" t="str">
        <f t="shared" si="5"/>
        <v>1</v>
      </c>
      <c r="H331" s="110"/>
      <c r="I331" s="110">
        <v>140.81348299999999</v>
      </c>
      <c r="J331" s="110">
        <v>40.829554999999999</v>
      </c>
      <c r="K331" s="110"/>
      <c r="L331" s="110"/>
      <c r="M331" s="110"/>
      <c r="N331" s="110"/>
      <c r="O331" s="110"/>
      <c r="P331" s="109"/>
      <c r="Q331" s="109"/>
      <c r="R331" s="109"/>
      <c r="S331" s="110" t="s">
        <v>776</v>
      </c>
      <c r="T331" s="135"/>
    </row>
    <row r="332" spans="1:20" x14ac:dyDescent="0.2">
      <c r="A332" s="5">
        <v>331</v>
      </c>
      <c r="B332" s="110">
        <v>2271</v>
      </c>
      <c r="C332" s="110" t="s">
        <v>777</v>
      </c>
      <c r="D332" s="110" t="s">
        <v>778</v>
      </c>
      <c r="E332" s="110"/>
      <c r="F332" s="110"/>
      <c r="G332" s="110" t="str">
        <f t="shared" si="5"/>
        <v>1</v>
      </c>
      <c r="H332" s="110"/>
      <c r="I332" s="110">
        <v>140.81922399999999</v>
      </c>
      <c r="J332" s="110">
        <v>40.830334999999998</v>
      </c>
      <c r="K332" s="110"/>
      <c r="L332" s="110"/>
      <c r="M332" s="110"/>
      <c r="N332" s="110"/>
      <c r="O332" s="110"/>
      <c r="P332" s="109"/>
      <c r="Q332" s="109"/>
      <c r="R332" s="109"/>
      <c r="S332" s="110" t="s">
        <v>779</v>
      </c>
      <c r="T332" s="135"/>
    </row>
    <row r="333" spans="1:20" x14ac:dyDescent="0.2">
      <c r="A333" s="5">
        <v>332</v>
      </c>
      <c r="B333" s="110">
        <v>2281</v>
      </c>
      <c r="C333" s="110" t="s">
        <v>780</v>
      </c>
      <c r="D333" s="110" t="s">
        <v>781</v>
      </c>
      <c r="E333" s="110"/>
      <c r="F333" s="110"/>
      <c r="G333" s="110" t="str">
        <f t="shared" si="5"/>
        <v>1</v>
      </c>
      <c r="H333" s="110"/>
      <c r="I333" s="110">
        <v>140.82405499999999</v>
      </c>
      <c r="J333" s="110">
        <v>40.828946000000002</v>
      </c>
      <c r="K333" s="110"/>
      <c r="L333" s="110"/>
      <c r="M333" s="110"/>
      <c r="N333" s="110"/>
      <c r="O333" s="110"/>
      <c r="P333" s="109"/>
      <c r="Q333" s="109"/>
      <c r="R333" s="109"/>
      <c r="S333" s="110" t="s">
        <v>782</v>
      </c>
      <c r="T333" s="135"/>
    </row>
    <row r="334" spans="1:20" x14ac:dyDescent="0.2">
      <c r="A334" s="5">
        <v>333</v>
      </c>
      <c r="B334" s="110">
        <v>2291</v>
      </c>
      <c r="C334" s="110" t="s">
        <v>783</v>
      </c>
      <c r="D334" s="110" t="s">
        <v>784</v>
      </c>
      <c r="E334" s="110"/>
      <c r="F334" s="110"/>
      <c r="G334" s="110" t="str">
        <f t="shared" si="5"/>
        <v>1</v>
      </c>
      <c r="H334" s="110"/>
      <c r="I334" s="110">
        <v>140.857315</v>
      </c>
      <c r="J334" s="110">
        <v>40.826307999999997</v>
      </c>
      <c r="K334" s="110"/>
      <c r="L334" s="110"/>
      <c r="M334" s="110"/>
      <c r="N334" s="110"/>
      <c r="O334" s="110"/>
      <c r="P334" s="109"/>
      <c r="Q334" s="109"/>
      <c r="R334" s="109"/>
      <c r="S334" s="110" t="s">
        <v>785</v>
      </c>
      <c r="T334" s="135"/>
    </row>
    <row r="335" spans="1:20" x14ac:dyDescent="0.2">
      <c r="A335" s="5">
        <v>334</v>
      </c>
      <c r="B335" s="110">
        <v>2301</v>
      </c>
      <c r="C335" s="110" t="s">
        <v>786</v>
      </c>
      <c r="D335" s="110" t="s">
        <v>787</v>
      </c>
      <c r="E335" s="110"/>
      <c r="F335" s="110"/>
      <c r="G335" s="110" t="str">
        <f t="shared" si="5"/>
        <v>1</v>
      </c>
      <c r="H335" s="110"/>
      <c r="I335" s="110">
        <v>141.16041200000001</v>
      </c>
      <c r="J335" s="110">
        <v>40.691614999999999</v>
      </c>
      <c r="K335" s="110"/>
      <c r="L335" s="110"/>
      <c r="M335" s="110"/>
      <c r="N335" s="110"/>
      <c r="O335" s="110"/>
      <c r="P335" s="109"/>
      <c r="Q335" s="109"/>
      <c r="R335" s="109"/>
      <c r="S335" s="110" t="s">
        <v>788</v>
      </c>
      <c r="T335" s="135"/>
    </row>
    <row r="336" spans="1:20" x14ac:dyDescent="0.2">
      <c r="A336" s="5">
        <v>335</v>
      </c>
      <c r="B336" s="110">
        <v>2042</v>
      </c>
      <c r="C336" s="110" t="s">
        <v>709</v>
      </c>
      <c r="D336" s="192" t="s">
        <v>710</v>
      </c>
      <c r="E336" s="110"/>
      <c r="F336" s="110"/>
      <c r="G336" s="110" t="str">
        <f t="shared" si="5"/>
        <v>2</v>
      </c>
      <c r="H336" s="110"/>
      <c r="I336" s="110">
        <v>141.23197300000001</v>
      </c>
      <c r="J336" s="110">
        <v>40.609501999999999</v>
      </c>
      <c r="K336" s="110"/>
      <c r="L336" s="110"/>
      <c r="M336" s="110"/>
      <c r="N336" s="110"/>
      <c r="O336" s="110"/>
      <c r="P336" s="109"/>
      <c r="Q336" s="109"/>
      <c r="R336" s="109"/>
      <c r="S336" s="110" t="s">
        <v>789</v>
      </c>
      <c r="T336" s="135"/>
    </row>
    <row r="337" spans="1:20" x14ac:dyDescent="0.2">
      <c r="A337" s="5">
        <v>336</v>
      </c>
      <c r="B337" s="110">
        <v>2032</v>
      </c>
      <c r="C337" s="110" t="s">
        <v>706</v>
      </c>
      <c r="D337" s="110" t="s">
        <v>707</v>
      </c>
      <c r="E337" s="110"/>
      <c r="F337" s="110"/>
      <c r="G337" s="110" t="str">
        <f t="shared" si="5"/>
        <v>2</v>
      </c>
      <c r="H337" s="110"/>
      <c r="I337" s="110">
        <v>141.22883200000001</v>
      </c>
      <c r="J337" s="110">
        <v>40.608094999999999</v>
      </c>
      <c r="K337" s="110"/>
      <c r="L337" s="110"/>
      <c r="M337" s="110"/>
      <c r="N337" s="110"/>
      <c r="O337" s="110"/>
      <c r="P337" s="109"/>
      <c r="Q337" s="109"/>
      <c r="R337" s="109"/>
      <c r="S337" s="110" t="s">
        <v>708</v>
      </c>
      <c r="T337" s="135"/>
    </row>
    <row r="338" spans="1:20" x14ac:dyDescent="0.2">
      <c r="A338" s="5">
        <v>337</v>
      </c>
      <c r="B338" s="110">
        <v>2022</v>
      </c>
      <c r="C338" s="110" t="s">
        <v>703</v>
      </c>
      <c r="D338" s="110" t="s">
        <v>704</v>
      </c>
      <c r="E338" s="110"/>
      <c r="F338" s="110"/>
      <c r="G338" s="110" t="str">
        <f t="shared" si="5"/>
        <v>2</v>
      </c>
      <c r="H338" s="110"/>
      <c r="I338" s="110">
        <v>141.22488999999999</v>
      </c>
      <c r="J338" s="110">
        <v>40.606321000000001</v>
      </c>
      <c r="K338" s="110"/>
      <c r="L338" s="110"/>
      <c r="M338" s="110"/>
      <c r="N338" s="110"/>
      <c r="O338" s="110"/>
      <c r="P338" s="109"/>
      <c r="Q338" s="109"/>
      <c r="R338" s="109"/>
      <c r="S338" s="110" t="s">
        <v>705</v>
      </c>
      <c r="T338" s="135"/>
    </row>
    <row r="339" spans="1:20" x14ac:dyDescent="0.2">
      <c r="A339" s="5">
        <v>338</v>
      </c>
      <c r="B339" s="110">
        <v>2311</v>
      </c>
      <c r="C339" s="110" t="s">
        <v>790</v>
      </c>
      <c r="D339" s="110" t="s">
        <v>791</v>
      </c>
      <c r="E339" s="110"/>
      <c r="F339" s="110"/>
      <c r="G339" s="110" t="str">
        <f t="shared" si="5"/>
        <v>1</v>
      </c>
      <c r="H339" s="110"/>
      <c r="I339" s="110">
        <v>141.208528</v>
      </c>
      <c r="J339" s="110">
        <v>40.621903000000003</v>
      </c>
      <c r="K339" s="110"/>
      <c r="L339" s="110"/>
      <c r="M339" s="110"/>
      <c r="N339" s="110"/>
      <c r="O339" s="110"/>
      <c r="P339" s="109"/>
      <c r="Q339" s="109"/>
      <c r="R339" s="109"/>
      <c r="S339" s="110" t="s">
        <v>792</v>
      </c>
      <c r="T339" s="135"/>
    </row>
    <row r="340" spans="1:20" x14ac:dyDescent="0.2">
      <c r="A340" s="5">
        <v>339</v>
      </c>
      <c r="B340" s="110">
        <v>1982</v>
      </c>
      <c r="C340" s="110" t="s">
        <v>692</v>
      </c>
      <c r="D340" s="192" t="s">
        <v>693</v>
      </c>
      <c r="E340" s="110"/>
      <c r="F340" s="110"/>
      <c r="G340" s="110" t="str">
        <f t="shared" si="5"/>
        <v>2</v>
      </c>
      <c r="H340" s="110"/>
      <c r="I340" s="110">
        <v>141.20698999999999</v>
      </c>
      <c r="J340" s="110">
        <v>40.625394999999997</v>
      </c>
      <c r="K340" s="110"/>
      <c r="L340" s="110"/>
      <c r="M340" s="110"/>
      <c r="N340" s="110"/>
      <c r="O340" s="110"/>
      <c r="P340" s="109"/>
      <c r="Q340" s="109"/>
      <c r="R340" s="109"/>
      <c r="S340" s="110" t="s">
        <v>694</v>
      </c>
      <c r="T340" s="135"/>
    </row>
    <row r="341" spans="1:20" x14ac:dyDescent="0.2">
      <c r="A341" s="5">
        <v>340</v>
      </c>
      <c r="B341" s="110">
        <v>1972</v>
      </c>
      <c r="C341" s="110" t="s">
        <v>689</v>
      </c>
      <c r="D341" s="110" t="s">
        <v>690</v>
      </c>
      <c r="E341" s="110"/>
      <c r="F341" s="110"/>
      <c r="G341" s="110" t="str">
        <f t="shared" si="5"/>
        <v>2</v>
      </c>
      <c r="H341" s="110"/>
      <c r="I341" s="110">
        <v>141.203925</v>
      </c>
      <c r="J341" s="110">
        <v>40.632598999999999</v>
      </c>
      <c r="K341" s="110"/>
      <c r="L341" s="110"/>
      <c r="M341" s="110"/>
      <c r="N341" s="110"/>
      <c r="O341" s="110"/>
      <c r="P341" s="109"/>
      <c r="Q341" s="109"/>
      <c r="R341" s="109"/>
      <c r="S341" s="110" t="s">
        <v>691</v>
      </c>
      <c r="T341" s="135"/>
    </row>
    <row r="342" spans="1:20" x14ac:dyDescent="0.2">
      <c r="A342" s="5">
        <v>341</v>
      </c>
      <c r="B342" s="110">
        <v>1962</v>
      </c>
      <c r="C342" s="110" t="s">
        <v>686</v>
      </c>
      <c r="D342" s="110" t="s">
        <v>687</v>
      </c>
      <c r="E342" s="110"/>
      <c r="F342" s="110"/>
      <c r="G342" s="110" t="str">
        <f t="shared" si="5"/>
        <v>2</v>
      </c>
      <c r="H342" s="110"/>
      <c r="I342" s="110">
        <v>141.20247599999999</v>
      </c>
      <c r="J342" s="110">
        <v>40.636037000000002</v>
      </c>
      <c r="K342" s="110"/>
      <c r="L342" s="110"/>
      <c r="M342" s="110"/>
      <c r="N342" s="110"/>
      <c r="O342" s="110"/>
      <c r="P342" s="109"/>
      <c r="Q342" s="109"/>
      <c r="R342" s="109"/>
      <c r="S342" s="110" t="s">
        <v>688</v>
      </c>
      <c r="T342" s="135"/>
    </row>
    <row r="343" spans="1:20" x14ac:dyDescent="0.2">
      <c r="A343" s="5">
        <v>342</v>
      </c>
      <c r="B343" s="110">
        <v>1952</v>
      </c>
      <c r="C343" s="110" t="s">
        <v>683</v>
      </c>
      <c r="D343" s="110" t="s">
        <v>684</v>
      </c>
      <c r="E343" s="110"/>
      <c r="F343" s="110"/>
      <c r="G343" s="110" t="str">
        <f t="shared" si="5"/>
        <v>2</v>
      </c>
      <c r="H343" s="110"/>
      <c r="I343" s="110">
        <v>141.20164700000001</v>
      </c>
      <c r="J343" s="110">
        <v>40.637968999999998</v>
      </c>
      <c r="K343" s="110"/>
      <c r="L343" s="110"/>
      <c r="M343" s="110"/>
      <c r="N343" s="110"/>
      <c r="O343" s="110"/>
      <c r="P343" s="109"/>
      <c r="Q343" s="109"/>
      <c r="R343" s="109"/>
      <c r="S343" s="110" t="s">
        <v>685</v>
      </c>
      <c r="T343" s="135"/>
    </row>
    <row r="344" spans="1:20" x14ac:dyDescent="0.2">
      <c r="A344" s="5">
        <v>343</v>
      </c>
      <c r="B344" s="110">
        <v>1942</v>
      </c>
      <c r="C344" s="110" t="s">
        <v>680</v>
      </c>
      <c r="D344" s="110" t="s">
        <v>681</v>
      </c>
      <c r="E344" s="110"/>
      <c r="F344" s="110"/>
      <c r="G344" s="110" t="str">
        <f t="shared" si="5"/>
        <v>2</v>
      </c>
      <c r="H344" s="110"/>
      <c r="I344" s="110">
        <v>141.19961900000001</v>
      </c>
      <c r="J344" s="110">
        <v>40.642555999999999</v>
      </c>
      <c r="K344" s="110"/>
      <c r="L344" s="110"/>
      <c r="M344" s="110"/>
      <c r="N344" s="110"/>
      <c r="O344" s="110"/>
      <c r="P344" s="109"/>
      <c r="Q344" s="109"/>
      <c r="R344" s="109"/>
      <c r="S344" s="110" t="s">
        <v>682</v>
      </c>
      <c r="T344" s="135"/>
    </row>
    <row r="345" spans="1:20" x14ac:dyDescent="0.2">
      <c r="A345" s="5">
        <v>344</v>
      </c>
      <c r="B345" s="110">
        <v>1932</v>
      </c>
      <c r="C345" s="110" t="s">
        <v>677</v>
      </c>
      <c r="D345" s="192" t="s">
        <v>793</v>
      </c>
      <c r="E345" s="110"/>
      <c r="F345" s="110"/>
      <c r="G345" s="110" t="str">
        <f t="shared" si="5"/>
        <v>2</v>
      </c>
      <c r="H345" s="110"/>
      <c r="I345" s="110">
        <v>141.19721100000001</v>
      </c>
      <c r="J345" s="110">
        <v>40.647708999999999</v>
      </c>
      <c r="K345" s="110"/>
      <c r="L345" s="110"/>
      <c r="M345" s="110"/>
      <c r="N345" s="110"/>
      <c r="O345" s="110"/>
      <c r="P345" s="109"/>
      <c r="Q345" s="109"/>
      <c r="R345" s="109"/>
      <c r="S345" s="110" t="s">
        <v>679</v>
      </c>
      <c r="T345" s="135"/>
    </row>
    <row r="346" spans="1:20" x14ac:dyDescent="0.2">
      <c r="A346" s="5">
        <v>345</v>
      </c>
      <c r="B346" s="110">
        <v>1922</v>
      </c>
      <c r="C346" s="110" t="s">
        <v>674</v>
      </c>
      <c r="D346" s="110" t="s">
        <v>675</v>
      </c>
      <c r="E346" s="110"/>
      <c r="F346" s="110"/>
      <c r="G346" s="110" t="str">
        <f t="shared" si="5"/>
        <v>2</v>
      </c>
      <c r="H346" s="110"/>
      <c r="I346" s="110">
        <v>141.193825</v>
      </c>
      <c r="J346" s="110">
        <v>40.654407999999997</v>
      </c>
      <c r="K346" s="110"/>
      <c r="L346" s="110"/>
      <c r="M346" s="110"/>
      <c r="N346" s="110"/>
      <c r="O346" s="110"/>
      <c r="P346" s="109"/>
      <c r="Q346" s="109"/>
      <c r="R346" s="109"/>
      <c r="S346" s="110" t="s">
        <v>676</v>
      </c>
      <c r="T346" s="135"/>
    </row>
    <row r="347" spans="1:20" x14ac:dyDescent="0.2">
      <c r="A347" s="5">
        <v>346</v>
      </c>
      <c r="B347" s="110">
        <v>1913</v>
      </c>
      <c r="C347" s="110" t="s">
        <v>671</v>
      </c>
      <c r="D347" s="110" t="s">
        <v>672</v>
      </c>
      <c r="E347" s="110"/>
      <c r="F347" s="110"/>
      <c r="G347" s="110" t="str">
        <f t="shared" si="5"/>
        <v>3</v>
      </c>
      <c r="H347" s="110"/>
      <c r="I347" s="110">
        <v>141.19133099999999</v>
      </c>
      <c r="J347" s="110">
        <v>40.659331999999999</v>
      </c>
      <c r="K347" s="110"/>
      <c r="L347" s="110"/>
      <c r="M347" s="110"/>
      <c r="N347" s="110"/>
      <c r="O347" s="110"/>
      <c r="P347" s="109"/>
      <c r="Q347" s="109"/>
      <c r="R347" s="109"/>
      <c r="S347" s="110" t="s">
        <v>673</v>
      </c>
      <c r="T347" s="135"/>
    </row>
    <row r="348" spans="1:20" x14ac:dyDescent="0.2">
      <c r="A348" s="5">
        <v>347</v>
      </c>
      <c r="B348" s="110">
        <v>1902</v>
      </c>
      <c r="C348" s="110" t="s">
        <v>668</v>
      </c>
      <c r="D348" s="110" t="s">
        <v>669</v>
      </c>
      <c r="E348" s="110"/>
      <c r="F348" s="110"/>
      <c r="G348" s="110" t="str">
        <f t="shared" si="5"/>
        <v>2</v>
      </c>
      <c r="H348" s="110"/>
      <c r="I348" s="110">
        <v>141.18024199999999</v>
      </c>
      <c r="J348" s="110">
        <v>40.673054</v>
      </c>
      <c r="K348" s="110"/>
      <c r="L348" s="110"/>
      <c r="M348" s="110"/>
      <c r="N348" s="110"/>
      <c r="O348" s="110"/>
      <c r="P348" s="109"/>
      <c r="Q348" s="109"/>
      <c r="R348" s="109"/>
      <c r="S348" s="110" t="s">
        <v>670</v>
      </c>
      <c r="T348" s="135"/>
    </row>
    <row r="349" spans="1:20" x14ac:dyDescent="0.2">
      <c r="A349" s="5">
        <v>348</v>
      </c>
      <c r="B349" s="110">
        <v>1892</v>
      </c>
      <c r="C349" s="110" t="s">
        <v>665</v>
      </c>
      <c r="D349" s="110" t="s">
        <v>666</v>
      </c>
      <c r="E349" s="110"/>
      <c r="F349" s="110"/>
      <c r="G349" s="110" t="str">
        <f t="shared" si="5"/>
        <v>2</v>
      </c>
      <c r="H349" s="110"/>
      <c r="I349" s="110">
        <v>141.17471</v>
      </c>
      <c r="J349" s="110">
        <v>40.676482999999998</v>
      </c>
      <c r="K349" s="110"/>
      <c r="L349" s="110"/>
      <c r="M349" s="110"/>
      <c r="N349" s="110"/>
      <c r="O349" s="110"/>
      <c r="P349" s="109"/>
      <c r="Q349" s="109"/>
      <c r="R349" s="109"/>
      <c r="S349" s="110" t="s">
        <v>667</v>
      </c>
      <c r="T349" s="135"/>
    </row>
    <row r="350" spans="1:20" x14ac:dyDescent="0.2">
      <c r="A350" s="5">
        <v>349</v>
      </c>
      <c r="B350" s="110">
        <v>1882</v>
      </c>
      <c r="C350" s="110" t="s">
        <v>662</v>
      </c>
      <c r="D350" s="110" t="s">
        <v>663</v>
      </c>
      <c r="E350" s="110"/>
      <c r="F350" s="110"/>
      <c r="G350" s="110" t="str">
        <f t="shared" si="5"/>
        <v>2</v>
      </c>
      <c r="H350" s="110"/>
      <c r="I350" s="110">
        <v>141.16456500000001</v>
      </c>
      <c r="J350" s="110">
        <v>40.685079000000002</v>
      </c>
      <c r="K350" s="110"/>
      <c r="L350" s="110"/>
      <c r="M350" s="110"/>
      <c r="N350" s="110"/>
      <c r="O350" s="110"/>
      <c r="P350" s="109"/>
      <c r="Q350" s="109"/>
      <c r="R350" s="109"/>
      <c r="S350" s="110" t="s">
        <v>664</v>
      </c>
      <c r="T350" s="135"/>
    </row>
    <row r="351" spans="1:20" x14ac:dyDescent="0.2">
      <c r="A351" s="5">
        <v>350</v>
      </c>
      <c r="B351" s="110">
        <v>1872</v>
      </c>
      <c r="C351" s="110" t="s">
        <v>659</v>
      </c>
      <c r="D351" s="110" t="s">
        <v>660</v>
      </c>
      <c r="E351" s="110"/>
      <c r="F351" s="110"/>
      <c r="G351" s="110" t="str">
        <f t="shared" si="5"/>
        <v>2</v>
      </c>
      <c r="H351" s="110"/>
      <c r="I351" s="110">
        <v>141.158839</v>
      </c>
      <c r="J351" s="110">
        <v>40.691434000000001</v>
      </c>
      <c r="K351" s="110"/>
      <c r="L351" s="110"/>
      <c r="M351" s="110"/>
      <c r="N351" s="110"/>
      <c r="O351" s="110"/>
      <c r="P351" s="109"/>
      <c r="Q351" s="109"/>
      <c r="R351" s="109"/>
      <c r="S351" s="110" t="s">
        <v>661</v>
      </c>
      <c r="T351" s="135"/>
    </row>
    <row r="352" spans="1:20" x14ac:dyDescent="0.2">
      <c r="A352" s="5">
        <v>351</v>
      </c>
      <c r="B352" s="110">
        <v>1862</v>
      </c>
      <c r="C352" s="110" t="s">
        <v>656</v>
      </c>
      <c r="D352" s="110" t="s">
        <v>657</v>
      </c>
      <c r="E352" s="110"/>
      <c r="F352" s="110"/>
      <c r="G352" s="110" t="str">
        <f t="shared" si="5"/>
        <v>2</v>
      </c>
      <c r="H352" s="110"/>
      <c r="I352" s="110">
        <v>141.15760900000001</v>
      </c>
      <c r="J352" s="110">
        <v>40.693551999999997</v>
      </c>
      <c r="K352" s="110"/>
      <c r="L352" s="110"/>
      <c r="M352" s="110"/>
      <c r="N352" s="110"/>
      <c r="O352" s="110"/>
      <c r="P352" s="109"/>
      <c r="Q352" s="109"/>
      <c r="R352" s="109"/>
      <c r="S352" s="110" t="s">
        <v>658</v>
      </c>
      <c r="T352" s="135"/>
    </row>
    <row r="353" spans="1:20" x14ac:dyDescent="0.2">
      <c r="A353" s="5">
        <v>352</v>
      </c>
      <c r="B353" s="110">
        <v>1852</v>
      </c>
      <c r="C353" s="110" t="s">
        <v>653</v>
      </c>
      <c r="D353" s="192" t="s">
        <v>654</v>
      </c>
      <c r="E353" s="110"/>
      <c r="F353" s="110"/>
      <c r="G353" s="110" t="str">
        <f t="shared" si="5"/>
        <v>2</v>
      </c>
      <c r="H353" s="110"/>
      <c r="I353" s="110">
        <v>141.15452400000001</v>
      </c>
      <c r="J353" s="110">
        <v>40.695884</v>
      </c>
      <c r="K353" s="110"/>
      <c r="L353" s="110"/>
      <c r="M353" s="110"/>
      <c r="N353" s="110"/>
      <c r="O353" s="110"/>
      <c r="P353" s="109"/>
      <c r="Q353" s="109"/>
      <c r="R353" s="109"/>
      <c r="S353" s="110" t="s">
        <v>655</v>
      </c>
      <c r="T353" s="135"/>
    </row>
    <row r="354" spans="1:20" x14ac:dyDescent="0.2">
      <c r="A354" s="5">
        <v>353</v>
      </c>
      <c r="B354" s="110">
        <v>1842</v>
      </c>
      <c r="C354" s="110" t="s">
        <v>650</v>
      </c>
      <c r="D354" s="110" t="s">
        <v>651</v>
      </c>
      <c r="E354" s="110"/>
      <c r="F354" s="110"/>
      <c r="G354" s="110" t="str">
        <f t="shared" si="5"/>
        <v>2</v>
      </c>
      <c r="H354" s="110"/>
      <c r="I354" s="110">
        <v>141.15342999999999</v>
      </c>
      <c r="J354" s="110">
        <v>40.697080999999997</v>
      </c>
      <c r="K354" s="110"/>
      <c r="L354" s="110"/>
      <c r="M354" s="110"/>
      <c r="N354" s="110"/>
      <c r="O354" s="110"/>
      <c r="P354" s="109"/>
      <c r="Q354" s="109"/>
      <c r="R354" s="109"/>
      <c r="S354" s="110" t="s">
        <v>652</v>
      </c>
      <c r="T354" s="135"/>
    </row>
    <row r="355" spans="1:20" x14ac:dyDescent="0.2">
      <c r="A355" s="5">
        <v>354</v>
      </c>
      <c r="B355" s="110">
        <v>1832</v>
      </c>
      <c r="C355" s="110" t="s">
        <v>647</v>
      </c>
      <c r="D355" s="110" t="s">
        <v>648</v>
      </c>
      <c r="E355" s="110"/>
      <c r="F355" s="110"/>
      <c r="G355" s="110" t="str">
        <f t="shared" si="5"/>
        <v>2</v>
      </c>
      <c r="H355" s="110"/>
      <c r="I355" s="110">
        <v>141.15565100000001</v>
      </c>
      <c r="J355" s="110">
        <v>40.698498999999998</v>
      </c>
      <c r="K355" s="110"/>
      <c r="L355" s="110"/>
      <c r="M355" s="110"/>
      <c r="N355" s="110"/>
      <c r="O355" s="110"/>
      <c r="P355" s="109"/>
      <c r="Q355" s="109"/>
      <c r="R355" s="109"/>
      <c r="S355" s="110" t="s">
        <v>649</v>
      </c>
      <c r="T355" s="135"/>
    </row>
    <row r="356" spans="1:20" x14ac:dyDescent="0.2">
      <c r="A356" s="5">
        <v>355</v>
      </c>
      <c r="B356" s="110">
        <v>1822</v>
      </c>
      <c r="C356" s="110" t="s">
        <v>644</v>
      </c>
      <c r="D356" s="110" t="s">
        <v>645</v>
      </c>
      <c r="E356" s="110"/>
      <c r="F356" s="110"/>
      <c r="G356" s="110" t="str">
        <f t="shared" si="5"/>
        <v>2</v>
      </c>
      <c r="H356" s="110"/>
      <c r="I356" s="110">
        <v>141.15790899999999</v>
      </c>
      <c r="J356" s="110">
        <v>40.698141</v>
      </c>
      <c r="K356" s="110"/>
      <c r="L356" s="110"/>
      <c r="M356" s="110"/>
      <c r="N356" s="110"/>
      <c r="O356" s="110"/>
      <c r="P356" s="109"/>
      <c r="Q356" s="109"/>
      <c r="R356" s="109"/>
      <c r="S356" s="110" t="s">
        <v>646</v>
      </c>
      <c r="T356" s="135"/>
    </row>
    <row r="357" spans="1:20" x14ac:dyDescent="0.2">
      <c r="A357" s="5">
        <v>356</v>
      </c>
      <c r="B357" s="110">
        <v>1812</v>
      </c>
      <c r="C357" s="110" t="s">
        <v>641</v>
      </c>
      <c r="D357" s="110" t="s">
        <v>642</v>
      </c>
      <c r="E357" s="110"/>
      <c r="F357" s="110"/>
      <c r="G357" s="110" t="str">
        <f t="shared" si="5"/>
        <v>2</v>
      </c>
      <c r="H357" s="110"/>
      <c r="I357" s="110">
        <v>141.16115500000001</v>
      </c>
      <c r="J357" s="110">
        <v>40.696227</v>
      </c>
      <c r="K357" s="110"/>
      <c r="L357" s="110"/>
      <c r="M357" s="110"/>
      <c r="N357" s="110"/>
      <c r="O357" s="110"/>
      <c r="P357" s="109"/>
      <c r="Q357" s="109"/>
      <c r="R357" s="109"/>
      <c r="S357" s="110" t="s">
        <v>643</v>
      </c>
      <c r="T357" s="135"/>
    </row>
    <row r="358" spans="1:20" x14ac:dyDescent="0.2">
      <c r="A358" s="5">
        <v>357</v>
      </c>
      <c r="B358" s="110">
        <v>1802</v>
      </c>
      <c r="C358" s="110" t="s">
        <v>638</v>
      </c>
      <c r="D358" s="110" t="s">
        <v>639</v>
      </c>
      <c r="E358" s="110"/>
      <c r="F358" s="110"/>
      <c r="G358" s="110" t="str">
        <f t="shared" si="5"/>
        <v>2</v>
      </c>
      <c r="H358" s="110"/>
      <c r="I358" s="110">
        <v>141.15908099999999</v>
      </c>
      <c r="J358" s="110">
        <v>40.700738000000001</v>
      </c>
      <c r="K358" s="110"/>
      <c r="L358" s="110"/>
      <c r="M358" s="110"/>
      <c r="N358" s="110"/>
      <c r="O358" s="110"/>
      <c r="P358" s="109"/>
      <c r="Q358" s="109"/>
      <c r="R358" s="109"/>
      <c r="S358" s="110" t="s">
        <v>640</v>
      </c>
      <c r="T358" s="135"/>
    </row>
    <row r="359" spans="1:20" x14ac:dyDescent="0.2">
      <c r="A359" s="5">
        <v>358</v>
      </c>
      <c r="B359" s="110">
        <v>1792</v>
      </c>
      <c r="C359" s="110" t="s">
        <v>635</v>
      </c>
      <c r="D359" s="110" t="s">
        <v>636</v>
      </c>
      <c r="E359" s="110"/>
      <c r="F359" s="110"/>
      <c r="G359" s="110" t="str">
        <f t="shared" si="5"/>
        <v>2</v>
      </c>
      <c r="H359" s="110"/>
      <c r="I359" s="110">
        <v>141.15700200000001</v>
      </c>
      <c r="J359" s="110">
        <v>40.706180000000003</v>
      </c>
      <c r="K359" s="110"/>
      <c r="L359" s="110"/>
      <c r="M359" s="110"/>
      <c r="N359" s="110"/>
      <c r="O359" s="110"/>
      <c r="P359" s="109"/>
      <c r="Q359" s="109"/>
      <c r="R359" s="109"/>
      <c r="S359" s="110" t="s">
        <v>637</v>
      </c>
      <c r="T359" s="135"/>
    </row>
    <row r="360" spans="1:20" x14ac:dyDescent="0.2">
      <c r="A360" s="5">
        <v>359</v>
      </c>
      <c r="B360" s="110">
        <v>1782</v>
      </c>
      <c r="C360" s="110" t="s">
        <v>632</v>
      </c>
      <c r="D360" s="192" t="s">
        <v>633</v>
      </c>
      <c r="E360" s="110"/>
      <c r="F360" s="110"/>
      <c r="G360" s="110" t="str">
        <f t="shared" si="5"/>
        <v>2</v>
      </c>
      <c r="H360" s="110"/>
      <c r="I360" s="110">
        <v>141.157049</v>
      </c>
      <c r="J360" s="110">
        <v>40.710281999999999</v>
      </c>
      <c r="K360" s="110"/>
      <c r="L360" s="110"/>
      <c r="M360" s="110"/>
      <c r="N360" s="110"/>
      <c r="O360" s="110"/>
      <c r="P360" s="109"/>
      <c r="Q360" s="109"/>
      <c r="R360" s="109"/>
      <c r="S360" s="110" t="s">
        <v>634</v>
      </c>
      <c r="T360" s="135"/>
    </row>
    <row r="361" spans="1:20" x14ac:dyDescent="0.2">
      <c r="A361" s="5">
        <v>360</v>
      </c>
      <c r="B361" s="110">
        <v>1752</v>
      </c>
      <c r="C361" s="110" t="s">
        <v>623</v>
      </c>
      <c r="D361" s="110" t="s">
        <v>624</v>
      </c>
      <c r="E361" s="110"/>
      <c r="F361" s="110"/>
      <c r="G361" s="110" t="str">
        <f t="shared" si="5"/>
        <v>2</v>
      </c>
      <c r="H361" s="110"/>
      <c r="I361" s="110">
        <v>141.15656100000001</v>
      </c>
      <c r="J361" s="110">
        <v>40.714891999999999</v>
      </c>
      <c r="K361" s="110"/>
      <c r="L361" s="110"/>
      <c r="M361" s="110"/>
      <c r="N361" s="110"/>
      <c r="O361" s="110"/>
      <c r="P361" s="109"/>
      <c r="Q361" s="109"/>
      <c r="R361" s="109"/>
      <c r="S361" s="110" t="s">
        <v>625</v>
      </c>
      <c r="T361" s="135"/>
    </row>
    <row r="362" spans="1:20" x14ac:dyDescent="0.2">
      <c r="A362" s="5">
        <v>361</v>
      </c>
      <c r="B362" s="110">
        <v>1762</v>
      </c>
      <c r="C362" s="110" t="s">
        <v>626</v>
      </c>
      <c r="D362" s="110" t="s">
        <v>627</v>
      </c>
      <c r="E362" s="110"/>
      <c r="F362" s="110"/>
      <c r="G362" s="110" t="str">
        <f t="shared" si="5"/>
        <v>2</v>
      </c>
      <c r="H362" s="110"/>
      <c r="I362" s="110">
        <v>141.15384</v>
      </c>
      <c r="J362" s="110">
        <v>40.719624000000003</v>
      </c>
      <c r="K362" s="110"/>
      <c r="L362" s="110"/>
      <c r="M362" s="110"/>
      <c r="N362" s="110"/>
      <c r="O362" s="110"/>
      <c r="P362" s="109"/>
      <c r="Q362" s="109"/>
      <c r="R362" s="109"/>
      <c r="S362" s="110" t="s">
        <v>628</v>
      </c>
      <c r="T362" s="135"/>
    </row>
    <row r="363" spans="1:20" x14ac:dyDescent="0.2">
      <c r="A363" s="5">
        <v>362</v>
      </c>
      <c r="B363" s="110">
        <v>1742</v>
      </c>
      <c r="C363" s="110" t="s">
        <v>620</v>
      </c>
      <c r="D363" s="110" t="s">
        <v>621</v>
      </c>
      <c r="E363" s="110"/>
      <c r="F363" s="110"/>
      <c r="G363" s="110" t="str">
        <f t="shared" si="5"/>
        <v>2</v>
      </c>
      <c r="H363" s="110"/>
      <c r="I363" s="110">
        <v>141.15856500000001</v>
      </c>
      <c r="J363" s="110">
        <v>40.721417000000002</v>
      </c>
      <c r="K363" s="110"/>
      <c r="L363" s="110"/>
      <c r="M363" s="110"/>
      <c r="N363" s="110"/>
      <c r="O363" s="110"/>
      <c r="P363" s="109"/>
      <c r="Q363" s="109"/>
      <c r="R363" s="109"/>
      <c r="S363" s="110" t="s">
        <v>622</v>
      </c>
      <c r="T363" s="135"/>
    </row>
    <row r="364" spans="1:20" x14ac:dyDescent="0.2">
      <c r="A364" s="5">
        <v>363</v>
      </c>
      <c r="B364" s="110">
        <v>1732</v>
      </c>
      <c r="C364" s="110" t="s">
        <v>617</v>
      </c>
      <c r="D364" s="110" t="s">
        <v>618</v>
      </c>
      <c r="E364" s="110"/>
      <c r="F364" s="110"/>
      <c r="G364" s="110" t="str">
        <f t="shared" si="5"/>
        <v>2</v>
      </c>
      <c r="H364" s="110"/>
      <c r="I364" s="110">
        <v>141.16182599999999</v>
      </c>
      <c r="J364" s="110">
        <v>40.737135000000002</v>
      </c>
      <c r="K364" s="110"/>
      <c r="L364" s="110"/>
      <c r="M364" s="110"/>
      <c r="N364" s="110"/>
      <c r="O364" s="110"/>
      <c r="P364" s="109"/>
      <c r="Q364" s="109"/>
      <c r="R364" s="109"/>
      <c r="S364" s="110" t="s">
        <v>619</v>
      </c>
      <c r="T364" s="135"/>
    </row>
    <row r="365" spans="1:20" x14ac:dyDescent="0.2">
      <c r="A365" s="5">
        <v>364</v>
      </c>
      <c r="B365" s="110">
        <v>1722</v>
      </c>
      <c r="C365" s="110" t="s">
        <v>614</v>
      </c>
      <c r="D365" s="110" t="s">
        <v>615</v>
      </c>
      <c r="E365" s="110"/>
      <c r="F365" s="110"/>
      <c r="G365" s="110" t="str">
        <f t="shared" si="5"/>
        <v>2</v>
      </c>
      <c r="H365" s="110"/>
      <c r="I365" s="110">
        <v>141.15697399999999</v>
      </c>
      <c r="J365" s="110">
        <v>40.742158000000003</v>
      </c>
      <c r="K365" s="110"/>
      <c r="L365" s="110"/>
      <c r="M365" s="110"/>
      <c r="N365" s="110"/>
      <c r="O365" s="110"/>
      <c r="P365" s="109"/>
      <c r="Q365" s="109"/>
      <c r="R365" s="109"/>
      <c r="S365" s="110" t="s">
        <v>616</v>
      </c>
      <c r="T365" s="135"/>
    </row>
    <row r="366" spans="1:20" x14ac:dyDescent="0.2">
      <c r="A366" s="5">
        <v>365</v>
      </c>
      <c r="B366" s="110">
        <v>1712</v>
      </c>
      <c r="C366" s="110" t="s">
        <v>611</v>
      </c>
      <c r="D366" s="110" t="s">
        <v>612</v>
      </c>
      <c r="E366" s="110"/>
      <c r="F366" s="110"/>
      <c r="G366" s="110" t="str">
        <f t="shared" si="5"/>
        <v>2</v>
      </c>
      <c r="H366" s="110"/>
      <c r="I366" s="110">
        <v>141.155542</v>
      </c>
      <c r="J366" s="110">
        <v>40.744706000000001</v>
      </c>
      <c r="K366" s="110"/>
      <c r="L366" s="110"/>
      <c r="M366" s="110"/>
      <c r="N366" s="110"/>
      <c r="O366" s="110"/>
      <c r="P366" s="109"/>
      <c r="Q366" s="109"/>
      <c r="R366" s="109"/>
      <c r="S366" s="110" t="s">
        <v>613</v>
      </c>
      <c r="T366" s="135"/>
    </row>
    <row r="367" spans="1:20" x14ac:dyDescent="0.2">
      <c r="A367" s="5">
        <v>366</v>
      </c>
      <c r="B367" s="110">
        <v>1702</v>
      </c>
      <c r="C367" s="110" t="s">
        <v>608</v>
      </c>
      <c r="D367" s="110" t="s">
        <v>609</v>
      </c>
      <c r="E367" s="110"/>
      <c r="F367" s="110"/>
      <c r="G367" s="110" t="str">
        <f t="shared" si="5"/>
        <v>2</v>
      </c>
      <c r="H367" s="110"/>
      <c r="I367" s="110">
        <v>141.15194600000001</v>
      </c>
      <c r="J367" s="110">
        <v>40.751178000000003</v>
      </c>
      <c r="K367" s="110"/>
      <c r="L367" s="110"/>
      <c r="M367" s="110"/>
      <c r="N367" s="110"/>
      <c r="O367" s="110"/>
      <c r="P367" s="109"/>
      <c r="Q367" s="109"/>
      <c r="R367" s="109"/>
      <c r="S367" s="110" t="s">
        <v>610</v>
      </c>
      <c r="T367" s="135"/>
    </row>
    <row r="368" spans="1:20" x14ac:dyDescent="0.2">
      <c r="A368" s="5">
        <v>367</v>
      </c>
      <c r="B368" s="110">
        <v>1692</v>
      </c>
      <c r="C368" s="110" t="s">
        <v>605</v>
      </c>
      <c r="D368" s="110" t="s">
        <v>606</v>
      </c>
      <c r="E368" s="110"/>
      <c r="F368" s="110"/>
      <c r="G368" s="110" t="str">
        <f t="shared" si="5"/>
        <v>2</v>
      </c>
      <c r="H368" s="110"/>
      <c r="I368" s="110">
        <v>141.14984100000001</v>
      </c>
      <c r="J368" s="110">
        <v>40.755442000000002</v>
      </c>
      <c r="K368" s="110"/>
      <c r="L368" s="110"/>
      <c r="M368" s="110"/>
      <c r="N368" s="110"/>
      <c r="O368" s="110"/>
      <c r="P368" s="109"/>
      <c r="Q368" s="109"/>
      <c r="R368" s="109"/>
      <c r="S368" s="110" t="s">
        <v>607</v>
      </c>
      <c r="T368" s="135"/>
    </row>
    <row r="369" spans="1:20" x14ac:dyDescent="0.2">
      <c r="A369" s="5">
        <v>368</v>
      </c>
      <c r="B369" s="110">
        <v>1682</v>
      </c>
      <c r="C369" s="110" t="s">
        <v>602</v>
      </c>
      <c r="D369" s="110" t="s">
        <v>603</v>
      </c>
      <c r="E369" s="110"/>
      <c r="F369" s="110"/>
      <c r="G369" s="110" t="str">
        <f t="shared" si="5"/>
        <v>2</v>
      </c>
      <c r="H369" s="110"/>
      <c r="I369" s="110">
        <v>141.14507</v>
      </c>
      <c r="J369" s="110">
        <v>40.763469000000001</v>
      </c>
      <c r="K369" s="110"/>
      <c r="L369" s="110"/>
      <c r="M369" s="110"/>
      <c r="N369" s="110"/>
      <c r="O369" s="110"/>
      <c r="P369" s="109"/>
      <c r="Q369" s="109"/>
      <c r="R369" s="109"/>
      <c r="S369" s="110" t="s">
        <v>604</v>
      </c>
      <c r="T369" s="135"/>
    </row>
    <row r="370" spans="1:20" x14ac:dyDescent="0.2">
      <c r="A370" s="5">
        <v>369</v>
      </c>
      <c r="B370" s="110">
        <v>1672</v>
      </c>
      <c r="C370" s="110" t="s">
        <v>599</v>
      </c>
      <c r="D370" s="110" t="s">
        <v>600</v>
      </c>
      <c r="E370" s="110"/>
      <c r="F370" s="110"/>
      <c r="G370" s="110" t="str">
        <f t="shared" si="5"/>
        <v>2</v>
      </c>
      <c r="H370" s="110"/>
      <c r="I370" s="110">
        <v>141.14413099999999</v>
      </c>
      <c r="J370" s="110">
        <v>40.769838999999997</v>
      </c>
      <c r="K370" s="110"/>
      <c r="L370" s="110"/>
      <c r="M370" s="110"/>
      <c r="N370" s="110"/>
      <c r="O370" s="110"/>
      <c r="P370" s="109"/>
      <c r="Q370" s="109"/>
      <c r="R370" s="109"/>
      <c r="S370" s="110" t="s">
        <v>601</v>
      </c>
      <c r="T370" s="135"/>
    </row>
    <row r="371" spans="1:20" x14ac:dyDescent="0.2">
      <c r="A371" s="5">
        <v>370</v>
      </c>
      <c r="B371" s="110">
        <v>1662</v>
      </c>
      <c r="C371" s="110" t="s">
        <v>596</v>
      </c>
      <c r="D371" s="110" t="s">
        <v>597</v>
      </c>
      <c r="E371" s="110"/>
      <c r="F371" s="110"/>
      <c r="G371" s="110" t="str">
        <f t="shared" si="5"/>
        <v>2</v>
      </c>
      <c r="H371" s="110"/>
      <c r="I371" s="110">
        <v>141.14523199999999</v>
      </c>
      <c r="J371" s="110">
        <v>40.775598000000002</v>
      </c>
      <c r="K371" s="110"/>
      <c r="L371" s="110"/>
      <c r="M371" s="110"/>
      <c r="N371" s="110"/>
      <c r="O371" s="110"/>
      <c r="P371" s="109"/>
      <c r="Q371" s="109"/>
      <c r="R371" s="109"/>
      <c r="S371" s="110" t="s">
        <v>598</v>
      </c>
      <c r="T371" s="135"/>
    </row>
    <row r="372" spans="1:20" x14ac:dyDescent="0.2">
      <c r="A372" s="5">
        <v>371</v>
      </c>
      <c r="B372" s="110">
        <v>1652</v>
      </c>
      <c r="C372" s="110" t="s">
        <v>593</v>
      </c>
      <c r="D372" s="192" t="s">
        <v>594</v>
      </c>
      <c r="E372" s="110"/>
      <c r="F372" s="110"/>
      <c r="G372" s="110" t="str">
        <f t="shared" si="5"/>
        <v>2</v>
      </c>
      <c r="H372" s="110"/>
      <c r="I372" s="193">
        <v>141.147582</v>
      </c>
      <c r="J372" s="193">
        <v>40.791058</v>
      </c>
      <c r="K372" s="110"/>
      <c r="L372" s="110"/>
      <c r="M372" s="110"/>
      <c r="N372" s="110"/>
      <c r="O372" s="110"/>
      <c r="P372" s="109"/>
      <c r="Q372" s="109"/>
      <c r="R372" s="109"/>
      <c r="S372" s="110" t="s">
        <v>595</v>
      </c>
      <c r="T372" s="135"/>
    </row>
    <row r="373" spans="1:20" x14ac:dyDescent="0.2">
      <c r="A373" s="5">
        <v>372</v>
      </c>
      <c r="B373" s="110">
        <v>1642</v>
      </c>
      <c r="C373" s="110" t="s">
        <v>590</v>
      </c>
      <c r="D373" s="110" t="s">
        <v>591</v>
      </c>
      <c r="E373" s="110"/>
      <c r="F373" s="110"/>
      <c r="G373" s="110" t="str">
        <f t="shared" si="5"/>
        <v>2</v>
      </c>
      <c r="H373" s="110"/>
      <c r="I373" s="110">
        <v>141.14755099999999</v>
      </c>
      <c r="J373" s="110">
        <v>40.798734000000003</v>
      </c>
      <c r="K373" s="110"/>
      <c r="L373" s="110"/>
      <c r="M373" s="110"/>
      <c r="N373" s="110"/>
      <c r="O373" s="110"/>
      <c r="P373" s="109"/>
      <c r="Q373" s="109"/>
      <c r="R373" s="109"/>
      <c r="S373" s="110" t="s">
        <v>592</v>
      </c>
      <c r="T373" s="135"/>
    </row>
    <row r="374" spans="1:20" x14ac:dyDescent="0.2">
      <c r="A374" s="5">
        <v>373</v>
      </c>
      <c r="B374" s="110">
        <v>1632</v>
      </c>
      <c r="C374" s="110" t="s">
        <v>587</v>
      </c>
      <c r="D374" s="110" t="s">
        <v>588</v>
      </c>
      <c r="E374" s="110"/>
      <c r="F374" s="110"/>
      <c r="G374" s="110" t="str">
        <f t="shared" si="5"/>
        <v>2</v>
      </c>
      <c r="H374" s="110"/>
      <c r="I374" s="110">
        <v>141.13560899999999</v>
      </c>
      <c r="J374" s="110">
        <v>40.804718000000001</v>
      </c>
      <c r="K374" s="110"/>
      <c r="L374" s="110"/>
      <c r="M374" s="110"/>
      <c r="N374" s="110"/>
      <c r="O374" s="110"/>
      <c r="P374" s="109"/>
      <c r="Q374" s="109"/>
      <c r="R374" s="109"/>
      <c r="S374" s="110" t="s">
        <v>589</v>
      </c>
      <c r="T374" s="135"/>
    </row>
    <row r="375" spans="1:20" x14ac:dyDescent="0.2">
      <c r="A375" s="5">
        <v>374</v>
      </c>
      <c r="B375" s="110">
        <v>1622</v>
      </c>
      <c r="C375" s="110" t="s">
        <v>584</v>
      </c>
      <c r="D375" s="192" t="s">
        <v>585</v>
      </c>
      <c r="E375" s="110"/>
      <c r="F375" s="110"/>
      <c r="G375" s="110" t="str">
        <f t="shared" si="5"/>
        <v>2</v>
      </c>
      <c r="H375" s="110"/>
      <c r="I375" s="110">
        <v>141.12964700000001</v>
      </c>
      <c r="J375" s="110">
        <v>40.809750000000001</v>
      </c>
      <c r="K375" s="110"/>
      <c r="L375" s="110"/>
      <c r="M375" s="110"/>
      <c r="N375" s="110"/>
      <c r="O375" s="110"/>
      <c r="P375" s="109"/>
      <c r="Q375" s="109"/>
      <c r="R375" s="109"/>
      <c r="S375" s="110" t="s">
        <v>586</v>
      </c>
      <c r="T375" s="135"/>
    </row>
    <row r="376" spans="1:20" x14ac:dyDescent="0.2">
      <c r="A376" s="5">
        <v>375</v>
      </c>
      <c r="B376" s="110">
        <v>1602</v>
      </c>
      <c r="C376" s="110" t="s">
        <v>578</v>
      </c>
      <c r="D376" s="110" t="s">
        <v>579</v>
      </c>
      <c r="E376" s="110"/>
      <c r="F376" s="110"/>
      <c r="G376" s="110" t="str">
        <f t="shared" si="5"/>
        <v>2</v>
      </c>
      <c r="H376" s="110"/>
      <c r="I376" s="110">
        <v>141.128322</v>
      </c>
      <c r="J376" s="110">
        <v>40.830744000000003</v>
      </c>
      <c r="K376" s="110"/>
      <c r="L376" s="110"/>
      <c r="M376" s="110"/>
      <c r="N376" s="110"/>
      <c r="O376" s="110"/>
      <c r="P376" s="109"/>
      <c r="Q376" s="109"/>
      <c r="R376" s="109"/>
      <c r="S376" s="110" t="s">
        <v>580</v>
      </c>
      <c r="T376" s="135"/>
    </row>
    <row r="377" spans="1:20" x14ac:dyDescent="0.2">
      <c r="A377" s="5">
        <v>376</v>
      </c>
      <c r="B377" s="110">
        <v>1592</v>
      </c>
      <c r="C377" s="110" t="s">
        <v>575</v>
      </c>
      <c r="D377" s="110" t="s">
        <v>576</v>
      </c>
      <c r="E377" s="110"/>
      <c r="F377" s="110"/>
      <c r="G377" s="110" t="str">
        <f t="shared" si="5"/>
        <v>2</v>
      </c>
      <c r="H377" s="110"/>
      <c r="I377" s="110">
        <v>141.127702</v>
      </c>
      <c r="J377" s="110">
        <v>40.838189999999997</v>
      </c>
      <c r="K377" s="110"/>
      <c r="L377" s="110"/>
      <c r="M377" s="110"/>
      <c r="N377" s="110"/>
      <c r="O377" s="110"/>
      <c r="P377" s="109"/>
      <c r="Q377" s="109"/>
      <c r="R377" s="109"/>
      <c r="S377" s="110" t="s">
        <v>577</v>
      </c>
      <c r="T377" s="135"/>
    </row>
    <row r="378" spans="1:20" x14ac:dyDescent="0.2">
      <c r="A378" s="5">
        <v>377</v>
      </c>
      <c r="B378" s="110">
        <v>1582</v>
      </c>
      <c r="C378" s="110" t="s">
        <v>572</v>
      </c>
      <c r="D378" s="110" t="s">
        <v>573</v>
      </c>
      <c r="E378" s="110"/>
      <c r="F378" s="110"/>
      <c r="G378" s="110" t="str">
        <f t="shared" si="5"/>
        <v>2</v>
      </c>
      <c r="H378" s="110"/>
      <c r="I378" s="110">
        <v>141.125641</v>
      </c>
      <c r="J378" s="110">
        <v>40.847836999999998</v>
      </c>
      <c r="K378" s="110"/>
      <c r="L378" s="110"/>
      <c r="M378" s="110"/>
      <c r="N378" s="110"/>
      <c r="O378" s="110"/>
      <c r="P378" s="109"/>
      <c r="Q378" s="109"/>
      <c r="R378" s="109"/>
      <c r="S378" s="110" t="s">
        <v>574</v>
      </c>
      <c r="T378" s="135"/>
    </row>
    <row r="379" spans="1:20" x14ac:dyDescent="0.2">
      <c r="A379" s="5">
        <v>378</v>
      </c>
      <c r="B379" s="110">
        <v>1572</v>
      </c>
      <c r="C379" s="110" t="s">
        <v>569</v>
      </c>
      <c r="D379" s="192" t="s">
        <v>570</v>
      </c>
      <c r="E379" s="110"/>
      <c r="F379" s="110"/>
      <c r="G379" s="110" t="str">
        <f t="shared" si="5"/>
        <v>2</v>
      </c>
      <c r="H379" s="110"/>
      <c r="I379" s="110">
        <v>141.125033</v>
      </c>
      <c r="J379" s="110">
        <v>40.853914000000003</v>
      </c>
      <c r="K379" s="110"/>
      <c r="L379" s="110"/>
      <c r="M379" s="110"/>
      <c r="N379" s="110"/>
      <c r="O379" s="110"/>
      <c r="P379" s="109"/>
      <c r="Q379" s="109"/>
      <c r="R379" s="109"/>
      <c r="S379" s="110" t="s">
        <v>571</v>
      </c>
      <c r="T379" s="135"/>
    </row>
    <row r="380" spans="1:20" x14ac:dyDescent="0.2">
      <c r="A380" s="5">
        <v>379</v>
      </c>
      <c r="B380" s="110">
        <v>1552</v>
      </c>
      <c r="C380" s="110" t="s">
        <v>563</v>
      </c>
      <c r="D380" s="110" t="s">
        <v>564</v>
      </c>
      <c r="E380" s="110"/>
      <c r="F380" s="110"/>
      <c r="G380" s="110" t="str">
        <f t="shared" si="5"/>
        <v>2</v>
      </c>
      <c r="H380" s="110"/>
      <c r="I380" s="110">
        <v>141.12571</v>
      </c>
      <c r="J380" s="110">
        <v>40.856704999999998</v>
      </c>
      <c r="K380" s="110"/>
      <c r="L380" s="110"/>
      <c r="M380" s="110"/>
      <c r="N380" s="110"/>
      <c r="O380" s="110"/>
      <c r="P380" s="109"/>
      <c r="Q380" s="109"/>
      <c r="R380" s="109"/>
      <c r="S380" s="110" t="s">
        <v>565</v>
      </c>
      <c r="T380" s="135"/>
    </row>
    <row r="381" spans="1:20" x14ac:dyDescent="0.2">
      <c r="A381" s="5">
        <v>380</v>
      </c>
      <c r="B381" s="110">
        <v>1542</v>
      </c>
      <c r="C381" s="110" t="s">
        <v>560</v>
      </c>
      <c r="D381" s="110" t="s">
        <v>561</v>
      </c>
      <c r="E381" s="110"/>
      <c r="F381" s="110"/>
      <c r="G381" s="110" t="str">
        <f t="shared" si="5"/>
        <v>2</v>
      </c>
      <c r="H381" s="110"/>
      <c r="I381" s="110">
        <v>141.12713199999999</v>
      </c>
      <c r="J381" s="110">
        <v>40.862417000000001</v>
      </c>
      <c r="K381" s="110"/>
      <c r="L381" s="110"/>
      <c r="M381" s="110"/>
      <c r="N381" s="110"/>
      <c r="O381" s="110"/>
      <c r="P381" s="109"/>
      <c r="Q381" s="109"/>
      <c r="R381" s="109"/>
      <c r="S381" s="110" t="s">
        <v>562</v>
      </c>
      <c r="T381" s="135"/>
    </row>
    <row r="382" spans="1:20" x14ac:dyDescent="0.2">
      <c r="A382" s="5">
        <v>381</v>
      </c>
      <c r="B382" s="110">
        <v>1532</v>
      </c>
      <c r="C382" s="110" t="s">
        <v>557</v>
      </c>
      <c r="D382" s="110" t="s">
        <v>558</v>
      </c>
      <c r="E382" s="110"/>
      <c r="F382" s="110"/>
      <c r="G382" s="110" t="str">
        <f t="shared" si="5"/>
        <v>2</v>
      </c>
      <c r="H382" s="110"/>
      <c r="I382" s="110">
        <v>141.12771499999999</v>
      </c>
      <c r="J382" s="110">
        <v>40.865144999999998</v>
      </c>
      <c r="K382" s="110"/>
      <c r="L382" s="110"/>
      <c r="M382" s="110"/>
      <c r="N382" s="110"/>
      <c r="O382" s="110"/>
      <c r="P382" s="109"/>
      <c r="Q382" s="109"/>
      <c r="R382" s="109"/>
      <c r="S382" s="110" t="s">
        <v>559</v>
      </c>
      <c r="T382" s="135"/>
    </row>
    <row r="383" spans="1:20" x14ac:dyDescent="0.2">
      <c r="A383" s="5">
        <v>382</v>
      </c>
      <c r="B383" s="110">
        <v>1522</v>
      </c>
      <c r="C383" s="110" t="s">
        <v>554</v>
      </c>
      <c r="D383" s="110" t="s">
        <v>555</v>
      </c>
      <c r="E383" s="110"/>
      <c r="F383" s="110"/>
      <c r="G383" s="110" t="str">
        <f t="shared" si="5"/>
        <v>2</v>
      </c>
      <c r="H383" s="110"/>
      <c r="I383" s="110">
        <v>141.12705399999999</v>
      </c>
      <c r="J383" s="110">
        <v>40.866802</v>
      </c>
      <c r="K383" s="110"/>
      <c r="L383" s="110"/>
      <c r="M383" s="110"/>
      <c r="N383" s="110"/>
      <c r="O383" s="110"/>
      <c r="P383" s="109"/>
      <c r="Q383" s="109"/>
      <c r="R383" s="109"/>
      <c r="S383" s="110" t="s">
        <v>556</v>
      </c>
      <c r="T383" s="135"/>
    </row>
    <row r="384" spans="1:20" x14ac:dyDescent="0.2">
      <c r="A384" s="5">
        <v>383</v>
      </c>
      <c r="B384" s="110">
        <v>1512</v>
      </c>
      <c r="C384" s="110" t="s">
        <v>551</v>
      </c>
      <c r="D384" s="110" t="s">
        <v>552</v>
      </c>
      <c r="E384" s="110"/>
      <c r="F384" s="110"/>
      <c r="G384" s="110" t="str">
        <f t="shared" si="5"/>
        <v>2</v>
      </c>
      <c r="H384" s="110"/>
      <c r="I384" s="110">
        <v>141.124898</v>
      </c>
      <c r="J384" s="110">
        <v>40.867117999999998</v>
      </c>
      <c r="K384" s="110"/>
      <c r="L384" s="110"/>
      <c r="M384" s="110"/>
      <c r="N384" s="110"/>
      <c r="O384" s="110"/>
      <c r="P384" s="109"/>
      <c r="Q384" s="109"/>
      <c r="R384" s="109"/>
      <c r="S384" s="110" t="s">
        <v>553</v>
      </c>
      <c r="T384" s="135"/>
    </row>
    <row r="385" spans="1:20" x14ac:dyDescent="0.2">
      <c r="A385" s="5">
        <v>384</v>
      </c>
      <c r="B385" s="110">
        <v>1502</v>
      </c>
      <c r="C385" s="110" t="s">
        <v>548</v>
      </c>
      <c r="D385" s="110" t="s">
        <v>794</v>
      </c>
      <c r="E385" s="110"/>
      <c r="F385" s="110"/>
      <c r="G385" s="110" t="str">
        <f t="shared" si="5"/>
        <v>2</v>
      </c>
      <c r="H385" s="110"/>
      <c r="I385" s="110">
        <v>141.12054699999999</v>
      </c>
      <c r="J385" s="110">
        <v>40.868592</v>
      </c>
      <c r="K385" s="110"/>
      <c r="L385" s="110"/>
      <c r="M385" s="110"/>
      <c r="N385" s="110"/>
      <c r="O385" s="110"/>
      <c r="P385" s="109"/>
      <c r="Q385" s="109"/>
      <c r="R385" s="109"/>
      <c r="S385" s="110" t="s">
        <v>550</v>
      </c>
      <c r="T385" s="135"/>
    </row>
    <row r="386" spans="1:20" x14ac:dyDescent="0.2">
      <c r="A386" s="5">
        <v>385</v>
      </c>
      <c r="B386" s="110">
        <v>1492</v>
      </c>
      <c r="C386" s="110" t="s">
        <v>545</v>
      </c>
      <c r="D386" s="110" t="s">
        <v>546</v>
      </c>
      <c r="E386" s="110"/>
      <c r="F386" s="110"/>
      <c r="G386" s="110" t="str">
        <f t="shared" si="5"/>
        <v>2</v>
      </c>
      <c r="H386" s="110"/>
      <c r="I386" s="110">
        <v>141.116083</v>
      </c>
      <c r="J386" s="110">
        <v>40.869227000000002</v>
      </c>
      <c r="K386" s="110"/>
      <c r="L386" s="110"/>
      <c r="M386" s="110"/>
      <c r="N386" s="110"/>
      <c r="O386" s="110"/>
      <c r="P386" s="109"/>
      <c r="Q386" s="109"/>
      <c r="R386" s="109"/>
      <c r="S386" s="110" t="s">
        <v>547</v>
      </c>
      <c r="T386" s="135"/>
    </row>
    <row r="387" spans="1:20" x14ac:dyDescent="0.2">
      <c r="A387" s="5">
        <v>386</v>
      </c>
      <c r="B387" s="110">
        <v>1472</v>
      </c>
      <c r="C387" s="110" t="s">
        <v>539</v>
      </c>
      <c r="D387" s="110" t="s">
        <v>540</v>
      </c>
      <c r="E387" s="110"/>
      <c r="F387" s="110"/>
      <c r="G387" s="110" t="str">
        <f t="shared" si="5"/>
        <v>2</v>
      </c>
      <c r="H387" s="110"/>
      <c r="I387" s="110">
        <v>141.10895400000001</v>
      </c>
      <c r="J387" s="110">
        <v>40.871223999999998</v>
      </c>
      <c r="K387" s="110"/>
      <c r="L387" s="110"/>
      <c r="M387" s="110"/>
      <c r="N387" s="110"/>
      <c r="O387" s="110"/>
      <c r="P387" s="109"/>
      <c r="Q387" s="109"/>
      <c r="R387" s="109"/>
      <c r="S387" s="110" t="s">
        <v>541</v>
      </c>
      <c r="T387" s="135"/>
    </row>
    <row r="388" spans="1:20" x14ac:dyDescent="0.2">
      <c r="A388" s="5">
        <v>387</v>
      </c>
      <c r="B388" s="110">
        <v>1462</v>
      </c>
      <c r="C388" s="110" t="s">
        <v>536</v>
      </c>
      <c r="D388" s="110" t="s">
        <v>537</v>
      </c>
      <c r="E388" s="110"/>
      <c r="F388" s="110"/>
      <c r="G388" s="110" t="str">
        <f t="shared" ref="G388:G451" si="6">RIGHT(B388,1)</f>
        <v>2</v>
      </c>
      <c r="H388" s="110"/>
      <c r="I388" s="110">
        <v>141.102327</v>
      </c>
      <c r="J388" s="110">
        <v>40.872359000000003</v>
      </c>
      <c r="K388" s="110"/>
      <c r="L388" s="110"/>
      <c r="M388" s="110"/>
      <c r="N388" s="110"/>
      <c r="O388" s="110"/>
      <c r="P388" s="109"/>
      <c r="Q388" s="109"/>
      <c r="R388" s="109"/>
      <c r="S388" s="110" t="s">
        <v>538</v>
      </c>
      <c r="T388" s="135"/>
    </row>
    <row r="389" spans="1:20" x14ac:dyDescent="0.2">
      <c r="A389" s="5">
        <v>388</v>
      </c>
      <c r="B389" s="110">
        <v>1442</v>
      </c>
      <c r="C389" s="110" t="s">
        <v>531</v>
      </c>
      <c r="D389" s="110" t="s">
        <v>532</v>
      </c>
      <c r="E389" s="110"/>
      <c r="F389" s="110"/>
      <c r="G389" s="110" t="str">
        <f t="shared" si="6"/>
        <v>2</v>
      </c>
      <c r="H389" s="110"/>
      <c r="I389" s="110">
        <v>141.096844</v>
      </c>
      <c r="J389" s="110">
        <v>40.875307999999997</v>
      </c>
      <c r="K389" s="110"/>
      <c r="L389" s="110"/>
      <c r="M389" s="110"/>
      <c r="N389" s="110"/>
      <c r="O389" s="110"/>
      <c r="P389" s="109"/>
      <c r="Q389" s="109"/>
      <c r="R389" s="109"/>
      <c r="S389" s="110" t="s">
        <v>533</v>
      </c>
      <c r="T389" s="135"/>
    </row>
    <row r="390" spans="1:20" x14ac:dyDescent="0.2">
      <c r="A390" s="5">
        <v>389</v>
      </c>
      <c r="B390" s="110">
        <v>1432</v>
      </c>
      <c r="C390" s="110" t="s">
        <v>528</v>
      </c>
      <c r="D390" s="110" t="s">
        <v>529</v>
      </c>
      <c r="E390" s="110"/>
      <c r="F390" s="110"/>
      <c r="G390" s="110" t="str">
        <f t="shared" si="6"/>
        <v>2</v>
      </c>
      <c r="H390" s="110"/>
      <c r="I390" s="110">
        <v>141.09236200000001</v>
      </c>
      <c r="J390" s="110">
        <v>40.878647000000001</v>
      </c>
      <c r="K390" s="110"/>
      <c r="L390" s="110"/>
      <c r="M390" s="110"/>
      <c r="N390" s="110"/>
      <c r="O390" s="110"/>
      <c r="P390" s="109"/>
      <c r="Q390" s="109"/>
      <c r="R390" s="109"/>
      <c r="S390" s="110" t="s">
        <v>530</v>
      </c>
      <c r="T390" s="135"/>
    </row>
    <row r="391" spans="1:20" x14ac:dyDescent="0.2">
      <c r="A391" s="5">
        <v>390</v>
      </c>
      <c r="B391" s="110">
        <v>1422</v>
      </c>
      <c r="C391" s="110" t="s">
        <v>525</v>
      </c>
      <c r="D391" s="110" t="s">
        <v>526</v>
      </c>
      <c r="E391" s="110"/>
      <c r="F391" s="110"/>
      <c r="G391" s="110" t="str">
        <f t="shared" si="6"/>
        <v>2</v>
      </c>
      <c r="H391" s="110"/>
      <c r="I391" s="110">
        <v>141.09023500000001</v>
      </c>
      <c r="J391" s="110">
        <v>40.879772000000003</v>
      </c>
      <c r="K391" s="110"/>
      <c r="L391" s="110"/>
      <c r="M391" s="110"/>
      <c r="N391" s="110"/>
      <c r="O391" s="110"/>
      <c r="P391" s="109"/>
      <c r="Q391" s="109"/>
      <c r="R391" s="109"/>
      <c r="S391" s="110" t="s">
        <v>527</v>
      </c>
      <c r="T391" s="135"/>
    </row>
    <row r="392" spans="1:20" x14ac:dyDescent="0.2">
      <c r="A392" s="5">
        <v>391</v>
      </c>
      <c r="B392" s="110">
        <v>1412</v>
      </c>
      <c r="C392" s="110" t="s">
        <v>522</v>
      </c>
      <c r="D392" s="110" t="s">
        <v>523</v>
      </c>
      <c r="E392" s="110"/>
      <c r="F392" s="110"/>
      <c r="G392" s="110" t="str">
        <f t="shared" si="6"/>
        <v>2</v>
      </c>
      <c r="H392" s="110"/>
      <c r="I392" s="110">
        <v>141.09113400000001</v>
      </c>
      <c r="J392" s="110">
        <v>40.878154000000002</v>
      </c>
      <c r="K392" s="110"/>
      <c r="L392" s="110"/>
      <c r="M392" s="110"/>
      <c r="N392" s="110"/>
      <c r="O392" s="110"/>
      <c r="P392" s="109"/>
      <c r="Q392" s="109"/>
      <c r="R392" s="109"/>
      <c r="S392" s="110" t="s">
        <v>524</v>
      </c>
      <c r="T392" s="135"/>
    </row>
    <row r="393" spans="1:20" x14ac:dyDescent="0.2">
      <c r="A393" s="5">
        <v>392</v>
      </c>
      <c r="B393" s="110">
        <v>1402</v>
      </c>
      <c r="C393" s="110" t="s">
        <v>519</v>
      </c>
      <c r="D393" s="110" t="s">
        <v>520</v>
      </c>
      <c r="E393" s="110"/>
      <c r="F393" s="110"/>
      <c r="G393" s="110" t="str">
        <f t="shared" si="6"/>
        <v>2</v>
      </c>
      <c r="H393" s="110"/>
      <c r="I393" s="110">
        <v>141.088097</v>
      </c>
      <c r="J393" s="110">
        <v>40.877052999999997</v>
      </c>
      <c r="K393" s="110"/>
      <c r="L393" s="110"/>
      <c r="M393" s="110"/>
      <c r="N393" s="110"/>
      <c r="O393" s="110"/>
      <c r="P393" s="109"/>
      <c r="Q393" s="109"/>
      <c r="R393" s="109"/>
      <c r="S393" s="110" t="s">
        <v>521</v>
      </c>
      <c r="T393" s="135"/>
    </row>
    <row r="394" spans="1:20" x14ac:dyDescent="0.2">
      <c r="A394" s="5">
        <v>393</v>
      </c>
      <c r="B394" s="110">
        <v>1392</v>
      </c>
      <c r="C394" s="110" t="s">
        <v>516</v>
      </c>
      <c r="D394" s="110" t="s">
        <v>517</v>
      </c>
      <c r="E394" s="110"/>
      <c r="F394" s="110"/>
      <c r="G394" s="110" t="str">
        <f t="shared" si="6"/>
        <v>2</v>
      </c>
      <c r="H394" s="110"/>
      <c r="I394" s="110">
        <v>141.07091700000001</v>
      </c>
      <c r="J394" s="110">
        <v>40.875613999999999</v>
      </c>
      <c r="K394" s="110"/>
      <c r="L394" s="110"/>
      <c r="M394" s="110"/>
      <c r="N394" s="110"/>
      <c r="O394" s="110"/>
      <c r="P394" s="109"/>
      <c r="Q394" s="109"/>
      <c r="R394" s="109"/>
      <c r="S394" s="110" t="s">
        <v>518</v>
      </c>
      <c r="T394" s="135"/>
    </row>
    <row r="395" spans="1:20" x14ac:dyDescent="0.2">
      <c r="A395" s="5">
        <v>394</v>
      </c>
      <c r="B395" s="110">
        <v>1914</v>
      </c>
      <c r="C395" s="110" t="s">
        <v>671</v>
      </c>
      <c r="D395" s="110" t="s">
        <v>672</v>
      </c>
      <c r="E395" s="110"/>
      <c r="F395" s="110"/>
      <c r="G395" s="110" t="str">
        <f t="shared" si="6"/>
        <v>4</v>
      </c>
      <c r="H395" s="110"/>
      <c r="I395" s="110">
        <v>141.19318699999999</v>
      </c>
      <c r="J395" s="110">
        <v>40.659159000000002</v>
      </c>
      <c r="K395" s="110"/>
      <c r="L395" s="110"/>
      <c r="M395" s="110"/>
      <c r="N395" s="110"/>
      <c r="O395" s="110"/>
      <c r="P395" s="109"/>
      <c r="Q395" s="109"/>
      <c r="R395" s="109"/>
      <c r="S395" s="110" t="s">
        <v>673</v>
      </c>
      <c r="T395" s="135"/>
    </row>
    <row r="396" spans="1:20" x14ac:dyDescent="0.2">
      <c r="A396" s="5">
        <v>395</v>
      </c>
      <c r="B396" s="110">
        <v>2112</v>
      </c>
      <c r="C396" s="110" t="s">
        <v>730</v>
      </c>
      <c r="D396" s="110" t="s">
        <v>731</v>
      </c>
      <c r="E396" s="110"/>
      <c r="F396" s="110"/>
      <c r="G396" s="110" t="str">
        <f t="shared" si="6"/>
        <v>2</v>
      </c>
      <c r="H396" s="110"/>
      <c r="I396" s="110">
        <v>141.19667699999999</v>
      </c>
      <c r="J396" s="110">
        <v>40.660758999999999</v>
      </c>
      <c r="K396" s="110"/>
      <c r="L396" s="110"/>
      <c r="M396" s="110"/>
      <c r="N396" s="110"/>
      <c r="O396" s="110"/>
      <c r="P396" s="109"/>
      <c r="Q396" s="109"/>
      <c r="R396" s="109"/>
      <c r="S396" s="110" t="s">
        <v>732</v>
      </c>
      <c r="T396" s="135"/>
    </row>
    <row r="397" spans="1:20" x14ac:dyDescent="0.2">
      <c r="A397" s="5">
        <v>396</v>
      </c>
      <c r="B397" s="110">
        <v>2102</v>
      </c>
      <c r="C397" s="110" t="s">
        <v>727</v>
      </c>
      <c r="D397" s="110" t="s">
        <v>728</v>
      </c>
      <c r="E397" s="110"/>
      <c r="F397" s="110"/>
      <c r="G397" s="110" t="str">
        <f t="shared" si="6"/>
        <v>2</v>
      </c>
      <c r="H397" s="110"/>
      <c r="I397" s="110">
        <v>141.19894199999999</v>
      </c>
      <c r="J397" s="110">
        <v>40.662869999999998</v>
      </c>
      <c r="K397" s="110"/>
      <c r="L397" s="110"/>
      <c r="M397" s="110"/>
      <c r="N397" s="110"/>
      <c r="O397" s="110"/>
      <c r="P397" s="109"/>
      <c r="Q397" s="109"/>
      <c r="R397" s="109"/>
      <c r="S397" s="110" t="s">
        <v>729</v>
      </c>
      <c r="T397" s="135"/>
    </row>
    <row r="398" spans="1:20" x14ac:dyDescent="0.2">
      <c r="A398" s="5">
        <v>397</v>
      </c>
      <c r="B398" s="110">
        <v>2092</v>
      </c>
      <c r="C398" s="110" t="s">
        <v>724</v>
      </c>
      <c r="D398" s="110" t="s">
        <v>725</v>
      </c>
      <c r="E398" s="110"/>
      <c r="F398" s="110"/>
      <c r="G398" s="110" t="str">
        <f t="shared" si="6"/>
        <v>2</v>
      </c>
      <c r="H398" s="110"/>
      <c r="I398" s="110">
        <v>141.207278</v>
      </c>
      <c r="J398" s="110">
        <v>40.667321000000001</v>
      </c>
      <c r="K398" s="110"/>
      <c r="L398" s="110"/>
      <c r="M398" s="110"/>
      <c r="N398" s="110"/>
      <c r="O398" s="110"/>
      <c r="P398" s="109"/>
      <c r="Q398" s="109"/>
      <c r="R398" s="109"/>
      <c r="S398" s="110" t="s">
        <v>726</v>
      </c>
      <c r="T398" s="135"/>
    </row>
    <row r="399" spans="1:20" x14ac:dyDescent="0.2">
      <c r="A399" s="5">
        <v>398</v>
      </c>
      <c r="B399" s="110">
        <v>2082</v>
      </c>
      <c r="C399" s="110" t="s">
        <v>721</v>
      </c>
      <c r="D399" s="110" t="s">
        <v>722</v>
      </c>
      <c r="E399" s="110"/>
      <c r="F399" s="110"/>
      <c r="G399" s="110" t="str">
        <f t="shared" si="6"/>
        <v>2</v>
      </c>
      <c r="H399" s="110"/>
      <c r="I399" s="110">
        <v>141.206031</v>
      </c>
      <c r="J399" s="110">
        <v>40.67201</v>
      </c>
      <c r="K399" s="110"/>
      <c r="L399" s="110"/>
      <c r="M399" s="110"/>
      <c r="N399" s="110"/>
      <c r="O399" s="110"/>
      <c r="P399" s="109"/>
      <c r="Q399" s="109"/>
      <c r="R399" s="109"/>
      <c r="S399" s="110" t="s">
        <v>723</v>
      </c>
      <c r="T399" s="135"/>
    </row>
    <row r="400" spans="1:20" x14ac:dyDescent="0.2">
      <c r="A400" s="5">
        <v>399</v>
      </c>
      <c r="B400" s="110">
        <v>2072</v>
      </c>
      <c r="C400" s="110" t="s">
        <v>718</v>
      </c>
      <c r="D400" s="110" t="s">
        <v>719</v>
      </c>
      <c r="E400" s="110"/>
      <c r="F400" s="110"/>
      <c r="G400" s="110" t="str">
        <f t="shared" si="6"/>
        <v>2</v>
      </c>
      <c r="H400" s="110"/>
      <c r="I400" s="110">
        <v>141.19493299999999</v>
      </c>
      <c r="J400" s="110">
        <v>40.678919</v>
      </c>
      <c r="K400" s="110"/>
      <c r="L400" s="110"/>
      <c r="M400" s="110"/>
      <c r="N400" s="110"/>
      <c r="O400" s="110"/>
      <c r="P400" s="109"/>
      <c r="Q400" s="109"/>
      <c r="R400" s="109"/>
      <c r="S400" s="110" t="s">
        <v>720</v>
      </c>
      <c r="T400" s="135"/>
    </row>
    <row r="401" spans="1:20" x14ac:dyDescent="0.2">
      <c r="A401" s="5">
        <v>400</v>
      </c>
      <c r="B401" s="110">
        <v>2062</v>
      </c>
      <c r="C401" s="110" t="s">
        <v>715</v>
      </c>
      <c r="D401" s="110" t="s">
        <v>716</v>
      </c>
      <c r="E401" s="110"/>
      <c r="F401" s="110"/>
      <c r="G401" s="110" t="str">
        <f t="shared" si="6"/>
        <v>2</v>
      </c>
      <c r="H401" s="110"/>
      <c r="I401" s="110">
        <v>141.189764</v>
      </c>
      <c r="J401" s="110">
        <v>40.676867000000001</v>
      </c>
      <c r="K401" s="110"/>
      <c r="L401" s="110"/>
      <c r="M401" s="110"/>
      <c r="N401" s="110"/>
      <c r="O401" s="110"/>
      <c r="P401" s="109"/>
      <c r="Q401" s="109"/>
      <c r="R401" s="109"/>
      <c r="S401" s="110" t="s">
        <v>717</v>
      </c>
      <c r="T401" s="135"/>
    </row>
    <row r="402" spans="1:20" x14ac:dyDescent="0.2">
      <c r="A402" s="5">
        <v>401</v>
      </c>
      <c r="B402" s="110">
        <v>2052</v>
      </c>
      <c r="C402" s="110" t="s">
        <v>712</v>
      </c>
      <c r="D402" s="110" t="s">
        <v>713</v>
      </c>
      <c r="E402" s="110"/>
      <c r="F402" s="110"/>
      <c r="G402" s="110" t="str">
        <f t="shared" si="6"/>
        <v>2</v>
      </c>
      <c r="H402" s="110"/>
      <c r="I402" s="110">
        <v>141.18235300000001</v>
      </c>
      <c r="J402" s="110">
        <v>40.673271999999997</v>
      </c>
      <c r="K402" s="110"/>
      <c r="L402" s="110"/>
      <c r="M402" s="110"/>
      <c r="N402" s="110"/>
      <c r="O402" s="110"/>
      <c r="P402" s="109"/>
      <c r="Q402" s="109"/>
      <c r="R402" s="109"/>
      <c r="S402" s="110" t="s">
        <v>714</v>
      </c>
      <c r="T402" s="135"/>
    </row>
    <row r="403" spans="1:20" x14ac:dyDescent="0.2">
      <c r="A403" s="5">
        <v>402</v>
      </c>
      <c r="B403" s="110">
        <v>2302</v>
      </c>
      <c r="C403" s="110" t="s">
        <v>786</v>
      </c>
      <c r="D403" s="110" t="s">
        <v>787</v>
      </c>
      <c r="E403" s="110"/>
      <c r="F403" s="110"/>
      <c r="G403" s="110" t="str">
        <f t="shared" si="6"/>
        <v>2</v>
      </c>
      <c r="H403" s="110"/>
      <c r="I403" s="110">
        <v>141.16055</v>
      </c>
      <c r="J403" s="110">
        <v>40.692247000000002</v>
      </c>
      <c r="K403" s="110"/>
      <c r="L403" s="110"/>
      <c r="M403" s="110"/>
      <c r="N403" s="110"/>
      <c r="O403" s="110"/>
      <c r="P403" s="109"/>
      <c r="Q403" s="109"/>
      <c r="R403" s="109"/>
      <c r="S403" s="110" t="s">
        <v>788</v>
      </c>
      <c r="T403" s="135"/>
    </row>
    <row r="404" spans="1:20" x14ac:dyDescent="0.2">
      <c r="A404" s="5">
        <v>403</v>
      </c>
      <c r="B404" s="110">
        <v>2292</v>
      </c>
      <c r="C404" s="110" t="s">
        <v>783</v>
      </c>
      <c r="D404" s="110" t="s">
        <v>784</v>
      </c>
      <c r="E404" s="110"/>
      <c r="F404" s="110"/>
      <c r="G404" s="110" t="str">
        <f t="shared" si="6"/>
        <v>2</v>
      </c>
      <c r="H404" s="110"/>
      <c r="I404" s="110">
        <v>140.85742400000001</v>
      </c>
      <c r="J404" s="110">
        <v>40.826095000000002</v>
      </c>
      <c r="K404" s="110"/>
      <c r="L404" s="110"/>
      <c r="M404" s="110"/>
      <c r="N404" s="110"/>
      <c r="O404" s="110"/>
      <c r="P404" s="109"/>
      <c r="Q404" s="109"/>
      <c r="R404" s="109"/>
      <c r="S404" s="110" t="s">
        <v>785</v>
      </c>
      <c r="T404" s="135"/>
    </row>
    <row r="405" spans="1:20" x14ac:dyDescent="0.2">
      <c r="A405" s="5">
        <v>404</v>
      </c>
      <c r="B405" s="110">
        <v>2282</v>
      </c>
      <c r="C405" s="110" t="s">
        <v>780</v>
      </c>
      <c r="D405" s="110" t="s">
        <v>781</v>
      </c>
      <c r="E405" s="110"/>
      <c r="F405" s="110"/>
      <c r="G405" s="110" t="str">
        <f t="shared" si="6"/>
        <v>2</v>
      </c>
      <c r="H405" s="110"/>
      <c r="I405" s="110">
        <v>140.823857</v>
      </c>
      <c r="J405" s="110">
        <v>40.82882</v>
      </c>
      <c r="K405" s="110"/>
      <c r="L405" s="110"/>
      <c r="M405" s="110"/>
      <c r="N405" s="110"/>
      <c r="O405" s="110"/>
      <c r="P405" s="109"/>
      <c r="Q405" s="109"/>
      <c r="R405" s="109"/>
      <c r="S405" s="110" t="s">
        <v>782</v>
      </c>
      <c r="T405" s="135"/>
    </row>
    <row r="406" spans="1:20" x14ac:dyDescent="0.2">
      <c r="A406" s="5">
        <v>405</v>
      </c>
      <c r="B406" s="110">
        <v>2272</v>
      </c>
      <c r="C406" s="110" t="s">
        <v>777</v>
      </c>
      <c r="D406" s="110" t="s">
        <v>778</v>
      </c>
      <c r="E406" s="110"/>
      <c r="F406" s="110"/>
      <c r="G406" s="110" t="str">
        <f t="shared" si="6"/>
        <v>2</v>
      </c>
      <c r="H406" s="110"/>
      <c r="I406" s="110">
        <v>140.81926100000001</v>
      </c>
      <c r="J406" s="110">
        <v>40.830207000000001</v>
      </c>
      <c r="K406" s="110"/>
      <c r="L406" s="110"/>
      <c r="M406" s="110"/>
      <c r="N406" s="110"/>
      <c r="O406" s="110"/>
      <c r="P406" s="109"/>
      <c r="Q406" s="109"/>
      <c r="R406" s="109"/>
      <c r="S406" s="110" t="s">
        <v>779</v>
      </c>
      <c r="T406" s="135"/>
    </row>
    <row r="407" spans="1:20" x14ac:dyDescent="0.2">
      <c r="A407" s="5">
        <v>406</v>
      </c>
      <c r="B407" s="110">
        <v>2262</v>
      </c>
      <c r="C407" s="110" t="s">
        <v>774</v>
      </c>
      <c r="D407" s="110" t="s">
        <v>775</v>
      </c>
      <c r="E407" s="110"/>
      <c r="F407" s="110"/>
      <c r="G407" s="110" t="str">
        <f t="shared" si="6"/>
        <v>2</v>
      </c>
      <c r="H407" s="110"/>
      <c r="I407" s="110">
        <v>140.81369699999999</v>
      </c>
      <c r="J407" s="110">
        <v>40.829425999999998</v>
      </c>
      <c r="K407" s="110"/>
      <c r="L407" s="110"/>
      <c r="M407" s="110"/>
      <c r="N407" s="110"/>
      <c r="O407" s="110"/>
      <c r="P407" s="109"/>
      <c r="Q407" s="109"/>
      <c r="R407" s="109"/>
      <c r="S407" s="110" t="s">
        <v>776</v>
      </c>
      <c r="T407" s="135"/>
    </row>
    <row r="408" spans="1:20" x14ac:dyDescent="0.2">
      <c r="A408" s="5">
        <v>407</v>
      </c>
      <c r="B408" s="110">
        <v>2252</v>
      </c>
      <c r="C408" s="110" t="s">
        <v>771</v>
      </c>
      <c r="D408" s="110" t="s">
        <v>772</v>
      </c>
      <c r="E408" s="110"/>
      <c r="F408" s="110"/>
      <c r="G408" s="110" t="str">
        <f t="shared" si="6"/>
        <v>2</v>
      </c>
      <c r="H408" s="110"/>
      <c r="I408" s="110">
        <v>140.808438</v>
      </c>
      <c r="J408" s="110">
        <v>40.828285000000001</v>
      </c>
      <c r="K408" s="110"/>
      <c r="L408" s="110"/>
      <c r="M408" s="110"/>
      <c r="N408" s="110"/>
      <c r="O408" s="110"/>
      <c r="P408" s="109"/>
      <c r="Q408" s="109"/>
      <c r="R408" s="109"/>
      <c r="S408" s="110" t="s">
        <v>773</v>
      </c>
      <c r="T408" s="135"/>
    </row>
    <row r="409" spans="1:20" x14ac:dyDescent="0.2">
      <c r="A409" s="5">
        <v>408</v>
      </c>
      <c r="B409" s="110">
        <v>2242</v>
      </c>
      <c r="C409" s="110" t="s">
        <v>768</v>
      </c>
      <c r="D409" s="110" t="s">
        <v>769</v>
      </c>
      <c r="E409" s="110"/>
      <c r="F409" s="110"/>
      <c r="G409" s="110" t="str">
        <f t="shared" si="6"/>
        <v>2</v>
      </c>
      <c r="H409" s="110"/>
      <c r="I409" s="110">
        <v>140.79812100000001</v>
      </c>
      <c r="J409" s="110">
        <v>40.826548000000003</v>
      </c>
      <c r="K409" s="110"/>
      <c r="L409" s="110"/>
      <c r="M409" s="110"/>
      <c r="N409" s="110"/>
      <c r="O409" s="110"/>
      <c r="P409" s="109"/>
      <c r="Q409" s="109"/>
      <c r="R409" s="109"/>
      <c r="S409" s="110" t="s">
        <v>770</v>
      </c>
      <c r="T409" s="135"/>
    </row>
    <row r="410" spans="1:20" x14ac:dyDescent="0.2">
      <c r="A410" s="5">
        <v>409</v>
      </c>
      <c r="B410" s="110">
        <v>2232</v>
      </c>
      <c r="C410" s="110" t="s">
        <v>765</v>
      </c>
      <c r="D410" s="110" t="s">
        <v>766</v>
      </c>
      <c r="E410" s="110"/>
      <c r="F410" s="110"/>
      <c r="G410" s="110" t="str">
        <f t="shared" si="6"/>
        <v>2</v>
      </c>
      <c r="H410" s="110"/>
      <c r="I410" s="110">
        <v>140.795412</v>
      </c>
      <c r="J410" s="110">
        <v>40.826951000000001</v>
      </c>
      <c r="K410" s="110"/>
      <c r="L410" s="110"/>
      <c r="M410" s="110"/>
      <c r="N410" s="110"/>
      <c r="O410" s="110"/>
      <c r="P410" s="109"/>
      <c r="Q410" s="109"/>
      <c r="R410" s="109"/>
      <c r="S410" s="110" t="s">
        <v>767</v>
      </c>
      <c r="T410" s="135"/>
    </row>
    <row r="411" spans="1:20" x14ac:dyDescent="0.2">
      <c r="A411" s="5">
        <v>410</v>
      </c>
      <c r="B411" s="110">
        <v>2222</v>
      </c>
      <c r="C411" s="110" t="s">
        <v>762</v>
      </c>
      <c r="D411" s="110" t="s">
        <v>763</v>
      </c>
      <c r="E411" s="110"/>
      <c r="F411" s="110"/>
      <c r="G411" s="110" t="str">
        <f t="shared" si="6"/>
        <v>2</v>
      </c>
      <c r="H411" s="110"/>
      <c r="I411" s="110">
        <v>140.789413</v>
      </c>
      <c r="J411" s="110">
        <v>40.828096000000002</v>
      </c>
      <c r="K411" s="110"/>
      <c r="L411" s="110"/>
      <c r="M411" s="110"/>
      <c r="N411" s="110"/>
      <c r="O411" s="110"/>
      <c r="P411" s="109"/>
      <c r="Q411" s="109"/>
      <c r="R411" s="109"/>
      <c r="S411" s="110" t="s">
        <v>764</v>
      </c>
      <c r="T411" s="135"/>
    </row>
    <row r="412" spans="1:20" x14ac:dyDescent="0.2">
      <c r="A412" s="5">
        <v>411</v>
      </c>
      <c r="B412" s="110">
        <v>2212</v>
      </c>
      <c r="C412" s="110" t="s">
        <v>759</v>
      </c>
      <c r="D412" s="110" t="s">
        <v>760</v>
      </c>
      <c r="E412" s="110"/>
      <c r="F412" s="110"/>
      <c r="G412" s="110" t="str">
        <f t="shared" si="6"/>
        <v>2</v>
      </c>
      <c r="H412" s="110"/>
      <c r="I412" s="110">
        <v>140.78269599999999</v>
      </c>
      <c r="J412" s="110">
        <v>40.827686</v>
      </c>
      <c r="K412" s="110"/>
      <c r="L412" s="110"/>
      <c r="M412" s="110"/>
      <c r="N412" s="110"/>
      <c r="O412" s="110"/>
      <c r="P412" s="109"/>
      <c r="Q412" s="109"/>
      <c r="R412" s="109"/>
      <c r="S412" s="110" t="s">
        <v>761</v>
      </c>
      <c r="T412" s="135"/>
    </row>
    <row r="413" spans="1:20" x14ac:dyDescent="0.2">
      <c r="A413" s="5">
        <v>412</v>
      </c>
      <c r="B413" s="110">
        <v>2202</v>
      </c>
      <c r="C413" s="110" t="s">
        <v>756</v>
      </c>
      <c r="D413" s="110" t="s">
        <v>757</v>
      </c>
      <c r="E413" s="110"/>
      <c r="F413" s="110"/>
      <c r="G413" s="110" t="str">
        <f t="shared" si="6"/>
        <v>2</v>
      </c>
      <c r="H413" s="110"/>
      <c r="I413" s="110">
        <v>140.77006499999999</v>
      </c>
      <c r="J413" s="110">
        <v>40.825142999999997</v>
      </c>
      <c r="K413" s="110"/>
      <c r="L413" s="110"/>
      <c r="M413" s="110"/>
      <c r="N413" s="110"/>
      <c r="O413" s="110"/>
      <c r="P413" s="109"/>
      <c r="Q413" s="109"/>
      <c r="R413" s="109"/>
      <c r="S413" s="110" t="s">
        <v>758</v>
      </c>
      <c r="T413" s="135"/>
    </row>
    <row r="414" spans="1:20" x14ac:dyDescent="0.2">
      <c r="A414" s="5">
        <v>413</v>
      </c>
      <c r="B414" s="110">
        <v>2192</v>
      </c>
      <c r="C414" s="110" t="s">
        <v>753</v>
      </c>
      <c r="D414" s="110" t="s">
        <v>754</v>
      </c>
      <c r="E414" s="110"/>
      <c r="F414" s="110"/>
      <c r="G414" s="110" t="str">
        <f t="shared" si="6"/>
        <v>2</v>
      </c>
      <c r="H414" s="110"/>
      <c r="I414" s="110">
        <v>140.76036400000001</v>
      </c>
      <c r="J414" s="110">
        <v>40.824044000000001</v>
      </c>
      <c r="K414" s="110"/>
      <c r="L414" s="110"/>
      <c r="M414" s="110"/>
      <c r="N414" s="110"/>
      <c r="O414" s="110"/>
      <c r="P414" s="109"/>
      <c r="Q414" s="109"/>
      <c r="R414" s="109"/>
      <c r="S414" s="110" t="s">
        <v>755</v>
      </c>
      <c r="T414" s="135"/>
    </row>
    <row r="415" spans="1:20" x14ac:dyDescent="0.2">
      <c r="A415" s="5">
        <v>414</v>
      </c>
      <c r="B415" s="110">
        <v>2182</v>
      </c>
      <c r="C415" s="110" t="s">
        <v>750</v>
      </c>
      <c r="D415" s="192" t="s">
        <v>795</v>
      </c>
      <c r="E415" s="110"/>
      <c r="F415" s="110"/>
      <c r="G415" s="110" t="str">
        <f t="shared" si="6"/>
        <v>2</v>
      </c>
      <c r="H415" s="110"/>
      <c r="I415" s="110">
        <v>140.75524799999999</v>
      </c>
      <c r="J415" s="110">
        <v>40.823638000000003</v>
      </c>
      <c r="K415" s="110"/>
      <c r="L415" s="110"/>
      <c r="M415" s="110"/>
      <c r="N415" s="110"/>
      <c r="O415" s="110"/>
      <c r="P415" s="109"/>
      <c r="Q415" s="109"/>
      <c r="R415" s="109"/>
      <c r="S415" s="110" t="s">
        <v>752</v>
      </c>
      <c r="T415" s="135"/>
    </row>
    <row r="416" spans="1:20" x14ac:dyDescent="0.2">
      <c r="A416" s="5">
        <v>415</v>
      </c>
      <c r="B416" s="110">
        <v>2172</v>
      </c>
      <c r="C416" s="110" t="s">
        <v>747</v>
      </c>
      <c r="D416" s="192" t="s">
        <v>748</v>
      </c>
      <c r="E416" s="110"/>
      <c r="F416" s="110"/>
      <c r="G416" s="110" t="str">
        <f t="shared" si="6"/>
        <v>2</v>
      </c>
      <c r="H416" s="110"/>
      <c r="I416" s="110">
        <v>140.75102000000001</v>
      </c>
      <c r="J416" s="110">
        <v>40.823293999999997</v>
      </c>
      <c r="K416" s="110"/>
      <c r="L416" s="110"/>
      <c r="M416" s="110"/>
      <c r="N416" s="110"/>
      <c r="O416" s="110"/>
      <c r="P416" s="109"/>
      <c r="Q416" s="109"/>
      <c r="R416" s="109"/>
      <c r="S416" s="110" t="s">
        <v>749</v>
      </c>
      <c r="T416" s="135"/>
    </row>
    <row r="417" spans="1:20" x14ac:dyDescent="0.2">
      <c r="A417" s="5">
        <v>416</v>
      </c>
      <c r="B417" s="110">
        <v>2162</v>
      </c>
      <c r="C417" s="110" t="s">
        <v>745</v>
      </c>
      <c r="D417" s="110" t="s">
        <v>491</v>
      </c>
      <c r="E417" s="110"/>
      <c r="F417" s="110"/>
      <c r="G417" s="110" t="str">
        <f t="shared" si="6"/>
        <v>2</v>
      </c>
      <c r="H417" s="110"/>
      <c r="I417" s="110">
        <v>140.74702500000001</v>
      </c>
      <c r="J417" s="110">
        <v>40.822978999999997</v>
      </c>
      <c r="K417" s="110"/>
      <c r="L417" s="110"/>
      <c r="M417" s="110"/>
      <c r="N417" s="110"/>
      <c r="O417" s="110"/>
      <c r="P417" s="109"/>
      <c r="Q417" s="109"/>
      <c r="R417" s="109"/>
      <c r="S417" s="110" t="s">
        <v>746</v>
      </c>
      <c r="T417" s="135"/>
    </row>
    <row r="418" spans="1:20" x14ac:dyDescent="0.2">
      <c r="A418" s="5">
        <v>417</v>
      </c>
      <c r="B418" s="110">
        <v>2321</v>
      </c>
      <c r="C418" s="110" t="s">
        <v>796</v>
      </c>
      <c r="D418" s="110" t="s">
        <v>797</v>
      </c>
      <c r="E418" s="110"/>
      <c r="F418" s="110"/>
      <c r="G418" s="110" t="str">
        <f t="shared" si="6"/>
        <v>1</v>
      </c>
      <c r="H418" s="110"/>
      <c r="I418" s="110">
        <v>141.24688800000001</v>
      </c>
      <c r="J418" s="110">
        <v>40.626372000000003</v>
      </c>
      <c r="K418" s="110"/>
      <c r="L418" s="110"/>
      <c r="M418" s="110"/>
      <c r="N418" s="110"/>
      <c r="O418" s="110"/>
      <c r="P418" s="109"/>
      <c r="Q418" s="109"/>
      <c r="R418" s="109"/>
      <c r="S418" s="110" t="s">
        <v>798</v>
      </c>
      <c r="T418" s="135"/>
    </row>
    <row r="419" spans="1:20" x14ac:dyDescent="0.2">
      <c r="A419" s="5">
        <v>418</v>
      </c>
      <c r="B419" s="110">
        <v>2331</v>
      </c>
      <c r="C419" s="110" t="s">
        <v>799</v>
      </c>
      <c r="D419" s="110" t="s">
        <v>800</v>
      </c>
      <c r="E419" s="110"/>
      <c r="F419" s="110"/>
      <c r="G419" s="110" t="str">
        <f t="shared" si="6"/>
        <v>1</v>
      </c>
      <c r="H419" s="110"/>
      <c r="I419" s="110">
        <v>141.24380400000001</v>
      </c>
      <c r="J419" s="110">
        <v>40.625565000000002</v>
      </c>
      <c r="K419" s="110"/>
      <c r="L419" s="110"/>
      <c r="M419" s="110"/>
      <c r="N419" s="110"/>
      <c r="O419" s="110"/>
      <c r="P419" s="109"/>
      <c r="Q419" s="109"/>
      <c r="R419" s="109"/>
      <c r="S419" s="110" t="s">
        <v>801</v>
      </c>
      <c r="T419" s="135"/>
    </row>
    <row r="420" spans="1:20" x14ac:dyDescent="0.2">
      <c r="A420" s="5">
        <v>419</v>
      </c>
      <c r="B420" s="110">
        <v>2341</v>
      </c>
      <c r="C420" s="110" t="s">
        <v>802</v>
      </c>
      <c r="D420" s="110" t="s">
        <v>803</v>
      </c>
      <c r="E420" s="110"/>
      <c r="F420" s="110"/>
      <c r="G420" s="110" t="str">
        <f t="shared" si="6"/>
        <v>1</v>
      </c>
      <c r="H420" s="110"/>
      <c r="I420" s="110">
        <v>141.24287000000001</v>
      </c>
      <c r="J420" s="110">
        <v>40.627051999999999</v>
      </c>
      <c r="K420" s="110"/>
      <c r="L420" s="110"/>
      <c r="M420" s="110"/>
      <c r="N420" s="110"/>
      <c r="O420" s="110"/>
      <c r="P420" s="109"/>
      <c r="Q420" s="109"/>
      <c r="R420" s="109"/>
      <c r="S420" s="110" t="s">
        <v>804</v>
      </c>
      <c r="T420" s="135"/>
    </row>
    <row r="421" spans="1:20" x14ac:dyDescent="0.2">
      <c r="A421" s="5">
        <v>420</v>
      </c>
      <c r="B421" s="110">
        <v>2351</v>
      </c>
      <c r="C421" s="110" t="s">
        <v>805</v>
      </c>
      <c r="D421" s="110" t="s">
        <v>806</v>
      </c>
      <c r="E421" s="110"/>
      <c r="F421" s="110"/>
      <c r="G421" s="110" t="str">
        <f t="shared" si="6"/>
        <v>1</v>
      </c>
      <c r="H421" s="110"/>
      <c r="I421" s="110">
        <v>141.238134</v>
      </c>
      <c r="J421" s="110">
        <v>40.627149000000003</v>
      </c>
      <c r="K421" s="110"/>
      <c r="L421" s="110"/>
      <c r="M421" s="110"/>
      <c r="N421" s="110"/>
      <c r="O421" s="110"/>
      <c r="P421" s="109"/>
      <c r="Q421" s="109"/>
      <c r="R421" s="109"/>
      <c r="S421" s="110" t="s">
        <v>807</v>
      </c>
      <c r="T421" s="135"/>
    </row>
    <row r="422" spans="1:20" x14ac:dyDescent="0.2">
      <c r="A422" s="5">
        <v>421</v>
      </c>
      <c r="B422" s="110">
        <v>2361</v>
      </c>
      <c r="C422" s="110" t="s">
        <v>808</v>
      </c>
      <c r="D422" s="110" t="s">
        <v>809</v>
      </c>
      <c r="E422" s="110"/>
      <c r="F422" s="110"/>
      <c r="G422" s="110" t="str">
        <f t="shared" si="6"/>
        <v>1</v>
      </c>
      <c r="H422" s="110"/>
      <c r="I422" s="110">
        <v>141.235049</v>
      </c>
      <c r="J422" s="110">
        <v>40.624460999999997</v>
      </c>
      <c r="K422" s="110"/>
      <c r="L422" s="110"/>
      <c r="M422" s="110"/>
      <c r="N422" s="110"/>
      <c r="O422" s="110"/>
      <c r="P422" s="109"/>
      <c r="Q422" s="109"/>
      <c r="R422" s="109"/>
      <c r="S422" s="110" t="s">
        <v>810</v>
      </c>
      <c r="T422" s="135"/>
    </row>
    <row r="423" spans="1:20" x14ac:dyDescent="0.2">
      <c r="A423" s="5">
        <v>422</v>
      </c>
      <c r="B423" s="110">
        <v>2371</v>
      </c>
      <c r="C423" s="110" t="s">
        <v>811</v>
      </c>
      <c r="D423" s="110" t="s">
        <v>812</v>
      </c>
      <c r="E423" s="110"/>
      <c r="F423" s="110"/>
      <c r="G423" s="110" t="str">
        <f t="shared" si="6"/>
        <v>1</v>
      </c>
      <c r="H423" s="110"/>
      <c r="I423" s="110">
        <v>141.22912099999999</v>
      </c>
      <c r="J423" s="110">
        <v>40.622230000000002</v>
      </c>
      <c r="K423" s="110"/>
      <c r="L423" s="110"/>
      <c r="M423" s="110"/>
      <c r="N423" s="110"/>
      <c r="O423" s="110"/>
      <c r="P423" s="109"/>
      <c r="Q423" s="109"/>
      <c r="R423" s="109"/>
      <c r="S423" s="110" t="s">
        <v>813</v>
      </c>
      <c r="T423" s="135"/>
    </row>
    <row r="424" spans="1:20" x14ac:dyDescent="0.2">
      <c r="A424" s="5">
        <v>423</v>
      </c>
      <c r="B424" s="110">
        <v>2381</v>
      </c>
      <c r="C424" s="110" t="s">
        <v>814</v>
      </c>
      <c r="D424" s="110" t="s">
        <v>815</v>
      </c>
      <c r="E424" s="110"/>
      <c r="F424" s="110"/>
      <c r="G424" s="110" t="str">
        <f t="shared" si="6"/>
        <v>1</v>
      </c>
      <c r="H424" s="110"/>
      <c r="I424" s="110">
        <v>141.22580099999999</v>
      </c>
      <c r="J424" s="110">
        <v>40.620950999999998</v>
      </c>
      <c r="K424" s="110"/>
      <c r="L424" s="110"/>
      <c r="M424" s="110"/>
      <c r="N424" s="110"/>
      <c r="O424" s="110"/>
      <c r="P424" s="109"/>
      <c r="Q424" s="109"/>
      <c r="R424" s="109"/>
      <c r="S424" s="110" t="s">
        <v>816</v>
      </c>
      <c r="T424" s="135"/>
    </row>
    <row r="425" spans="1:20" x14ac:dyDescent="0.2">
      <c r="A425" s="5">
        <v>424</v>
      </c>
      <c r="B425" s="110">
        <v>2391</v>
      </c>
      <c r="C425" s="110" t="s">
        <v>817</v>
      </c>
      <c r="D425" s="110" t="s">
        <v>818</v>
      </c>
      <c r="E425" s="110"/>
      <c r="F425" s="110"/>
      <c r="G425" s="110" t="str">
        <f t="shared" si="6"/>
        <v>1</v>
      </c>
      <c r="H425" s="110"/>
      <c r="I425" s="110">
        <v>141.22321500000001</v>
      </c>
      <c r="J425" s="110">
        <v>40.619940999999997</v>
      </c>
      <c r="K425" s="110"/>
      <c r="L425" s="110"/>
      <c r="M425" s="110"/>
      <c r="N425" s="110"/>
      <c r="O425" s="110"/>
      <c r="P425" s="109"/>
      <c r="Q425" s="109"/>
      <c r="R425" s="109"/>
      <c r="S425" s="110" t="s">
        <v>819</v>
      </c>
      <c r="T425" s="135"/>
    </row>
    <row r="426" spans="1:20" x14ac:dyDescent="0.2">
      <c r="A426" s="5">
        <v>425</v>
      </c>
      <c r="B426" s="110">
        <v>2401</v>
      </c>
      <c r="C426" s="110" t="s">
        <v>820</v>
      </c>
      <c r="D426" s="110" t="s">
        <v>821</v>
      </c>
      <c r="E426" s="110"/>
      <c r="F426" s="110"/>
      <c r="G426" s="110" t="str">
        <f t="shared" si="6"/>
        <v>1</v>
      </c>
      <c r="H426" s="110"/>
      <c r="I426" s="110">
        <v>141.220485</v>
      </c>
      <c r="J426" s="110">
        <v>40.622401000000004</v>
      </c>
      <c r="K426" s="110"/>
      <c r="L426" s="110"/>
      <c r="M426" s="110"/>
      <c r="N426" s="110"/>
      <c r="O426" s="110"/>
      <c r="P426" s="109"/>
      <c r="Q426" s="109"/>
      <c r="R426" s="109"/>
      <c r="S426" s="110" t="s">
        <v>822</v>
      </c>
      <c r="T426" s="135"/>
    </row>
    <row r="427" spans="1:20" x14ac:dyDescent="0.2">
      <c r="A427" s="5">
        <v>426</v>
      </c>
      <c r="B427" s="110">
        <v>2411</v>
      </c>
      <c r="C427" s="110" t="s">
        <v>823</v>
      </c>
      <c r="D427" s="110" t="s">
        <v>824</v>
      </c>
      <c r="E427" s="110"/>
      <c r="F427" s="110"/>
      <c r="G427" s="110" t="str">
        <f t="shared" si="6"/>
        <v>1</v>
      </c>
      <c r="H427" s="110"/>
      <c r="I427" s="110">
        <v>141.202369</v>
      </c>
      <c r="J427" s="110">
        <v>40.610492999999998</v>
      </c>
      <c r="K427" s="110"/>
      <c r="L427" s="110"/>
      <c r="M427" s="110"/>
      <c r="N427" s="110"/>
      <c r="O427" s="110"/>
      <c r="P427" s="109"/>
      <c r="Q427" s="109"/>
      <c r="R427" s="109"/>
      <c r="S427" s="110" t="s">
        <v>825</v>
      </c>
      <c r="T427" s="135"/>
    </row>
    <row r="428" spans="1:20" x14ac:dyDescent="0.2">
      <c r="A428" s="5">
        <v>427</v>
      </c>
      <c r="B428" s="110">
        <v>2421</v>
      </c>
      <c r="C428" s="110" t="s">
        <v>826</v>
      </c>
      <c r="D428" s="110" t="s">
        <v>827</v>
      </c>
      <c r="E428" s="110"/>
      <c r="F428" s="110"/>
      <c r="G428" s="110" t="str">
        <f t="shared" si="6"/>
        <v>1</v>
      </c>
      <c r="H428" s="110"/>
      <c r="I428" s="110">
        <v>141.19934900000001</v>
      </c>
      <c r="J428" s="110">
        <v>40.612383000000001</v>
      </c>
      <c r="K428" s="110"/>
      <c r="L428" s="110"/>
      <c r="M428" s="110"/>
      <c r="N428" s="110"/>
      <c r="O428" s="110"/>
      <c r="P428" s="109"/>
      <c r="Q428" s="109"/>
      <c r="R428" s="109"/>
      <c r="S428" s="110" t="s">
        <v>828</v>
      </c>
      <c r="T428" s="135"/>
    </row>
    <row r="429" spans="1:20" x14ac:dyDescent="0.2">
      <c r="A429" s="5">
        <v>428</v>
      </c>
      <c r="B429" s="110">
        <v>2431</v>
      </c>
      <c r="C429" s="110" t="s">
        <v>829</v>
      </c>
      <c r="D429" s="192" t="s">
        <v>830</v>
      </c>
      <c r="E429" s="110"/>
      <c r="F429" s="110"/>
      <c r="G429" s="110" t="str">
        <f t="shared" si="6"/>
        <v>1</v>
      </c>
      <c r="H429" s="110"/>
      <c r="I429" s="110">
        <v>141.19803999999999</v>
      </c>
      <c r="J429" s="110">
        <v>40.612513</v>
      </c>
      <c r="K429" s="110"/>
      <c r="L429" s="110"/>
      <c r="M429" s="110"/>
      <c r="N429" s="110"/>
      <c r="O429" s="110"/>
      <c r="P429" s="109"/>
      <c r="Q429" s="109"/>
      <c r="R429" s="109"/>
      <c r="S429" s="110" t="s">
        <v>831</v>
      </c>
      <c r="T429" s="135"/>
    </row>
    <row r="430" spans="1:20" x14ac:dyDescent="0.2">
      <c r="A430" s="5">
        <v>429</v>
      </c>
      <c r="B430" s="110">
        <v>2441</v>
      </c>
      <c r="C430" s="110" t="s">
        <v>832</v>
      </c>
      <c r="D430" s="110" t="s">
        <v>833</v>
      </c>
      <c r="E430" s="110"/>
      <c r="F430" s="110"/>
      <c r="G430" s="110" t="str">
        <f t="shared" si="6"/>
        <v>1</v>
      </c>
      <c r="H430" s="110"/>
      <c r="I430" s="110">
        <v>141.19492299999999</v>
      </c>
      <c r="J430" s="110">
        <v>40.612143000000003</v>
      </c>
      <c r="K430" s="110"/>
      <c r="L430" s="110"/>
      <c r="M430" s="110"/>
      <c r="N430" s="110"/>
      <c r="O430" s="110"/>
      <c r="P430" s="109"/>
      <c r="Q430" s="109"/>
      <c r="R430" s="109"/>
      <c r="S430" s="110" t="s">
        <v>834</v>
      </c>
      <c r="T430" s="135"/>
    </row>
    <row r="431" spans="1:20" x14ac:dyDescent="0.2">
      <c r="A431" s="5">
        <v>430</v>
      </c>
      <c r="B431" s="110">
        <v>2451</v>
      </c>
      <c r="C431" s="110" t="s">
        <v>835</v>
      </c>
      <c r="D431" s="110" t="s">
        <v>836</v>
      </c>
      <c r="E431" s="110"/>
      <c r="F431" s="110"/>
      <c r="G431" s="110" t="str">
        <f t="shared" si="6"/>
        <v>1</v>
      </c>
      <c r="H431" s="110"/>
      <c r="I431" s="110">
        <v>141.18849700000001</v>
      </c>
      <c r="J431" s="110">
        <v>40.611376999999997</v>
      </c>
      <c r="K431" s="110"/>
      <c r="L431" s="110"/>
      <c r="M431" s="110"/>
      <c r="N431" s="110"/>
      <c r="O431" s="110"/>
      <c r="P431" s="109"/>
      <c r="Q431" s="109"/>
      <c r="R431" s="109"/>
      <c r="S431" s="110" t="s">
        <v>837</v>
      </c>
      <c r="T431" s="135"/>
    </row>
    <row r="432" spans="1:20" x14ac:dyDescent="0.2">
      <c r="A432" s="5">
        <v>431</v>
      </c>
      <c r="B432" s="110">
        <v>2461</v>
      </c>
      <c r="C432" s="110" t="s">
        <v>838</v>
      </c>
      <c r="D432" s="110" t="s">
        <v>839</v>
      </c>
      <c r="E432" s="110"/>
      <c r="F432" s="110"/>
      <c r="G432" s="110" t="str">
        <f t="shared" si="6"/>
        <v>1</v>
      </c>
      <c r="H432" s="110"/>
      <c r="I432" s="110">
        <v>141.18190899999999</v>
      </c>
      <c r="J432" s="110">
        <v>40.610570000000003</v>
      </c>
      <c r="K432" s="110"/>
      <c r="L432" s="110"/>
      <c r="M432" s="110"/>
      <c r="N432" s="110"/>
      <c r="O432" s="110"/>
      <c r="P432" s="109"/>
      <c r="Q432" s="109"/>
      <c r="R432" s="109"/>
      <c r="S432" s="110" t="s">
        <v>840</v>
      </c>
      <c r="T432" s="135"/>
    </row>
    <row r="433" spans="1:20" x14ac:dyDescent="0.2">
      <c r="A433" s="5">
        <v>432</v>
      </c>
      <c r="B433" s="110">
        <v>2471</v>
      </c>
      <c r="C433" s="110" t="s">
        <v>841</v>
      </c>
      <c r="D433" s="110" t="s">
        <v>842</v>
      </c>
      <c r="E433" s="110"/>
      <c r="F433" s="110"/>
      <c r="G433" s="110" t="str">
        <f t="shared" si="6"/>
        <v>1</v>
      </c>
      <c r="H433" s="110"/>
      <c r="I433" s="110">
        <v>141.17889400000001</v>
      </c>
      <c r="J433" s="110">
        <v>40.610232000000003</v>
      </c>
      <c r="K433" s="110"/>
      <c r="L433" s="110"/>
      <c r="M433" s="110"/>
      <c r="N433" s="110"/>
      <c r="O433" s="110"/>
      <c r="P433" s="109"/>
      <c r="Q433" s="109"/>
      <c r="R433" s="109"/>
      <c r="S433" s="110" t="s">
        <v>843</v>
      </c>
      <c r="T433" s="135"/>
    </row>
    <row r="434" spans="1:20" x14ac:dyDescent="0.2">
      <c r="A434" s="5">
        <v>433</v>
      </c>
      <c r="B434" s="110">
        <v>2481</v>
      </c>
      <c r="C434" s="110" t="s">
        <v>844</v>
      </c>
      <c r="D434" s="110" t="s">
        <v>845</v>
      </c>
      <c r="E434" s="110"/>
      <c r="F434" s="110"/>
      <c r="G434" s="110" t="str">
        <f t="shared" si="6"/>
        <v>1</v>
      </c>
      <c r="H434" s="110"/>
      <c r="I434" s="110">
        <v>141.172157</v>
      </c>
      <c r="J434" s="110">
        <v>40.608922999999997</v>
      </c>
      <c r="K434" s="110"/>
      <c r="L434" s="110"/>
      <c r="M434" s="110"/>
      <c r="N434" s="110"/>
      <c r="O434" s="110"/>
      <c r="P434" s="109"/>
      <c r="Q434" s="109"/>
      <c r="R434" s="109"/>
      <c r="S434" s="110" t="s">
        <v>846</v>
      </c>
      <c r="T434" s="135"/>
    </row>
    <row r="435" spans="1:20" x14ac:dyDescent="0.2">
      <c r="A435" s="5">
        <v>434</v>
      </c>
      <c r="B435" s="110">
        <v>2491</v>
      </c>
      <c r="C435" s="110" t="s">
        <v>847</v>
      </c>
      <c r="D435" s="110" t="s">
        <v>848</v>
      </c>
      <c r="E435" s="110"/>
      <c r="F435" s="110"/>
      <c r="G435" s="110" t="str">
        <f t="shared" si="6"/>
        <v>1</v>
      </c>
      <c r="H435" s="110"/>
      <c r="I435" s="110">
        <v>141.16947999999999</v>
      </c>
      <c r="J435" s="110">
        <v>40.607830999999997</v>
      </c>
      <c r="K435" s="110"/>
      <c r="L435" s="110"/>
      <c r="M435" s="110"/>
      <c r="N435" s="110"/>
      <c r="O435" s="110"/>
      <c r="P435" s="109"/>
      <c r="Q435" s="109"/>
      <c r="R435" s="109"/>
      <c r="S435" s="110" t="s">
        <v>849</v>
      </c>
      <c r="T435" s="135"/>
    </row>
    <row r="436" spans="1:20" x14ac:dyDescent="0.2">
      <c r="A436" s="5">
        <v>435</v>
      </c>
      <c r="B436" s="110">
        <v>2501</v>
      </c>
      <c r="C436" s="110" t="s">
        <v>850</v>
      </c>
      <c r="D436" s="110" t="s">
        <v>851</v>
      </c>
      <c r="E436" s="110"/>
      <c r="F436" s="110"/>
      <c r="G436" s="110" t="str">
        <f t="shared" si="6"/>
        <v>1</v>
      </c>
      <c r="H436" s="110"/>
      <c r="I436" s="110">
        <v>141.16491500000001</v>
      </c>
      <c r="J436" s="110">
        <v>40.605716999999999</v>
      </c>
      <c r="K436" s="110"/>
      <c r="L436" s="110"/>
      <c r="M436" s="110"/>
      <c r="N436" s="110"/>
      <c r="O436" s="110"/>
      <c r="P436" s="109"/>
      <c r="Q436" s="109"/>
      <c r="R436" s="109"/>
      <c r="S436" s="110" t="s">
        <v>852</v>
      </c>
      <c r="T436" s="135"/>
    </row>
    <row r="437" spans="1:20" x14ac:dyDescent="0.2">
      <c r="A437" s="5">
        <v>436</v>
      </c>
      <c r="B437" s="110">
        <v>2511</v>
      </c>
      <c r="C437" s="110" t="s">
        <v>853</v>
      </c>
      <c r="D437" s="110" t="s">
        <v>854</v>
      </c>
      <c r="E437" s="110"/>
      <c r="F437" s="110"/>
      <c r="G437" s="110" t="str">
        <f t="shared" si="6"/>
        <v>1</v>
      </c>
      <c r="H437" s="110"/>
      <c r="I437" s="110">
        <v>141.15119300000001</v>
      </c>
      <c r="J437" s="110">
        <v>40.596173999999998</v>
      </c>
      <c r="K437" s="110"/>
      <c r="L437" s="110"/>
      <c r="M437" s="110"/>
      <c r="N437" s="110"/>
      <c r="O437" s="110"/>
      <c r="P437" s="109"/>
      <c r="Q437" s="109"/>
      <c r="R437" s="109"/>
      <c r="S437" s="110" t="s">
        <v>855</v>
      </c>
      <c r="T437" s="135"/>
    </row>
    <row r="438" spans="1:20" x14ac:dyDescent="0.2">
      <c r="A438" s="5">
        <v>437</v>
      </c>
      <c r="B438" s="110">
        <v>2521</v>
      </c>
      <c r="C438" s="110" t="s">
        <v>856</v>
      </c>
      <c r="D438" s="110" t="s">
        <v>857</v>
      </c>
      <c r="E438" s="110"/>
      <c r="F438" s="110"/>
      <c r="G438" s="110" t="str">
        <f t="shared" si="6"/>
        <v>1</v>
      </c>
      <c r="H438" s="110"/>
      <c r="I438" s="110">
        <v>141.148945</v>
      </c>
      <c r="J438" s="110">
        <v>40.591929999999998</v>
      </c>
      <c r="K438" s="110"/>
      <c r="L438" s="110"/>
      <c r="M438" s="110"/>
      <c r="N438" s="110"/>
      <c r="O438" s="110"/>
      <c r="P438" s="109"/>
      <c r="Q438" s="109"/>
      <c r="R438" s="109"/>
      <c r="S438" s="110" t="s">
        <v>858</v>
      </c>
      <c r="T438" s="135"/>
    </row>
    <row r="439" spans="1:20" x14ac:dyDescent="0.2">
      <c r="A439" s="5">
        <v>438</v>
      </c>
      <c r="B439" s="110">
        <v>2531</v>
      </c>
      <c r="C439" s="110" t="s">
        <v>859</v>
      </c>
      <c r="D439" s="110" t="s">
        <v>860</v>
      </c>
      <c r="E439" s="110"/>
      <c r="F439" s="110"/>
      <c r="G439" s="110" t="str">
        <f t="shared" si="6"/>
        <v>1</v>
      </c>
      <c r="H439" s="110"/>
      <c r="I439" s="110">
        <v>141.15075300000001</v>
      </c>
      <c r="J439" s="110">
        <v>40.588956000000003</v>
      </c>
      <c r="K439" s="110"/>
      <c r="L439" s="110"/>
      <c r="M439" s="110"/>
      <c r="N439" s="110"/>
      <c r="O439" s="110"/>
      <c r="P439" s="109"/>
      <c r="Q439" s="109"/>
      <c r="R439" s="109"/>
      <c r="S439" s="110" t="s">
        <v>861</v>
      </c>
      <c r="T439" s="135"/>
    </row>
    <row r="440" spans="1:20" x14ac:dyDescent="0.2">
      <c r="A440" s="5">
        <v>439</v>
      </c>
      <c r="B440" s="110">
        <v>2541</v>
      </c>
      <c r="C440" s="110" t="s">
        <v>862</v>
      </c>
      <c r="D440" s="110" t="s">
        <v>863</v>
      </c>
      <c r="E440" s="110"/>
      <c r="F440" s="110"/>
      <c r="G440" s="110" t="str">
        <f t="shared" si="6"/>
        <v>1</v>
      </c>
      <c r="H440" s="110"/>
      <c r="I440" s="192">
        <v>141.153671</v>
      </c>
      <c r="J440" s="192">
        <v>40.585124</v>
      </c>
      <c r="K440" s="110"/>
      <c r="L440" s="110"/>
      <c r="M440" s="110"/>
      <c r="N440" s="110"/>
      <c r="O440" s="110"/>
      <c r="P440" s="109"/>
      <c r="Q440" s="109"/>
      <c r="R440" s="109"/>
      <c r="S440" s="110" t="s">
        <v>864</v>
      </c>
      <c r="T440" s="135"/>
    </row>
    <row r="441" spans="1:20" x14ac:dyDescent="0.2">
      <c r="A441" s="5">
        <v>440</v>
      </c>
      <c r="B441" s="110">
        <v>2551</v>
      </c>
      <c r="C441" s="110" t="s">
        <v>865</v>
      </c>
      <c r="D441" s="110" t="s">
        <v>866</v>
      </c>
      <c r="E441" s="110"/>
      <c r="F441" s="110"/>
      <c r="G441" s="110" t="str">
        <f t="shared" si="6"/>
        <v>1</v>
      </c>
      <c r="H441" s="110"/>
      <c r="I441" s="110">
        <v>141.148347</v>
      </c>
      <c r="J441" s="110">
        <v>40.581935999999999</v>
      </c>
      <c r="K441" s="110"/>
      <c r="L441" s="110"/>
      <c r="M441" s="110"/>
      <c r="N441" s="110"/>
      <c r="O441" s="110"/>
      <c r="P441" s="109"/>
      <c r="Q441" s="109"/>
      <c r="R441" s="109"/>
      <c r="S441" s="110" t="s">
        <v>867</v>
      </c>
      <c r="T441" s="135"/>
    </row>
    <row r="442" spans="1:20" x14ac:dyDescent="0.2">
      <c r="A442" s="5">
        <v>441</v>
      </c>
      <c r="B442" s="110">
        <v>2561</v>
      </c>
      <c r="C442" s="110" t="s">
        <v>868</v>
      </c>
      <c r="D442" s="110" t="s">
        <v>869</v>
      </c>
      <c r="E442" s="110"/>
      <c r="F442" s="110"/>
      <c r="G442" s="110" t="str">
        <f t="shared" si="6"/>
        <v>1</v>
      </c>
      <c r="H442" s="110"/>
      <c r="I442" s="110">
        <v>141.14557099999999</v>
      </c>
      <c r="J442" s="110">
        <v>40.580975000000002</v>
      </c>
      <c r="K442" s="110"/>
      <c r="L442" s="110"/>
      <c r="M442" s="110"/>
      <c r="N442" s="110"/>
      <c r="O442" s="110"/>
      <c r="P442" s="109"/>
      <c r="Q442" s="109"/>
      <c r="R442" s="109"/>
      <c r="S442" s="110" t="s">
        <v>870</v>
      </c>
      <c r="T442" s="135"/>
    </row>
    <row r="443" spans="1:20" x14ac:dyDescent="0.2">
      <c r="A443" s="5">
        <v>442</v>
      </c>
      <c r="B443" s="110">
        <v>2571</v>
      </c>
      <c r="C443" s="110" t="s">
        <v>871</v>
      </c>
      <c r="D443" s="110" t="s">
        <v>872</v>
      </c>
      <c r="E443" s="110"/>
      <c r="F443" s="110"/>
      <c r="G443" s="110" t="str">
        <f t="shared" si="6"/>
        <v>1</v>
      </c>
      <c r="H443" s="110"/>
      <c r="I443" s="110">
        <v>141.14000799999999</v>
      </c>
      <c r="J443" s="110">
        <v>40.580506</v>
      </c>
      <c r="K443" s="110"/>
      <c r="L443" s="110"/>
      <c r="M443" s="110"/>
      <c r="N443" s="110"/>
      <c r="O443" s="110"/>
      <c r="P443" s="109"/>
      <c r="Q443" s="109"/>
      <c r="R443" s="109"/>
      <c r="S443" s="110" t="s">
        <v>873</v>
      </c>
      <c r="T443" s="135"/>
    </row>
    <row r="444" spans="1:20" x14ac:dyDescent="0.2">
      <c r="A444" s="5">
        <v>443</v>
      </c>
      <c r="B444" s="110">
        <v>2581</v>
      </c>
      <c r="C444" s="110" t="s">
        <v>874</v>
      </c>
      <c r="D444" s="110" t="s">
        <v>875</v>
      </c>
      <c r="E444" s="110"/>
      <c r="F444" s="110"/>
      <c r="G444" s="110" t="str">
        <f t="shared" si="6"/>
        <v>1</v>
      </c>
      <c r="H444" s="110"/>
      <c r="I444" s="110">
        <v>141.13632799999999</v>
      </c>
      <c r="J444" s="110">
        <v>40.584710999999999</v>
      </c>
      <c r="K444" s="110"/>
      <c r="L444" s="110"/>
      <c r="M444" s="110"/>
      <c r="N444" s="110"/>
      <c r="O444" s="110"/>
      <c r="P444" s="109"/>
      <c r="Q444" s="109"/>
      <c r="R444" s="109"/>
      <c r="S444" s="110" t="s">
        <v>876</v>
      </c>
      <c r="T444" s="135"/>
    </row>
    <row r="445" spans="1:20" x14ac:dyDescent="0.2">
      <c r="A445" s="5">
        <v>444</v>
      </c>
      <c r="B445" s="110">
        <v>2591</v>
      </c>
      <c r="C445" s="110" t="s">
        <v>877</v>
      </c>
      <c r="D445" s="110" t="s">
        <v>878</v>
      </c>
      <c r="E445" s="110"/>
      <c r="F445" s="110"/>
      <c r="G445" s="110" t="str">
        <f t="shared" si="6"/>
        <v>1</v>
      </c>
      <c r="H445" s="110"/>
      <c r="I445" s="110">
        <v>141.13393500000001</v>
      </c>
      <c r="J445" s="110">
        <v>40.587395999999998</v>
      </c>
      <c r="K445" s="110"/>
      <c r="L445" s="110"/>
      <c r="M445" s="110"/>
      <c r="N445" s="110"/>
      <c r="O445" s="110"/>
      <c r="P445" s="109"/>
      <c r="Q445" s="109"/>
      <c r="R445" s="109"/>
      <c r="S445" s="110" t="s">
        <v>879</v>
      </c>
      <c r="T445" s="135"/>
    </row>
    <row r="446" spans="1:20" x14ac:dyDescent="0.2">
      <c r="A446" s="5">
        <v>445</v>
      </c>
      <c r="B446" s="110">
        <v>2601</v>
      </c>
      <c r="C446" s="110" t="s">
        <v>880</v>
      </c>
      <c r="D446" s="110" t="s">
        <v>881</v>
      </c>
      <c r="E446" s="110"/>
      <c r="F446" s="110"/>
      <c r="G446" s="110" t="str">
        <f t="shared" si="6"/>
        <v>1</v>
      </c>
      <c r="H446" s="110"/>
      <c r="I446" s="110">
        <v>141.131092</v>
      </c>
      <c r="J446" s="110">
        <v>40.587808000000003</v>
      </c>
      <c r="K446" s="110"/>
      <c r="L446" s="110"/>
      <c r="M446" s="110"/>
      <c r="N446" s="110"/>
      <c r="O446" s="110"/>
      <c r="P446" s="109"/>
      <c r="Q446" s="109"/>
      <c r="R446" s="109"/>
      <c r="S446" s="110" t="s">
        <v>882</v>
      </c>
      <c r="T446" s="135"/>
    </row>
    <row r="447" spans="1:20" x14ac:dyDescent="0.2">
      <c r="A447" s="5">
        <v>446</v>
      </c>
      <c r="B447" s="110">
        <v>2611</v>
      </c>
      <c r="C447" s="110" t="s">
        <v>883</v>
      </c>
      <c r="D447" s="192" t="s">
        <v>884</v>
      </c>
      <c r="E447" s="110"/>
      <c r="F447" s="110"/>
      <c r="G447" s="110" t="str">
        <f t="shared" si="6"/>
        <v>1</v>
      </c>
      <c r="H447" s="110"/>
      <c r="I447" s="193">
        <v>141.12500299999999</v>
      </c>
      <c r="J447" s="193">
        <v>40.586702000000002</v>
      </c>
      <c r="K447" s="110"/>
      <c r="L447" s="110"/>
      <c r="M447" s="110"/>
      <c r="N447" s="110"/>
      <c r="O447" s="110"/>
      <c r="P447" s="109"/>
      <c r="Q447" s="109"/>
      <c r="R447" s="109"/>
      <c r="S447" s="110" t="s">
        <v>885</v>
      </c>
      <c r="T447" s="135"/>
    </row>
    <row r="448" spans="1:20" x14ac:dyDescent="0.2">
      <c r="A448" s="5">
        <v>447</v>
      </c>
      <c r="B448" s="110">
        <v>2621</v>
      </c>
      <c r="C448" s="110" t="s">
        <v>886</v>
      </c>
      <c r="D448" s="110" t="s">
        <v>887</v>
      </c>
      <c r="E448" s="110"/>
      <c r="F448" s="110"/>
      <c r="G448" s="110" t="str">
        <f t="shared" si="6"/>
        <v>1</v>
      </c>
      <c r="H448" s="110"/>
      <c r="I448" s="110">
        <v>141.11768599999999</v>
      </c>
      <c r="J448" s="110">
        <v>40.586959999999998</v>
      </c>
      <c r="K448" s="110"/>
      <c r="L448" s="110"/>
      <c r="M448" s="110"/>
      <c r="N448" s="110"/>
      <c r="O448" s="110"/>
      <c r="P448" s="109"/>
      <c r="Q448" s="109"/>
      <c r="R448" s="109"/>
      <c r="S448" s="110" t="s">
        <v>888</v>
      </c>
      <c r="T448" s="135"/>
    </row>
    <row r="449" spans="1:20" x14ac:dyDescent="0.2">
      <c r="A449" s="5">
        <v>448</v>
      </c>
      <c r="B449" s="110">
        <v>2631</v>
      </c>
      <c r="C449" s="110" t="s">
        <v>889</v>
      </c>
      <c r="D449" s="192" t="s">
        <v>890</v>
      </c>
      <c r="E449" s="110"/>
      <c r="F449" s="110"/>
      <c r="G449" s="110" t="str">
        <f t="shared" si="6"/>
        <v>1</v>
      </c>
      <c r="H449" s="110"/>
      <c r="I449" s="110">
        <v>141.11784700000001</v>
      </c>
      <c r="J449" s="110">
        <v>40.585909000000001</v>
      </c>
      <c r="K449" s="110"/>
      <c r="L449" s="110"/>
      <c r="M449" s="110"/>
      <c r="N449" s="110"/>
      <c r="O449" s="110"/>
      <c r="P449" s="109"/>
      <c r="Q449" s="109"/>
      <c r="R449" s="109"/>
      <c r="S449" s="110" t="s">
        <v>891</v>
      </c>
      <c r="T449" s="135"/>
    </row>
    <row r="450" spans="1:20" x14ac:dyDescent="0.2">
      <c r="A450" s="5">
        <v>449</v>
      </c>
      <c r="B450" s="110">
        <v>2641</v>
      </c>
      <c r="C450" s="110" t="s">
        <v>892</v>
      </c>
      <c r="D450" s="110" t="s">
        <v>893</v>
      </c>
      <c r="E450" s="110"/>
      <c r="F450" s="110"/>
      <c r="G450" s="110" t="str">
        <f t="shared" si="6"/>
        <v>1</v>
      </c>
      <c r="H450" s="110"/>
      <c r="I450" s="110">
        <v>141.11408700000001</v>
      </c>
      <c r="J450" s="110">
        <v>40.586894999999998</v>
      </c>
      <c r="K450" s="110"/>
      <c r="L450" s="110"/>
      <c r="M450" s="110"/>
      <c r="N450" s="110"/>
      <c r="O450" s="110"/>
      <c r="P450" s="109"/>
      <c r="Q450" s="109"/>
      <c r="R450" s="109"/>
      <c r="S450" s="110" t="s">
        <v>894</v>
      </c>
      <c r="T450" s="135"/>
    </row>
    <row r="451" spans="1:20" x14ac:dyDescent="0.2">
      <c r="A451" s="5">
        <v>450</v>
      </c>
      <c r="B451" s="110">
        <v>2651</v>
      </c>
      <c r="C451" s="110" t="s">
        <v>895</v>
      </c>
      <c r="D451" s="110" t="s">
        <v>896</v>
      </c>
      <c r="E451" s="110"/>
      <c r="F451" s="110"/>
      <c r="G451" s="110" t="str">
        <f t="shared" si="6"/>
        <v>1</v>
      </c>
      <c r="H451" s="110"/>
      <c r="I451" s="110">
        <v>141.10886199999999</v>
      </c>
      <c r="J451" s="110">
        <v>40.586967999999999</v>
      </c>
      <c r="K451" s="110"/>
      <c r="L451" s="110"/>
      <c r="M451" s="110"/>
      <c r="N451" s="110"/>
      <c r="O451" s="110"/>
      <c r="P451" s="109"/>
      <c r="Q451" s="109"/>
      <c r="R451" s="109"/>
      <c r="S451" s="110" t="s">
        <v>897</v>
      </c>
      <c r="T451" s="135"/>
    </row>
    <row r="452" spans="1:20" x14ac:dyDescent="0.2">
      <c r="A452" s="5">
        <v>451</v>
      </c>
      <c r="B452" s="110">
        <v>2661</v>
      </c>
      <c r="C452" s="110" t="s">
        <v>898</v>
      </c>
      <c r="D452" s="110" t="s">
        <v>899</v>
      </c>
      <c r="E452" s="110"/>
      <c r="F452" s="110"/>
      <c r="G452" s="110" t="str">
        <f t="shared" ref="G452:G515" si="7">RIGHT(B452,1)</f>
        <v>1</v>
      </c>
      <c r="H452" s="110"/>
      <c r="I452" s="110">
        <v>141.10798800000001</v>
      </c>
      <c r="J452" s="110">
        <v>40.577959999999997</v>
      </c>
      <c r="K452" s="110"/>
      <c r="L452" s="110"/>
      <c r="M452" s="110"/>
      <c r="N452" s="110"/>
      <c r="O452" s="110"/>
      <c r="P452" s="109"/>
      <c r="Q452" s="109"/>
      <c r="R452" s="109"/>
      <c r="S452" s="110" t="s">
        <v>900</v>
      </c>
      <c r="T452" s="135"/>
    </row>
    <row r="453" spans="1:20" x14ac:dyDescent="0.2">
      <c r="A453" s="5">
        <v>452</v>
      </c>
      <c r="B453" s="110">
        <v>2671</v>
      </c>
      <c r="C453" s="110" t="s">
        <v>901</v>
      </c>
      <c r="D453" s="110" t="s">
        <v>902</v>
      </c>
      <c r="E453" s="110"/>
      <c r="F453" s="110"/>
      <c r="G453" s="110" t="str">
        <f t="shared" si="7"/>
        <v>1</v>
      </c>
      <c r="H453" s="110"/>
      <c r="I453" s="193">
        <v>141.10616099999999</v>
      </c>
      <c r="J453" s="193">
        <v>40.586705000000002</v>
      </c>
      <c r="K453" s="110"/>
      <c r="L453" s="110"/>
      <c r="M453" s="110"/>
      <c r="N453" s="110"/>
      <c r="O453" s="110"/>
      <c r="P453" s="109"/>
      <c r="Q453" s="109"/>
      <c r="R453" s="109"/>
      <c r="S453" s="110" t="s">
        <v>903</v>
      </c>
      <c r="T453" s="135"/>
    </row>
    <row r="454" spans="1:20" x14ac:dyDescent="0.2">
      <c r="A454" s="5">
        <v>453</v>
      </c>
      <c r="B454" s="110">
        <v>2681</v>
      </c>
      <c r="C454" s="110" t="s">
        <v>904</v>
      </c>
      <c r="D454" s="110" t="s">
        <v>905</v>
      </c>
      <c r="E454" s="110"/>
      <c r="F454" s="110"/>
      <c r="G454" s="110" t="str">
        <f t="shared" si="7"/>
        <v>1</v>
      </c>
      <c r="H454" s="110"/>
      <c r="I454" s="110">
        <v>141.10037</v>
      </c>
      <c r="J454" s="110">
        <v>40.587364000000001</v>
      </c>
      <c r="K454" s="110"/>
      <c r="L454" s="110"/>
      <c r="M454" s="110"/>
      <c r="N454" s="110"/>
      <c r="O454" s="110"/>
      <c r="P454" s="109"/>
      <c r="Q454" s="109"/>
      <c r="R454" s="109"/>
      <c r="S454" s="110" t="s">
        <v>906</v>
      </c>
      <c r="T454" s="135"/>
    </row>
    <row r="455" spans="1:20" x14ac:dyDescent="0.2">
      <c r="A455" s="5">
        <v>454</v>
      </c>
      <c r="B455" s="110">
        <v>2691</v>
      </c>
      <c r="C455" s="110" t="s">
        <v>907</v>
      </c>
      <c r="D455" s="110" t="s">
        <v>908</v>
      </c>
      <c r="E455" s="110"/>
      <c r="F455" s="110"/>
      <c r="G455" s="110" t="str">
        <f t="shared" si="7"/>
        <v>1</v>
      </c>
      <c r="H455" s="110"/>
      <c r="I455" s="110">
        <v>141.09696400000001</v>
      </c>
      <c r="J455" s="110">
        <v>40.586891000000001</v>
      </c>
      <c r="K455" s="110"/>
      <c r="L455" s="110"/>
      <c r="M455" s="110"/>
      <c r="N455" s="110"/>
      <c r="O455" s="110"/>
      <c r="P455" s="109"/>
      <c r="Q455" s="109"/>
      <c r="R455" s="109"/>
      <c r="S455" s="110" t="s">
        <v>909</v>
      </c>
      <c r="T455" s="135"/>
    </row>
    <row r="456" spans="1:20" x14ac:dyDescent="0.2">
      <c r="A456" s="5">
        <v>455</v>
      </c>
      <c r="B456" s="110">
        <v>2701</v>
      </c>
      <c r="C456" s="110" t="s">
        <v>910</v>
      </c>
      <c r="D456" s="110" t="s">
        <v>911</v>
      </c>
      <c r="E456" s="110"/>
      <c r="F456" s="110"/>
      <c r="G456" s="110" t="str">
        <f t="shared" si="7"/>
        <v>1</v>
      </c>
      <c r="H456" s="110"/>
      <c r="I456" s="110">
        <v>141.098026</v>
      </c>
      <c r="J456" s="110">
        <v>40.588338</v>
      </c>
      <c r="K456" s="110"/>
      <c r="L456" s="110"/>
      <c r="M456" s="110"/>
      <c r="N456" s="110"/>
      <c r="O456" s="110"/>
      <c r="P456" s="109"/>
      <c r="Q456" s="109"/>
      <c r="R456" s="109"/>
      <c r="S456" s="110" t="s">
        <v>912</v>
      </c>
      <c r="T456" s="135"/>
    </row>
    <row r="457" spans="1:20" x14ac:dyDescent="0.2">
      <c r="A457" s="5">
        <v>456</v>
      </c>
      <c r="B457" s="110">
        <v>2711</v>
      </c>
      <c r="C457" s="110" t="s">
        <v>913</v>
      </c>
      <c r="D457" s="110" t="s">
        <v>914</v>
      </c>
      <c r="E457" s="110"/>
      <c r="F457" s="110"/>
      <c r="G457" s="110" t="str">
        <f t="shared" si="7"/>
        <v>1</v>
      </c>
      <c r="H457" s="110"/>
      <c r="I457" s="110">
        <v>141.09551500000001</v>
      </c>
      <c r="J457" s="110">
        <v>40.590966000000002</v>
      </c>
      <c r="K457" s="110"/>
      <c r="L457" s="110"/>
      <c r="M457" s="110"/>
      <c r="N457" s="110"/>
      <c r="O457" s="110"/>
      <c r="P457" s="109"/>
      <c r="Q457" s="109"/>
      <c r="R457" s="109"/>
      <c r="S457" s="110" t="s">
        <v>915</v>
      </c>
      <c r="T457" s="135"/>
    </row>
    <row r="458" spans="1:20" x14ac:dyDescent="0.2">
      <c r="A458" s="5">
        <v>457</v>
      </c>
      <c r="B458" s="110">
        <v>2721</v>
      </c>
      <c r="C458" s="110" t="s">
        <v>916</v>
      </c>
      <c r="D458" s="110" t="s">
        <v>917</v>
      </c>
      <c r="E458" s="110"/>
      <c r="F458" s="110"/>
      <c r="G458" s="110" t="str">
        <f t="shared" si="7"/>
        <v>1</v>
      </c>
      <c r="H458" s="110"/>
      <c r="I458" s="193">
        <v>141.08741000000001</v>
      </c>
      <c r="J458" s="193">
        <v>40.587372000000002</v>
      </c>
      <c r="K458" s="110"/>
      <c r="L458" s="110"/>
      <c r="M458" s="110"/>
      <c r="N458" s="110"/>
      <c r="O458" s="110"/>
      <c r="P458" s="109"/>
      <c r="Q458" s="109"/>
      <c r="R458" s="109"/>
      <c r="S458" s="110" t="s">
        <v>918</v>
      </c>
      <c r="T458" s="135"/>
    </row>
    <row r="459" spans="1:20" x14ac:dyDescent="0.2">
      <c r="A459" s="5">
        <v>458</v>
      </c>
      <c r="B459" s="110">
        <v>2731</v>
      </c>
      <c r="C459" s="110" t="s">
        <v>919</v>
      </c>
      <c r="D459" s="110" t="s">
        <v>920</v>
      </c>
      <c r="E459" s="110"/>
      <c r="F459" s="110"/>
      <c r="G459" s="110" t="str">
        <f t="shared" si="7"/>
        <v>1</v>
      </c>
      <c r="H459" s="110"/>
      <c r="I459" s="110">
        <v>141.07917</v>
      </c>
      <c r="J459" s="110">
        <v>40.579977</v>
      </c>
      <c r="K459" s="110"/>
      <c r="L459" s="110"/>
      <c r="M459" s="110"/>
      <c r="N459" s="110"/>
      <c r="O459" s="110"/>
      <c r="P459" s="109"/>
      <c r="Q459" s="109"/>
      <c r="R459" s="109"/>
      <c r="S459" s="110" t="s">
        <v>921</v>
      </c>
      <c r="T459" s="135"/>
    </row>
    <row r="460" spans="1:20" x14ac:dyDescent="0.2">
      <c r="A460" s="5">
        <v>459</v>
      </c>
      <c r="B460" s="110">
        <v>2741</v>
      </c>
      <c r="C460" s="110" t="s">
        <v>922</v>
      </c>
      <c r="D460" s="192" t="s">
        <v>923</v>
      </c>
      <c r="E460" s="110"/>
      <c r="F460" s="110"/>
      <c r="G460" s="110" t="str">
        <f t="shared" si="7"/>
        <v>1</v>
      </c>
      <c r="H460" s="110"/>
      <c r="I460" s="110">
        <v>141.063007</v>
      </c>
      <c r="J460" s="110">
        <v>40.582262999999998</v>
      </c>
      <c r="K460" s="110"/>
      <c r="L460" s="110"/>
      <c r="M460" s="110"/>
      <c r="N460" s="110"/>
      <c r="O460" s="110"/>
      <c r="P460" s="109"/>
      <c r="Q460" s="109"/>
      <c r="R460" s="109"/>
      <c r="S460" s="110" t="s">
        <v>924</v>
      </c>
      <c r="T460" s="135"/>
    </row>
    <row r="461" spans="1:20" x14ac:dyDescent="0.2">
      <c r="A461" s="5">
        <v>460</v>
      </c>
      <c r="B461" s="110">
        <v>2751</v>
      </c>
      <c r="C461" s="110" t="s">
        <v>925</v>
      </c>
      <c r="D461" s="110" t="s">
        <v>926</v>
      </c>
      <c r="E461" s="110"/>
      <c r="F461" s="110"/>
      <c r="G461" s="110" t="str">
        <f t="shared" si="7"/>
        <v>1</v>
      </c>
      <c r="H461" s="110"/>
      <c r="I461" s="110">
        <v>141.05824899999999</v>
      </c>
      <c r="J461" s="110">
        <v>40.585501999999998</v>
      </c>
      <c r="K461" s="110"/>
      <c r="L461" s="110"/>
      <c r="M461" s="110"/>
      <c r="N461" s="110"/>
      <c r="O461" s="110"/>
      <c r="P461" s="109"/>
      <c r="Q461" s="109"/>
      <c r="R461" s="109"/>
      <c r="S461" s="110" t="s">
        <v>927</v>
      </c>
      <c r="T461" s="135"/>
    </row>
    <row r="462" spans="1:20" x14ac:dyDescent="0.2">
      <c r="A462" s="5">
        <v>461</v>
      </c>
      <c r="B462" s="110">
        <v>2761</v>
      </c>
      <c r="C462" s="110" t="s">
        <v>928</v>
      </c>
      <c r="D462" s="110" t="s">
        <v>929</v>
      </c>
      <c r="E462" s="110"/>
      <c r="F462" s="110"/>
      <c r="G462" s="110" t="str">
        <f t="shared" si="7"/>
        <v>1</v>
      </c>
      <c r="H462" s="110"/>
      <c r="I462" s="110">
        <v>141.07599999999999</v>
      </c>
      <c r="J462" s="110">
        <v>40.584099999999999</v>
      </c>
      <c r="K462" s="110"/>
      <c r="L462" s="110"/>
      <c r="M462" s="110"/>
      <c r="N462" s="110"/>
      <c r="O462" s="110"/>
      <c r="P462" s="109"/>
      <c r="Q462" s="109"/>
      <c r="R462" s="109"/>
      <c r="S462" s="110" t="s">
        <v>930</v>
      </c>
      <c r="T462" s="135"/>
    </row>
    <row r="463" spans="1:20" x14ac:dyDescent="0.2">
      <c r="A463" s="5">
        <v>462</v>
      </c>
      <c r="B463" s="110">
        <v>2771</v>
      </c>
      <c r="C463" s="110" t="s">
        <v>931</v>
      </c>
      <c r="D463" s="110" t="s">
        <v>932</v>
      </c>
      <c r="E463" s="110"/>
      <c r="F463" s="110"/>
      <c r="G463" s="110" t="str">
        <f t="shared" si="7"/>
        <v>1</v>
      </c>
      <c r="H463" s="110"/>
      <c r="I463" s="110">
        <v>141.06624199999999</v>
      </c>
      <c r="J463" s="110">
        <v>40.583846999999999</v>
      </c>
      <c r="K463" s="110"/>
      <c r="L463" s="110"/>
      <c r="M463" s="110"/>
      <c r="N463" s="110"/>
      <c r="O463" s="110"/>
      <c r="P463" s="109"/>
      <c r="Q463" s="109"/>
      <c r="R463" s="109"/>
      <c r="S463" s="110" t="s">
        <v>933</v>
      </c>
      <c r="T463" s="135"/>
    </row>
    <row r="464" spans="1:20" x14ac:dyDescent="0.2">
      <c r="A464" s="5">
        <v>463</v>
      </c>
      <c r="B464" s="110">
        <v>2781</v>
      </c>
      <c r="C464" s="110" t="s">
        <v>934</v>
      </c>
      <c r="D464" s="110" t="s">
        <v>935</v>
      </c>
      <c r="E464" s="110"/>
      <c r="F464" s="110"/>
      <c r="G464" s="110" t="str">
        <f t="shared" si="7"/>
        <v>1</v>
      </c>
      <c r="H464" s="110"/>
      <c r="I464" s="110">
        <v>141.05913899999999</v>
      </c>
      <c r="J464" s="110">
        <v>40.586154000000001</v>
      </c>
      <c r="K464" s="110"/>
      <c r="L464" s="110"/>
      <c r="M464" s="110"/>
      <c r="N464" s="110"/>
      <c r="O464" s="110"/>
      <c r="P464" s="109"/>
      <c r="Q464" s="109"/>
      <c r="R464" s="109"/>
      <c r="S464" s="110" t="s">
        <v>936</v>
      </c>
      <c r="T464" s="135"/>
    </row>
    <row r="465" spans="1:20" x14ac:dyDescent="0.2">
      <c r="A465" s="5">
        <v>464</v>
      </c>
      <c r="B465" s="110">
        <v>2791</v>
      </c>
      <c r="C465" s="110" t="s">
        <v>937</v>
      </c>
      <c r="D465" s="110" t="s">
        <v>938</v>
      </c>
      <c r="E465" s="110"/>
      <c r="F465" s="110"/>
      <c r="G465" s="110" t="str">
        <f t="shared" si="7"/>
        <v>1</v>
      </c>
      <c r="H465" s="110"/>
      <c r="I465" s="110">
        <v>141.05768499999999</v>
      </c>
      <c r="J465" s="110">
        <v>40.588574000000001</v>
      </c>
      <c r="K465" s="110"/>
      <c r="L465" s="110"/>
      <c r="M465" s="110"/>
      <c r="N465" s="110"/>
      <c r="O465" s="110"/>
      <c r="P465" s="109"/>
      <c r="Q465" s="109"/>
      <c r="R465" s="109"/>
      <c r="S465" s="110" t="s">
        <v>939</v>
      </c>
      <c r="T465" s="135"/>
    </row>
    <row r="466" spans="1:20" x14ac:dyDescent="0.2">
      <c r="A466" s="5">
        <v>465</v>
      </c>
      <c r="B466" s="110">
        <v>2801</v>
      </c>
      <c r="C466" s="110" t="s">
        <v>940</v>
      </c>
      <c r="D466" s="110" t="s">
        <v>941</v>
      </c>
      <c r="E466" s="110"/>
      <c r="F466" s="110"/>
      <c r="G466" s="110" t="str">
        <f t="shared" si="7"/>
        <v>1</v>
      </c>
      <c r="H466" s="110"/>
      <c r="I466" s="110">
        <v>141.050545</v>
      </c>
      <c r="J466" s="110">
        <v>40.596220000000002</v>
      </c>
      <c r="K466" s="110"/>
      <c r="L466" s="110"/>
      <c r="M466" s="110"/>
      <c r="N466" s="110"/>
      <c r="O466" s="110"/>
      <c r="P466" s="109"/>
      <c r="Q466" s="109"/>
      <c r="R466" s="109"/>
      <c r="S466" s="110" t="s">
        <v>942</v>
      </c>
      <c r="T466" s="135"/>
    </row>
    <row r="467" spans="1:20" x14ac:dyDescent="0.2">
      <c r="A467" s="5">
        <v>466</v>
      </c>
      <c r="B467" s="110">
        <v>2811</v>
      </c>
      <c r="C467" s="110" t="s">
        <v>943</v>
      </c>
      <c r="D467" s="110" t="s">
        <v>944</v>
      </c>
      <c r="E467" s="110"/>
      <c r="F467" s="110"/>
      <c r="G467" s="110" t="str">
        <f t="shared" si="7"/>
        <v>1</v>
      </c>
      <c r="H467" s="110"/>
      <c r="I467" s="110">
        <v>141.046179</v>
      </c>
      <c r="J467" s="110">
        <v>40.600631</v>
      </c>
      <c r="K467" s="110"/>
      <c r="L467" s="110"/>
      <c r="M467" s="110"/>
      <c r="N467" s="110"/>
      <c r="O467" s="110"/>
      <c r="P467" s="109"/>
      <c r="Q467" s="109"/>
      <c r="R467" s="109"/>
      <c r="S467" s="110" t="s">
        <v>945</v>
      </c>
      <c r="T467" s="135"/>
    </row>
    <row r="468" spans="1:20" x14ac:dyDescent="0.2">
      <c r="A468" s="5">
        <v>467</v>
      </c>
      <c r="B468" s="110">
        <v>2821</v>
      </c>
      <c r="C468" s="110" t="s">
        <v>946</v>
      </c>
      <c r="D468" s="110" t="s">
        <v>947</v>
      </c>
      <c r="E468" s="110"/>
      <c r="F468" s="110"/>
      <c r="G468" s="110" t="str">
        <f t="shared" si="7"/>
        <v>1</v>
      </c>
      <c r="H468" s="110"/>
      <c r="I468" s="110">
        <v>141.03963999999999</v>
      </c>
      <c r="J468" s="110">
        <v>40.601466000000002</v>
      </c>
      <c r="K468" s="110"/>
      <c r="L468" s="110"/>
      <c r="M468" s="110"/>
      <c r="N468" s="110"/>
      <c r="O468" s="110"/>
      <c r="P468" s="109"/>
      <c r="Q468" s="109"/>
      <c r="R468" s="109"/>
      <c r="S468" s="110" t="s">
        <v>948</v>
      </c>
      <c r="T468" s="135"/>
    </row>
    <row r="469" spans="1:20" x14ac:dyDescent="0.2">
      <c r="A469" s="5">
        <v>468</v>
      </c>
      <c r="B469" s="110">
        <v>2831</v>
      </c>
      <c r="C469" s="110" t="s">
        <v>949</v>
      </c>
      <c r="D469" s="110" t="s">
        <v>950</v>
      </c>
      <c r="E469" s="110"/>
      <c r="F469" s="110"/>
      <c r="G469" s="110" t="str">
        <f t="shared" si="7"/>
        <v>1</v>
      </c>
      <c r="H469" s="110"/>
      <c r="I469" s="110">
        <v>141.03231700000001</v>
      </c>
      <c r="J469" s="110">
        <v>40.597706000000002</v>
      </c>
      <c r="K469" s="110"/>
      <c r="L469" s="110"/>
      <c r="M469" s="110"/>
      <c r="N469" s="110"/>
      <c r="O469" s="110"/>
      <c r="P469" s="109"/>
      <c r="Q469" s="109"/>
      <c r="R469" s="109"/>
      <c r="S469" s="110" t="s">
        <v>951</v>
      </c>
      <c r="T469" s="135"/>
    </row>
    <row r="470" spans="1:20" x14ac:dyDescent="0.2">
      <c r="A470" s="5">
        <v>469</v>
      </c>
      <c r="B470" s="110">
        <v>2841</v>
      </c>
      <c r="C470" s="110" t="s">
        <v>952</v>
      </c>
      <c r="D470" s="110" t="s">
        <v>953</v>
      </c>
      <c r="E470" s="110"/>
      <c r="F470" s="110"/>
      <c r="G470" s="110" t="str">
        <f t="shared" si="7"/>
        <v>1</v>
      </c>
      <c r="H470" s="110"/>
      <c r="I470" s="110">
        <v>141.028524</v>
      </c>
      <c r="J470" s="110">
        <v>40.595008999999997</v>
      </c>
      <c r="K470" s="110"/>
      <c r="L470" s="110"/>
      <c r="M470" s="110"/>
      <c r="N470" s="110"/>
      <c r="O470" s="110"/>
      <c r="P470" s="109"/>
      <c r="Q470" s="109"/>
      <c r="R470" s="109"/>
      <c r="S470" s="110" t="s">
        <v>954</v>
      </c>
      <c r="T470" s="135"/>
    </row>
    <row r="471" spans="1:20" x14ac:dyDescent="0.2">
      <c r="A471" s="5">
        <v>470</v>
      </c>
      <c r="B471" s="110">
        <v>2851</v>
      </c>
      <c r="C471" s="110" t="s">
        <v>955</v>
      </c>
      <c r="D471" s="192" t="s">
        <v>956</v>
      </c>
      <c r="E471" s="110"/>
      <c r="F471" s="110"/>
      <c r="G471" s="110" t="str">
        <f t="shared" si="7"/>
        <v>1</v>
      </c>
      <c r="H471" s="110"/>
      <c r="I471" s="110">
        <v>141.02289200000001</v>
      </c>
      <c r="J471" s="110">
        <v>40.591234</v>
      </c>
      <c r="K471" s="110"/>
      <c r="L471" s="110"/>
      <c r="M471" s="110"/>
      <c r="N471" s="110"/>
      <c r="O471" s="110"/>
      <c r="P471" s="109"/>
      <c r="Q471" s="109"/>
      <c r="R471" s="109"/>
      <c r="S471" s="110" t="s">
        <v>957</v>
      </c>
      <c r="T471" s="135"/>
    </row>
    <row r="472" spans="1:20" x14ac:dyDescent="0.2">
      <c r="A472" s="5">
        <v>471</v>
      </c>
      <c r="B472" s="110">
        <v>2861</v>
      </c>
      <c r="C472" s="192" t="s">
        <v>958</v>
      </c>
      <c r="D472" s="192" t="s">
        <v>959</v>
      </c>
      <c r="E472" s="110"/>
      <c r="F472" s="110"/>
      <c r="G472" s="110" t="str">
        <f t="shared" si="7"/>
        <v>1</v>
      </c>
      <c r="H472" s="110"/>
      <c r="I472" s="110">
        <v>141.010076</v>
      </c>
      <c r="J472" s="110">
        <v>40.580396999999998</v>
      </c>
      <c r="K472" s="110"/>
      <c r="L472" s="110"/>
      <c r="M472" s="110"/>
      <c r="N472" s="110"/>
      <c r="O472" s="110"/>
      <c r="P472" s="109"/>
      <c r="Q472" s="109"/>
      <c r="R472" s="109"/>
      <c r="S472" s="110" t="s">
        <v>960</v>
      </c>
      <c r="T472" s="135"/>
    </row>
    <row r="473" spans="1:20" x14ac:dyDescent="0.2">
      <c r="A473" s="5">
        <v>472</v>
      </c>
      <c r="B473" s="110">
        <v>2871</v>
      </c>
      <c r="C473" s="110" t="s">
        <v>961</v>
      </c>
      <c r="D473" s="110" t="s">
        <v>962</v>
      </c>
      <c r="E473" s="110"/>
      <c r="F473" s="110"/>
      <c r="G473" s="110" t="str">
        <f t="shared" si="7"/>
        <v>1</v>
      </c>
      <c r="H473" s="110"/>
      <c r="I473" s="110">
        <v>141.00245899999999</v>
      </c>
      <c r="J473" s="110">
        <v>40.579732999999997</v>
      </c>
      <c r="K473" s="110"/>
      <c r="L473" s="110"/>
      <c r="M473" s="110"/>
      <c r="N473" s="110"/>
      <c r="O473" s="110"/>
      <c r="P473" s="109"/>
      <c r="Q473" s="109"/>
      <c r="R473" s="109"/>
      <c r="S473" s="110" t="s">
        <v>963</v>
      </c>
      <c r="T473" s="135"/>
    </row>
    <row r="474" spans="1:20" x14ac:dyDescent="0.2">
      <c r="A474" s="5">
        <v>473</v>
      </c>
      <c r="B474" s="110">
        <v>2881</v>
      </c>
      <c r="C474" s="110" t="s">
        <v>964</v>
      </c>
      <c r="D474" s="110" t="s">
        <v>965</v>
      </c>
      <c r="E474" s="110"/>
      <c r="F474" s="110"/>
      <c r="G474" s="110" t="str">
        <f t="shared" si="7"/>
        <v>1</v>
      </c>
      <c r="H474" s="110"/>
      <c r="I474" s="110">
        <v>140.995394</v>
      </c>
      <c r="J474" s="110">
        <v>40.579236000000002</v>
      </c>
      <c r="K474" s="110"/>
      <c r="L474" s="110"/>
      <c r="M474" s="110"/>
      <c r="N474" s="110"/>
      <c r="O474" s="110"/>
      <c r="P474" s="109"/>
      <c r="Q474" s="109"/>
      <c r="R474" s="109"/>
      <c r="S474" s="110" t="s">
        <v>966</v>
      </c>
      <c r="T474" s="135"/>
    </row>
    <row r="475" spans="1:20" x14ac:dyDescent="0.2">
      <c r="A475" s="5">
        <v>474</v>
      </c>
      <c r="B475" s="110">
        <v>2891</v>
      </c>
      <c r="C475" s="110" t="s">
        <v>967</v>
      </c>
      <c r="D475" s="110" t="s">
        <v>968</v>
      </c>
      <c r="E475" s="110"/>
      <c r="F475" s="110"/>
      <c r="G475" s="110" t="str">
        <f t="shared" si="7"/>
        <v>1</v>
      </c>
      <c r="H475" s="110"/>
      <c r="I475" s="110">
        <v>140.98764199999999</v>
      </c>
      <c r="J475" s="110">
        <v>40.577753000000001</v>
      </c>
      <c r="K475" s="110"/>
      <c r="L475" s="110"/>
      <c r="M475" s="110"/>
      <c r="N475" s="110"/>
      <c r="O475" s="110"/>
      <c r="P475" s="109"/>
      <c r="Q475" s="109"/>
      <c r="R475" s="109"/>
      <c r="S475" s="110" t="s">
        <v>969</v>
      </c>
      <c r="T475" s="135"/>
    </row>
    <row r="476" spans="1:20" x14ac:dyDescent="0.2">
      <c r="A476" s="5">
        <v>475</v>
      </c>
      <c r="B476" s="110">
        <v>2901</v>
      </c>
      <c r="C476" s="110" t="s">
        <v>970</v>
      </c>
      <c r="D476" s="192" t="s">
        <v>971</v>
      </c>
      <c r="E476" s="110"/>
      <c r="F476" s="110"/>
      <c r="G476" s="110" t="str">
        <f t="shared" si="7"/>
        <v>1</v>
      </c>
      <c r="H476" s="110"/>
      <c r="I476" s="193">
        <v>140.98437000000001</v>
      </c>
      <c r="J476" s="193">
        <v>40.576045000000001</v>
      </c>
      <c r="K476" s="110"/>
      <c r="L476" s="110"/>
      <c r="M476" s="110"/>
      <c r="N476" s="110"/>
      <c r="O476" s="110"/>
      <c r="P476" s="109"/>
      <c r="Q476" s="109"/>
      <c r="R476" s="109"/>
      <c r="S476" s="110" t="s">
        <v>972</v>
      </c>
      <c r="T476" s="135"/>
    </row>
    <row r="477" spans="1:20" x14ac:dyDescent="0.2">
      <c r="A477" s="5">
        <v>476</v>
      </c>
      <c r="B477" s="110">
        <v>2911</v>
      </c>
      <c r="C477" s="110" t="s">
        <v>973</v>
      </c>
      <c r="D477" s="110" t="s">
        <v>974</v>
      </c>
      <c r="E477" s="110"/>
      <c r="F477" s="110"/>
      <c r="G477" s="110" t="str">
        <f t="shared" si="7"/>
        <v>1</v>
      </c>
      <c r="H477" s="110"/>
      <c r="I477" s="110">
        <v>140.97995499999999</v>
      </c>
      <c r="J477" s="110">
        <v>40.574793999999997</v>
      </c>
      <c r="K477" s="110"/>
      <c r="L477" s="110"/>
      <c r="M477" s="110"/>
      <c r="N477" s="110"/>
      <c r="O477" s="110"/>
      <c r="P477" s="109"/>
      <c r="Q477" s="109"/>
      <c r="R477" s="109"/>
      <c r="S477" s="110" t="s">
        <v>975</v>
      </c>
      <c r="T477" s="135"/>
    </row>
    <row r="478" spans="1:20" x14ac:dyDescent="0.2">
      <c r="A478" s="5">
        <v>477</v>
      </c>
      <c r="B478" s="110">
        <v>2902</v>
      </c>
      <c r="C478" s="110" t="s">
        <v>970</v>
      </c>
      <c r="D478" s="110" t="s">
        <v>971</v>
      </c>
      <c r="E478" s="110"/>
      <c r="F478" s="110"/>
      <c r="G478" s="110" t="str">
        <f t="shared" si="7"/>
        <v>2</v>
      </c>
      <c r="H478" s="110"/>
      <c r="I478" s="193">
        <v>140.984273</v>
      </c>
      <c r="J478" s="193">
        <v>40.576224000000003</v>
      </c>
      <c r="K478" s="110"/>
      <c r="L478" s="110"/>
      <c r="M478" s="110"/>
      <c r="N478" s="110"/>
      <c r="O478" s="110"/>
      <c r="P478" s="109"/>
      <c r="Q478" s="109"/>
      <c r="R478" s="109"/>
      <c r="S478" s="110" t="s">
        <v>972</v>
      </c>
      <c r="T478" s="135"/>
    </row>
    <row r="479" spans="1:20" x14ac:dyDescent="0.2">
      <c r="A479" s="5">
        <v>478</v>
      </c>
      <c r="B479" s="110">
        <v>2892</v>
      </c>
      <c r="C479" s="110" t="s">
        <v>967</v>
      </c>
      <c r="D479" s="110" t="s">
        <v>968</v>
      </c>
      <c r="E479" s="110"/>
      <c r="F479" s="110"/>
      <c r="G479" s="110" t="str">
        <f t="shared" si="7"/>
        <v>2</v>
      </c>
      <c r="H479" s="110"/>
      <c r="I479" s="110">
        <v>140.98748699999999</v>
      </c>
      <c r="J479" s="110">
        <v>40.577846000000001</v>
      </c>
      <c r="K479" s="110"/>
      <c r="L479" s="110"/>
      <c r="M479" s="110"/>
      <c r="N479" s="110"/>
      <c r="O479" s="110"/>
      <c r="P479" s="109"/>
      <c r="Q479" s="109"/>
      <c r="R479" s="109"/>
      <c r="S479" s="110" t="s">
        <v>969</v>
      </c>
      <c r="T479" s="135"/>
    </row>
    <row r="480" spans="1:20" x14ac:dyDescent="0.2">
      <c r="A480" s="5">
        <v>479</v>
      </c>
      <c r="B480" s="110">
        <v>2882</v>
      </c>
      <c r="C480" s="110" t="s">
        <v>964</v>
      </c>
      <c r="D480" s="110" t="s">
        <v>965</v>
      </c>
      <c r="E480" s="110"/>
      <c r="F480" s="110"/>
      <c r="G480" s="110" t="str">
        <f t="shared" si="7"/>
        <v>2</v>
      </c>
      <c r="H480" s="110"/>
      <c r="I480" s="110">
        <v>140.99540999999999</v>
      </c>
      <c r="J480" s="110">
        <v>40.579369999999997</v>
      </c>
      <c r="K480" s="110"/>
      <c r="L480" s="110"/>
      <c r="M480" s="110"/>
      <c r="N480" s="110"/>
      <c r="O480" s="110"/>
      <c r="P480" s="109"/>
      <c r="Q480" s="109"/>
      <c r="R480" s="109"/>
      <c r="S480" s="110" t="s">
        <v>966</v>
      </c>
      <c r="T480" s="135"/>
    </row>
    <row r="481" spans="1:20" x14ac:dyDescent="0.2">
      <c r="A481" s="5">
        <v>480</v>
      </c>
      <c r="B481" s="110">
        <v>2872</v>
      </c>
      <c r="C481" s="110" t="s">
        <v>961</v>
      </c>
      <c r="D481" s="110" t="s">
        <v>962</v>
      </c>
      <c r="E481" s="110"/>
      <c r="F481" s="110"/>
      <c r="G481" s="110" t="str">
        <f t="shared" si="7"/>
        <v>2</v>
      </c>
      <c r="H481" s="110"/>
      <c r="I481" s="110">
        <v>141.00257099999999</v>
      </c>
      <c r="J481" s="110">
        <v>40.579935999999996</v>
      </c>
      <c r="K481" s="110"/>
      <c r="L481" s="110"/>
      <c r="M481" s="110"/>
      <c r="N481" s="110"/>
      <c r="O481" s="110"/>
      <c r="P481" s="109"/>
      <c r="Q481" s="109"/>
      <c r="R481" s="109"/>
      <c r="S481" s="110" t="s">
        <v>963</v>
      </c>
      <c r="T481" s="135"/>
    </row>
    <row r="482" spans="1:20" x14ac:dyDescent="0.2">
      <c r="A482" s="5">
        <v>481</v>
      </c>
      <c r="B482" s="110">
        <v>2862</v>
      </c>
      <c r="C482" s="192" t="s">
        <v>958</v>
      </c>
      <c r="D482" s="192" t="s">
        <v>959</v>
      </c>
      <c r="E482" s="110"/>
      <c r="F482" s="110"/>
      <c r="G482" s="110" t="str">
        <f t="shared" si="7"/>
        <v>2</v>
      </c>
      <c r="H482" s="110"/>
      <c r="I482" s="110">
        <v>141.01009199999999</v>
      </c>
      <c r="J482" s="110">
        <v>40.580579999999998</v>
      </c>
      <c r="K482" s="110"/>
      <c r="L482" s="110"/>
      <c r="M482" s="110"/>
      <c r="N482" s="110"/>
      <c r="O482" s="110"/>
      <c r="P482" s="109"/>
      <c r="Q482" s="109"/>
      <c r="R482" s="109"/>
      <c r="S482" s="110" t="s">
        <v>960</v>
      </c>
      <c r="T482" s="135"/>
    </row>
    <row r="483" spans="1:20" x14ac:dyDescent="0.2">
      <c r="A483" s="5">
        <v>482</v>
      </c>
      <c r="B483" s="110">
        <v>2852</v>
      </c>
      <c r="C483" s="110" t="s">
        <v>955</v>
      </c>
      <c r="D483" s="192" t="s">
        <v>956</v>
      </c>
      <c r="E483" s="110"/>
      <c r="F483" s="110"/>
      <c r="G483" s="110" t="str">
        <f t="shared" si="7"/>
        <v>2</v>
      </c>
      <c r="H483" s="110"/>
      <c r="I483" s="110">
        <v>141.02269899999999</v>
      </c>
      <c r="J483" s="110">
        <v>40.591315000000002</v>
      </c>
      <c r="K483" s="110"/>
      <c r="L483" s="110"/>
      <c r="M483" s="110"/>
      <c r="N483" s="110"/>
      <c r="O483" s="110"/>
      <c r="P483" s="109"/>
      <c r="Q483" s="109"/>
      <c r="R483" s="109"/>
      <c r="S483" s="110" t="s">
        <v>957</v>
      </c>
      <c r="T483" s="135"/>
    </row>
    <row r="484" spans="1:20" x14ac:dyDescent="0.2">
      <c r="A484" s="5">
        <v>483</v>
      </c>
      <c r="B484" s="110">
        <v>2842</v>
      </c>
      <c r="C484" s="110" t="s">
        <v>952</v>
      </c>
      <c r="D484" s="110" t="s">
        <v>953</v>
      </c>
      <c r="E484" s="110"/>
      <c r="F484" s="110"/>
      <c r="G484" s="110" t="str">
        <f t="shared" si="7"/>
        <v>2</v>
      </c>
      <c r="H484" s="110"/>
      <c r="I484" s="110">
        <v>141.02837400000001</v>
      </c>
      <c r="J484" s="110">
        <v>40.595118999999997</v>
      </c>
      <c r="K484" s="110"/>
      <c r="L484" s="110"/>
      <c r="M484" s="110"/>
      <c r="N484" s="110"/>
      <c r="O484" s="110"/>
      <c r="P484" s="109"/>
      <c r="Q484" s="109"/>
      <c r="R484" s="109"/>
      <c r="S484" s="110" t="s">
        <v>954</v>
      </c>
      <c r="T484" s="135"/>
    </row>
    <row r="485" spans="1:20" x14ac:dyDescent="0.2">
      <c r="A485" s="5">
        <v>484</v>
      </c>
      <c r="B485" s="110">
        <v>2832</v>
      </c>
      <c r="C485" s="110" t="s">
        <v>949</v>
      </c>
      <c r="D485" s="110" t="s">
        <v>950</v>
      </c>
      <c r="E485" s="110"/>
      <c r="F485" s="110"/>
      <c r="G485" s="110" t="str">
        <f t="shared" si="7"/>
        <v>2</v>
      </c>
      <c r="H485" s="110"/>
      <c r="I485" s="110">
        <v>141.032263</v>
      </c>
      <c r="J485" s="110">
        <v>40.597876999999997</v>
      </c>
      <c r="K485" s="110"/>
      <c r="L485" s="110"/>
      <c r="M485" s="110"/>
      <c r="N485" s="110"/>
      <c r="O485" s="110"/>
      <c r="P485" s="109"/>
      <c r="Q485" s="109"/>
      <c r="R485" s="109"/>
      <c r="S485" s="110" t="s">
        <v>951</v>
      </c>
      <c r="T485" s="135"/>
    </row>
    <row r="486" spans="1:20" x14ac:dyDescent="0.2">
      <c r="A486" s="5">
        <v>485</v>
      </c>
      <c r="B486" s="110">
        <v>2822</v>
      </c>
      <c r="C486" s="110" t="s">
        <v>946</v>
      </c>
      <c r="D486" s="110" t="s">
        <v>947</v>
      </c>
      <c r="E486" s="110"/>
      <c r="F486" s="110"/>
      <c r="G486" s="110" t="str">
        <f t="shared" si="7"/>
        <v>2</v>
      </c>
      <c r="H486" s="110"/>
      <c r="I486" s="110">
        <v>141.03962300000001</v>
      </c>
      <c r="J486" s="110">
        <v>40.601657000000003</v>
      </c>
      <c r="K486" s="110"/>
      <c r="L486" s="110"/>
      <c r="M486" s="110"/>
      <c r="N486" s="110"/>
      <c r="O486" s="110"/>
      <c r="P486" s="109"/>
      <c r="Q486" s="109"/>
      <c r="R486" s="109"/>
      <c r="S486" s="110" t="s">
        <v>948</v>
      </c>
      <c r="T486" s="135"/>
    </row>
    <row r="487" spans="1:20" x14ac:dyDescent="0.2">
      <c r="A487" s="5">
        <v>486</v>
      </c>
      <c r="B487" s="110">
        <v>2812</v>
      </c>
      <c r="C487" s="110" t="s">
        <v>943</v>
      </c>
      <c r="D487" s="110" t="s">
        <v>944</v>
      </c>
      <c r="E487" s="110"/>
      <c r="F487" s="110"/>
      <c r="G487" s="110" t="str">
        <f t="shared" si="7"/>
        <v>2</v>
      </c>
      <c r="H487" s="110"/>
      <c r="I487" s="110">
        <v>141.04628600000001</v>
      </c>
      <c r="J487" s="110">
        <v>40.600659</v>
      </c>
      <c r="K487" s="110"/>
      <c r="L487" s="110"/>
      <c r="M487" s="110"/>
      <c r="N487" s="110"/>
      <c r="O487" s="110"/>
      <c r="P487" s="109"/>
      <c r="Q487" s="109"/>
      <c r="R487" s="109"/>
      <c r="S487" s="110" t="s">
        <v>945</v>
      </c>
      <c r="T487" s="135"/>
    </row>
    <row r="488" spans="1:20" x14ac:dyDescent="0.2">
      <c r="A488" s="5">
        <v>487</v>
      </c>
      <c r="B488" s="110">
        <v>2802</v>
      </c>
      <c r="C488" s="110" t="s">
        <v>940</v>
      </c>
      <c r="D488" s="110" t="s">
        <v>941</v>
      </c>
      <c r="E488" s="110"/>
      <c r="F488" s="110"/>
      <c r="G488" s="110" t="str">
        <f t="shared" si="7"/>
        <v>2</v>
      </c>
      <c r="H488" s="110"/>
      <c r="I488" s="110">
        <v>141.050647</v>
      </c>
      <c r="J488" s="110">
        <v>40.596280999999998</v>
      </c>
      <c r="K488" s="110"/>
      <c r="L488" s="110"/>
      <c r="M488" s="110"/>
      <c r="N488" s="110"/>
      <c r="O488" s="110"/>
      <c r="P488" s="109"/>
      <c r="Q488" s="109"/>
      <c r="R488" s="109"/>
      <c r="S488" s="110" t="s">
        <v>942</v>
      </c>
      <c r="T488" s="135"/>
    </row>
    <row r="489" spans="1:20" x14ac:dyDescent="0.2">
      <c r="A489" s="5">
        <v>488</v>
      </c>
      <c r="B489" s="110">
        <v>2792</v>
      </c>
      <c r="C489" s="110" t="s">
        <v>937</v>
      </c>
      <c r="D489" s="110" t="s">
        <v>938</v>
      </c>
      <c r="E489" s="110"/>
      <c r="F489" s="110"/>
      <c r="G489" s="110" t="str">
        <f t="shared" si="7"/>
        <v>2</v>
      </c>
      <c r="H489" s="110"/>
      <c r="I489" s="110">
        <v>141.05787900000001</v>
      </c>
      <c r="J489" s="110">
        <v>40.588622999999998</v>
      </c>
      <c r="K489" s="110"/>
      <c r="L489" s="110"/>
      <c r="M489" s="110"/>
      <c r="N489" s="110"/>
      <c r="O489" s="110"/>
      <c r="P489" s="109"/>
      <c r="Q489" s="109"/>
      <c r="R489" s="109"/>
      <c r="S489" s="110" t="s">
        <v>939</v>
      </c>
      <c r="T489" s="135"/>
    </row>
    <row r="490" spans="1:20" x14ac:dyDescent="0.2">
      <c r="A490" s="5">
        <v>489</v>
      </c>
      <c r="B490" s="110">
        <v>2782</v>
      </c>
      <c r="C490" s="110" t="s">
        <v>934</v>
      </c>
      <c r="D490" s="110" t="s">
        <v>935</v>
      </c>
      <c r="E490" s="110"/>
      <c r="F490" s="110"/>
      <c r="G490" s="110" t="str">
        <f t="shared" si="7"/>
        <v>2</v>
      </c>
      <c r="H490" s="110"/>
      <c r="I490" s="110">
        <v>141.05970199999999</v>
      </c>
      <c r="J490" s="110">
        <v>40.586035000000003</v>
      </c>
      <c r="K490" s="110"/>
      <c r="L490" s="110"/>
      <c r="M490" s="110"/>
      <c r="N490" s="110"/>
      <c r="O490" s="110"/>
      <c r="P490" s="109"/>
      <c r="Q490" s="109"/>
      <c r="R490" s="109"/>
      <c r="S490" s="110" t="s">
        <v>936</v>
      </c>
      <c r="T490" s="135"/>
    </row>
    <row r="491" spans="1:20" x14ac:dyDescent="0.2">
      <c r="A491" s="5">
        <v>490</v>
      </c>
      <c r="B491" s="110">
        <v>2772</v>
      </c>
      <c r="C491" s="110" t="s">
        <v>931</v>
      </c>
      <c r="D491" s="110" t="s">
        <v>932</v>
      </c>
      <c r="E491" s="110"/>
      <c r="F491" s="110"/>
      <c r="G491" s="110" t="str">
        <f t="shared" si="7"/>
        <v>2</v>
      </c>
      <c r="H491" s="110"/>
      <c r="I491" s="110">
        <v>141.06626800000001</v>
      </c>
      <c r="J491" s="110">
        <v>40.584018999999998</v>
      </c>
      <c r="K491" s="110"/>
      <c r="L491" s="110"/>
      <c r="M491" s="110"/>
      <c r="N491" s="110"/>
      <c r="O491" s="110"/>
      <c r="P491" s="109"/>
      <c r="Q491" s="109"/>
      <c r="R491" s="109"/>
      <c r="S491" s="110" t="s">
        <v>933</v>
      </c>
      <c r="T491" s="135"/>
    </row>
    <row r="492" spans="1:20" x14ac:dyDescent="0.2">
      <c r="A492" s="5">
        <v>491</v>
      </c>
      <c r="B492" s="110">
        <v>2762</v>
      </c>
      <c r="C492" s="110" t="s">
        <v>928</v>
      </c>
      <c r="D492" s="110" t="s">
        <v>929</v>
      </c>
      <c r="E492" s="110"/>
      <c r="F492" s="110"/>
      <c r="G492" s="110" t="str">
        <f t="shared" si="7"/>
        <v>2</v>
      </c>
      <c r="H492" s="110"/>
      <c r="I492" s="193">
        <v>141.075774</v>
      </c>
      <c r="J492" s="193">
        <v>40.584249999999997</v>
      </c>
      <c r="K492" s="110"/>
      <c r="L492" s="110"/>
      <c r="M492" s="110"/>
      <c r="N492" s="110"/>
      <c r="O492" s="110"/>
      <c r="P492" s="109"/>
      <c r="Q492" s="109"/>
      <c r="R492" s="109"/>
      <c r="S492" s="110" t="s">
        <v>930</v>
      </c>
      <c r="T492" s="135"/>
    </row>
    <row r="493" spans="1:20" x14ac:dyDescent="0.2">
      <c r="A493" s="5">
        <v>492</v>
      </c>
      <c r="B493" s="110">
        <v>2752</v>
      </c>
      <c r="C493" s="110" t="s">
        <v>925</v>
      </c>
      <c r="D493" s="110" t="s">
        <v>926</v>
      </c>
      <c r="E493" s="110"/>
      <c r="F493" s="110"/>
      <c r="G493" s="110" t="str">
        <f t="shared" si="7"/>
        <v>2</v>
      </c>
      <c r="H493" s="110"/>
      <c r="I493" s="110">
        <v>141.05848499999999</v>
      </c>
      <c r="J493" s="110">
        <v>40.585559000000003</v>
      </c>
      <c r="K493" s="110"/>
      <c r="L493" s="110"/>
      <c r="M493" s="110"/>
      <c r="N493" s="110"/>
      <c r="O493" s="110"/>
      <c r="P493" s="109"/>
      <c r="Q493" s="109"/>
      <c r="R493" s="109"/>
      <c r="S493" s="110" t="s">
        <v>927</v>
      </c>
      <c r="T493" s="135"/>
    </row>
    <row r="494" spans="1:20" x14ac:dyDescent="0.2">
      <c r="A494" s="5">
        <v>493</v>
      </c>
      <c r="B494" s="110">
        <v>2742</v>
      </c>
      <c r="C494" s="110" t="s">
        <v>922</v>
      </c>
      <c r="D494" s="192" t="s">
        <v>923</v>
      </c>
      <c r="E494" s="110"/>
      <c r="F494" s="110"/>
      <c r="G494" s="110" t="str">
        <f t="shared" si="7"/>
        <v>2</v>
      </c>
      <c r="H494" s="110"/>
      <c r="I494" s="110">
        <v>141.06320500000001</v>
      </c>
      <c r="J494" s="110">
        <v>40.582369</v>
      </c>
      <c r="K494" s="110"/>
      <c r="L494" s="110"/>
      <c r="M494" s="110"/>
      <c r="N494" s="110"/>
      <c r="O494" s="110"/>
      <c r="P494" s="109"/>
      <c r="Q494" s="109"/>
      <c r="R494" s="109"/>
      <c r="S494" s="110" t="s">
        <v>924</v>
      </c>
      <c r="T494" s="135"/>
    </row>
    <row r="495" spans="1:20" x14ac:dyDescent="0.2">
      <c r="A495" s="5">
        <v>494</v>
      </c>
      <c r="B495" s="110">
        <v>2732</v>
      </c>
      <c r="C495" s="110" t="s">
        <v>919</v>
      </c>
      <c r="D495" s="110" t="s">
        <v>920</v>
      </c>
      <c r="E495" s="110"/>
      <c r="F495" s="110"/>
      <c r="G495" s="110" t="str">
        <f t="shared" si="7"/>
        <v>2</v>
      </c>
      <c r="H495" s="110"/>
      <c r="I495" s="110">
        <v>141.07917</v>
      </c>
      <c r="J495" s="110">
        <v>40.580168</v>
      </c>
      <c r="K495" s="110"/>
      <c r="L495" s="110"/>
      <c r="M495" s="110"/>
      <c r="N495" s="110"/>
      <c r="O495" s="110"/>
      <c r="P495" s="109"/>
      <c r="Q495" s="109"/>
      <c r="R495" s="109"/>
      <c r="S495" s="110" t="s">
        <v>921</v>
      </c>
      <c r="T495" s="135"/>
    </row>
    <row r="496" spans="1:20" x14ac:dyDescent="0.2">
      <c r="A496" s="5">
        <v>495</v>
      </c>
      <c r="B496" s="110">
        <v>2722</v>
      </c>
      <c r="C496" s="110" t="s">
        <v>916</v>
      </c>
      <c r="D496" s="110" t="s">
        <v>917</v>
      </c>
      <c r="E496" s="110"/>
      <c r="F496" s="110"/>
      <c r="G496" s="110" t="str">
        <f t="shared" si="7"/>
        <v>2</v>
      </c>
      <c r="H496" s="110"/>
      <c r="I496" s="193">
        <v>141.08736099999999</v>
      </c>
      <c r="J496" s="193">
        <v>40.587572000000002</v>
      </c>
      <c r="K496" s="110"/>
      <c r="L496" s="110"/>
      <c r="M496" s="110"/>
      <c r="N496" s="110"/>
      <c r="O496" s="110"/>
      <c r="P496" s="109"/>
      <c r="Q496" s="109"/>
      <c r="R496" s="109"/>
      <c r="S496" s="110" t="s">
        <v>918</v>
      </c>
      <c r="T496" s="135"/>
    </row>
    <row r="497" spans="1:20" x14ac:dyDescent="0.2">
      <c r="A497" s="5">
        <v>496</v>
      </c>
      <c r="B497" s="110">
        <v>2712</v>
      </c>
      <c r="C497" s="110" t="s">
        <v>913</v>
      </c>
      <c r="D497" s="110" t="s">
        <v>914</v>
      </c>
      <c r="E497" s="110"/>
      <c r="F497" s="110"/>
      <c r="G497" s="110" t="str">
        <f t="shared" si="7"/>
        <v>2</v>
      </c>
      <c r="H497" s="110"/>
      <c r="I497" s="110">
        <v>141.09565499999999</v>
      </c>
      <c r="J497" s="110">
        <v>40.590974000000003</v>
      </c>
      <c r="K497" s="110"/>
      <c r="L497" s="110"/>
      <c r="M497" s="110"/>
      <c r="N497" s="110"/>
      <c r="O497" s="110"/>
      <c r="P497" s="109"/>
      <c r="Q497" s="109"/>
      <c r="R497" s="109"/>
      <c r="S497" s="110" t="s">
        <v>915</v>
      </c>
      <c r="T497" s="135"/>
    </row>
    <row r="498" spans="1:20" x14ac:dyDescent="0.2">
      <c r="A498" s="5">
        <v>497</v>
      </c>
      <c r="B498" s="110">
        <v>2702</v>
      </c>
      <c r="C498" s="110" t="s">
        <v>910</v>
      </c>
      <c r="D498" s="110" t="s">
        <v>911</v>
      </c>
      <c r="E498" s="110"/>
      <c r="F498" s="110"/>
      <c r="G498" s="110" t="str">
        <f t="shared" si="7"/>
        <v>2</v>
      </c>
      <c r="H498" s="110"/>
      <c r="I498" s="110">
        <v>141.098117</v>
      </c>
      <c r="J498" s="110">
        <v>40.588386999999997</v>
      </c>
      <c r="K498" s="110"/>
      <c r="L498" s="110"/>
      <c r="M498" s="110"/>
      <c r="N498" s="110"/>
      <c r="O498" s="110"/>
      <c r="P498" s="109"/>
      <c r="Q498" s="109"/>
      <c r="R498" s="109"/>
      <c r="S498" s="110" t="s">
        <v>912</v>
      </c>
      <c r="T498" s="135"/>
    </row>
    <row r="499" spans="1:20" x14ac:dyDescent="0.2">
      <c r="A499" s="5">
        <v>498</v>
      </c>
      <c r="B499" s="110">
        <v>2692</v>
      </c>
      <c r="C499" s="110" t="s">
        <v>907</v>
      </c>
      <c r="D499" s="110" t="s">
        <v>908</v>
      </c>
      <c r="E499" s="110"/>
      <c r="F499" s="110"/>
      <c r="G499" s="110" t="str">
        <f t="shared" si="7"/>
        <v>2</v>
      </c>
      <c r="H499" s="110"/>
      <c r="I499" s="110">
        <v>141.09674899999999</v>
      </c>
      <c r="J499" s="110">
        <v>40.586989000000003</v>
      </c>
      <c r="K499" s="110"/>
      <c r="L499" s="110"/>
      <c r="M499" s="110"/>
      <c r="N499" s="110"/>
      <c r="O499" s="110"/>
      <c r="P499" s="109"/>
      <c r="Q499" s="109"/>
      <c r="R499" s="109"/>
      <c r="S499" s="110" t="s">
        <v>909</v>
      </c>
      <c r="T499" s="135"/>
    </row>
    <row r="500" spans="1:20" x14ac:dyDescent="0.2">
      <c r="A500" s="5">
        <v>499</v>
      </c>
      <c r="B500" s="110">
        <v>2682</v>
      </c>
      <c r="C500" s="110" t="s">
        <v>904</v>
      </c>
      <c r="D500" s="110" t="s">
        <v>905</v>
      </c>
      <c r="E500" s="110"/>
      <c r="F500" s="110"/>
      <c r="G500" s="110" t="str">
        <f t="shared" si="7"/>
        <v>2</v>
      </c>
      <c r="H500" s="110"/>
      <c r="I500" s="110">
        <v>141.10042899999999</v>
      </c>
      <c r="J500" s="110">
        <v>40.587547000000001</v>
      </c>
      <c r="K500" s="110"/>
      <c r="L500" s="110"/>
      <c r="M500" s="110"/>
      <c r="N500" s="110"/>
      <c r="O500" s="110"/>
      <c r="P500" s="109"/>
      <c r="Q500" s="109"/>
      <c r="R500" s="109"/>
      <c r="S500" s="110" t="s">
        <v>906</v>
      </c>
      <c r="T500" s="135"/>
    </row>
    <row r="501" spans="1:20" x14ac:dyDescent="0.2">
      <c r="A501" s="5">
        <v>500</v>
      </c>
      <c r="B501" s="110">
        <v>2672</v>
      </c>
      <c r="C501" s="110" t="s">
        <v>901</v>
      </c>
      <c r="D501" s="192" t="s">
        <v>902</v>
      </c>
      <c r="E501" s="110"/>
      <c r="F501" s="110"/>
      <c r="G501" s="110" t="str">
        <f t="shared" si="7"/>
        <v>2</v>
      </c>
      <c r="H501" s="110"/>
      <c r="I501" s="193">
        <v>141.10639699999999</v>
      </c>
      <c r="J501" s="193">
        <v>40.586860000000001</v>
      </c>
      <c r="K501" s="110"/>
      <c r="L501" s="110"/>
      <c r="M501" s="110"/>
      <c r="N501" s="110"/>
      <c r="O501" s="110"/>
      <c r="P501" s="109"/>
      <c r="Q501" s="109"/>
      <c r="R501" s="109"/>
      <c r="S501" s="110" t="s">
        <v>903</v>
      </c>
      <c r="T501" s="135"/>
    </row>
    <row r="502" spans="1:20" x14ac:dyDescent="0.2">
      <c r="A502" s="5">
        <v>501</v>
      </c>
      <c r="B502" s="110">
        <v>2652</v>
      </c>
      <c r="C502" s="110" t="s">
        <v>895</v>
      </c>
      <c r="D502" s="110" t="s">
        <v>896</v>
      </c>
      <c r="E502" s="110"/>
      <c r="F502" s="110"/>
      <c r="G502" s="110" t="str">
        <f t="shared" si="7"/>
        <v>2</v>
      </c>
      <c r="H502" s="110"/>
      <c r="I502" s="110">
        <v>141.109184</v>
      </c>
      <c r="J502" s="110">
        <v>40.587201</v>
      </c>
      <c r="K502" s="110"/>
      <c r="L502" s="110"/>
      <c r="M502" s="110"/>
      <c r="N502" s="110"/>
      <c r="O502" s="110"/>
      <c r="P502" s="109"/>
      <c r="Q502" s="109"/>
      <c r="R502" s="109"/>
      <c r="S502" s="110" t="s">
        <v>897</v>
      </c>
      <c r="T502" s="135"/>
    </row>
    <row r="503" spans="1:20" x14ac:dyDescent="0.2">
      <c r="A503" s="5">
        <v>502</v>
      </c>
      <c r="B503" s="110">
        <v>2642</v>
      </c>
      <c r="C503" s="110" t="s">
        <v>892</v>
      </c>
      <c r="D503" s="110" t="s">
        <v>893</v>
      </c>
      <c r="E503" s="110"/>
      <c r="F503" s="110"/>
      <c r="G503" s="110" t="str">
        <f t="shared" si="7"/>
        <v>2</v>
      </c>
      <c r="H503" s="110"/>
      <c r="I503" s="110">
        <v>141.114082</v>
      </c>
      <c r="J503" s="110">
        <v>40.587069999999997</v>
      </c>
      <c r="K503" s="110"/>
      <c r="L503" s="110"/>
      <c r="M503" s="110"/>
      <c r="N503" s="110"/>
      <c r="O503" s="110"/>
      <c r="P503" s="109"/>
      <c r="Q503" s="109"/>
      <c r="R503" s="109"/>
      <c r="S503" s="110" t="s">
        <v>894</v>
      </c>
      <c r="T503" s="135"/>
    </row>
    <row r="504" spans="1:20" x14ac:dyDescent="0.2">
      <c r="A504" s="5">
        <v>503</v>
      </c>
      <c r="B504" s="110">
        <v>2622</v>
      </c>
      <c r="C504" s="110" t="s">
        <v>886</v>
      </c>
      <c r="D504" s="110" t="s">
        <v>887</v>
      </c>
      <c r="E504" s="110"/>
      <c r="F504" s="110"/>
      <c r="G504" s="110" t="str">
        <f t="shared" si="7"/>
        <v>2</v>
      </c>
      <c r="H504" s="110"/>
      <c r="I504" s="110">
        <v>141.11843200000001</v>
      </c>
      <c r="J504" s="110">
        <v>40.587049999999998</v>
      </c>
      <c r="K504" s="110"/>
      <c r="L504" s="110"/>
      <c r="M504" s="110"/>
      <c r="N504" s="110"/>
      <c r="O504" s="110"/>
      <c r="P504" s="109"/>
      <c r="Q504" s="109"/>
      <c r="R504" s="109"/>
      <c r="S504" s="110" t="s">
        <v>888</v>
      </c>
      <c r="T504" s="135"/>
    </row>
    <row r="505" spans="1:20" x14ac:dyDescent="0.2">
      <c r="A505" s="5">
        <v>504</v>
      </c>
      <c r="B505" s="110">
        <v>2612</v>
      </c>
      <c r="C505" s="110" t="s">
        <v>883</v>
      </c>
      <c r="D505" s="192" t="s">
        <v>884</v>
      </c>
      <c r="E505" s="110"/>
      <c r="F505" s="110"/>
      <c r="G505" s="110" t="str">
        <f t="shared" si="7"/>
        <v>2</v>
      </c>
      <c r="H505" s="110"/>
      <c r="I505" s="193">
        <v>141.124987</v>
      </c>
      <c r="J505" s="193">
        <v>40.586905999999999</v>
      </c>
      <c r="K505" s="110"/>
      <c r="L505" s="110"/>
      <c r="M505" s="110"/>
      <c r="N505" s="110"/>
      <c r="O505" s="110"/>
      <c r="P505" s="109"/>
      <c r="Q505" s="109"/>
      <c r="R505" s="109"/>
      <c r="S505" s="110" t="s">
        <v>885</v>
      </c>
      <c r="T505" s="135"/>
    </row>
    <row r="506" spans="1:20" x14ac:dyDescent="0.2">
      <c r="A506" s="5">
        <v>505</v>
      </c>
      <c r="B506" s="110">
        <v>2602</v>
      </c>
      <c r="C506" s="110" t="s">
        <v>880</v>
      </c>
      <c r="D506" s="110" t="s">
        <v>881</v>
      </c>
      <c r="E506" s="110"/>
      <c r="F506" s="110"/>
      <c r="G506" s="110" t="str">
        <f t="shared" si="7"/>
        <v>2</v>
      </c>
      <c r="H506" s="110"/>
      <c r="I506" s="110">
        <v>141.131044</v>
      </c>
      <c r="J506" s="110">
        <v>40.587986999999998</v>
      </c>
      <c r="K506" s="110"/>
      <c r="L506" s="110"/>
      <c r="M506" s="110"/>
      <c r="N506" s="110"/>
      <c r="O506" s="110"/>
      <c r="P506" s="109"/>
      <c r="Q506" s="109"/>
      <c r="R506" s="109"/>
      <c r="S506" s="110" t="s">
        <v>882</v>
      </c>
      <c r="T506" s="135"/>
    </row>
    <row r="507" spans="1:20" x14ac:dyDescent="0.2">
      <c r="A507" s="5">
        <v>506</v>
      </c>
      <c r="B507" s="110">
        <v>2592</v>
      </c>
      <c r="C507" s="110" t="s">
        <v>877</v>
      </c>
      <c r="D507" s="110" t="s">
        <v>878</v>
      </c>
      <c r="E507" s="110"/>
      <c r="F507" s="110"/>
      <c r="G507" s="110" t="str">
        <f t="shared" si="7"/>
        <v>2</v>
      </c>
      <c r="H507" s="110"/>
      <c r="I507" s="110">
        <v>141.13415499999999</v>
      </c>
      <c r="J507" s="110">
        <v>40.587485999999998</v>
      </c>
      <c r="K507" s="110"/>
      <c r="L507" s="110"/>
      <c r="M507" s="110"/>
      <c r="N507" s="110"/>
      <c r="O507" s="110"/>
      <c r="P507" s="109"/>
      <c r="Q507" s="109"/>
      <c r="R507" s="109"/>
      <c r="S507" s="110" t="s">
        <v>879</v>
      </c>
      <c r="T507" s="135"/>
    </row>
    <row r="508" spans="1:20" x14ac:dyDescent="0.2">
      <c r="A508" s="5">
        <v>507</v>
      </c>
      <c r="B508" s="110">
        <v>2582</v>
      </c>
      <c r="C508" s="110" t="s">
        <v>874</v>
      </c>
      <c r="D508" s="110" t="s">
        <v>875</v>
      </c>
      <c r="E508" s="110"/>
      <c r="F508" s="110"/>
      <c r="G508" s="110" t="str">
        <f t="shared" si="7"/>
        <v>2</v>
      </c>
      <c r="H508" s="110"/>
      <c r="I508" s="110">
        <v>141.13653199999999</v>
      </c>
      <c r="J508" s="110">
        <v>40.584789000000001</v>
      </c>
      <c r="K508" s="110"/>
      <c r="L508" s="110"/>
      <c r="M508" s="110"/>
      <c r="N508" s="110"/>
      <c r="O508" s="110"/>
      <c r="P508" s="109"/>
      <c r="Q508" s="109"/>
      <c r="R508" s="109"/>
      <c r="S508" s="110" t="s">
        <v>876</v>
      </c>
      <c r="T508" s="135"/>
    </row>
    <row r="509" spans="1:20" x14ac:dyDescent="0.2">
      <c r="A509" s="5">
        <v>508</v>
      </c>
      <c r="B509" s="110">
        <v>2572</v>
      </c>
      <c r="C509" s="110" t="s">
        <v>871</v>
      </c>
      <c r="D509" s="110" t="s">
        <v>872</v>
      </c>
      <c r="E509" s="110"/>
      <c r="F509" s="110"/>
      <c r="G509" s="110" t="str">
        <f t="shared" si="7"/>
        <v>2</v>
      </c>
      <c r="H509" s="110"/>
      <c r="I509" s="110">
        <v>141.14003500000001</v>
      </c>
      <c r="J509" s="110">
        <v>40.580686</v>
      </c>
      <c r="K509" s="110"/>
      <c r="L509" s="110"/>
      <c r="M509" s="110"/>
      <c r="N509" s="110"/>
      <c r="O509" s="110"/>
      <c r="P509" s="109"/>
      <c r="Q509" s="109"/>
      <c r="R509" s="109"/>
      <c r="S509" s="110" t="s">
        <v>873</v>
      </c>
      <c r="T509" s="135"/>
    </row>
    <row r="510" spans="1:20" x14ac:dyDescent="0.2">
      <c r="A510" s="5">
        <v>509</v>
      </c>
      <c r="B510" s="110">
        <v>2562</v>
      </c>
      <c r="C510" s="110" t="s">
        <v>868</v>
      </c>
      <c r="D510" s="110" t="s">
        <v>869</v>
      </c>
      <c r="E510" s="110"/>
      <c r="F510" s="110"/>
      <c r="G510" s="110" t="str">
        <f t="shared" si="7"/>
        <v>2</v>
      </c>
      <c r="H510" s="110"/>
      <c r="I510" s="110">
        <v>141.145555</v>
      </c>
      <c r="J510" s="110">
        <v>40.581162999999997</v>
      </c>
      <c r="K510" s="110"/>
      <c r="L510" s="110"/>
      <c r="M510" s="110"/>
      <c r="N510" s="110"/>
      <c r="O510" s="110"/>
      <c r="P510" s="109"/>
      <c r="Q510" s="109"/>
      <c r="R510" s="109"/>
      <c r="S510" s="110" t="s">
        <v>870</v>
      </c>
      <c r="T510" s="135"/>
    </row>
    <row r="511" spans="1:20" x14ac:dyDescent="0.2">
      <c r="A511" s="5">
        <v>510</v>
      </c>
      <c r="B511" s="110">
        <v>2552</v>
      </c>
      <c r="C511" s="110" t="s">
        <v>865</v>
      </c>
      <c r="D511" s="110" t="s">
        <v>866</v>
      </c>
      <c r="E511" s="110"/>
      <c r="F511" s="110"/>
      <c r="G511" s="110" t="str">
        <f t="shared" si="7"/>
        <v>2</v>
      </c>
      <c r="H511" s="110"/>
      <c r="I511" s="110">
        <v>141.148325</v>
      </c>
      <c r="J511" s="110">
        <v>40.582050000000002</v>
      </c>
      <c r="K511" s="110"/>
      <c r="L511" s="110"/>
      <c r="M511" s="110"/>
      <c r="N511" s="110"/>
      <c r="O511" s="110"/>
      <c r="P511" s="109"/>
      <c r="Q511" s="109"/>
      <c r="R511" s="109"/>
      <c r="S511" s="110" t="s">
        <v>867</v>
      </c>
      <c r="T511" s="135"/>
    </row>
    <row r="512" spans="1:20" x14ac:dyDescent="0.2">
      <c r="A512" s="5">
        <v>511</v>
      </c>
      <c r="B512" s="110">
        <v>2542</v>
      </c>
      <c r="C512" s="110" t="s">
        <v>862</v>
      </c>
      <c r="D512" s="110" t="s">
        <v>863</v>
      </c>
      <c r="E512" s="110"/>
      <c r="F512" s="110"/>
      <c r="G512" s="110" t="str">
        <f t="shared" si="7"/>
        <v>2</v>
      </c>
      <c r="H512" s="110"/>
      <c r="I512" s="192">
        <v>141.153549</v>
      </c>
      <c r="J512" s="192">
        <v>40.585034</v>
      </c>
      <c r="K512" s="110"/>
      <c r="L512" s="110"/>
      <c r="M512" s="110"/>
      <c r="N512" s="110"/>
      <c r="O512" s="110"/>
      <c r="P512" s="109"/>
      <c r="Q512" s="109"/>
      <c r="R512" s="109"/>
      <c r="S512" s="110" t="s">
        <v>864</v>
      </c>
      <c r="T512" s="135"/>
    </row>
    <row r="513" spans="1:20" x14ac:dyDescent="0.2">
      <c r="A513" s="5">
        <v>512</v>
      </c>
      <c r="B513" s="110">
        <v>2532</v>
      </c>
      <c r="C513" s="110" t="s">
        <v>859</v>
      </c>
      <c r="D513" s="110" t="s">
        <v>860</v>
      </c>
      <c r="E513" s="110"/>
      <c r="F513" s="110"/>
      <c r="G513" s="110" t="str">
        <f t="shared" si="7"/>
        <v>2</v>
      </c>
      <c r="H513" s="110"/>
      <c r="I513" s="110">
        <v>141.150533</v>
      </c>
      <c r="J513" s="110">
        <v>40.588878000000001</v>
      </c>
      <c r="K513" s="110"/>
      <c r="L513" s="110"/>
      <c r="M513" s="110"/>
      <c r="N513" s="110"/>
      <c r="O513" s="110"/>
      <c r="P513" s="109"/>
      <c r="Q513" s="109"/>
      <c r="R513" s="109"/>
      <c r="S513" s="110" t="s">
        <v>861</v>
      </c>
      <c r="T513" s="135"/>
    </row>
    <row r="514" spans="1:20" x14ac:dyDescent="0.2">
      <c r="A514" s="5">
        <v>513</v>
      </c>
      <c r="B514" s="110">
        <v>2522</v>
      </c>
      <c r="C514" s="110" t="s">
        <v>856</v>
      </c>
      <c r="D514" s="110" t="s">
        <v>857</v>
      </c>
      <c r="E514" s="110"/>
      <c r="F514" s="110"/>
      <c r="G514" s="110" t="str">
        <f t="shared" si="7"/>
        <v>2</v>
      </c>
      <c r="H514" s="110"/>
      <c r="I514" s="110">
        <v>141.14881099999999</v>
      </c>
      <c r="J514" s="110">
        <v>40.591918</v>
      </c>
      <c r="K514" s="110"/>
      <c r="L514" s="110"/>
      <c r="M514" s="110"/>
      <c r="N514" s="110"/>
      <c r="O514" s="110"/>
      <c r="P514" s="109"/>
      <c r="Q514" s="109"/>
      <c r="R514" s="109"/>
      <c r="S514" s="110" t="s">
        <v>858</v>
      </c>
      <c r="T514" s="135"/>
    </row>
    <row r="515" spans="1:20" x14ac:dyDescent="0.2">
      <c r="A515" s="5">
        <v>514</v>
      </c>
      <c r="B515" s="110">
        <v>2512</v>
      </c>
      <c r="C515" s="110" t="s">
        <v>853</v>
      </c>
      <c r="D515" s="110" t="s">
        <v>854</v>
      </c>
      <c r="E515" s="110"/>
      <c r="F515" s="110"/>
      <c r="G515" s="110" t="str">
        <f t="shared" si="7"/>
        <v>2</v>
      </c>
      <c r="H515" s="110"/>
      <c r="I515" s="110">
        <v>141.15083300000001</v>
      </c>
      <c r="J515" s="110">
        <v>40.596415</v>
      </c>
      <c r="K515" s="110"/>
      <c r="L515" s="110"/>
      <c r="M515" s="110"/>
      <c r="N515" s="110"/>
      <c r="O515" s="110"/>
      <c r="P515" s="109"/>
      <c r="Q515" s="109"/>
      <c r="R515" s="109"/>
      <c r="S515" s="110" t="s">
        <v>855</v>
      </c>
      <c r="T515" s="135"/>
    </row>
    <row r="516" spans="1:20" x14ac:dyDescent="0.2">
      <c r="A516" s="5">
        <v>515</v>
      </c>
      <c r="B516" s="110">
        <v>2502</v>
      </c>
      <c r="C516" s="110" t="s">
        <v>850</v>
      </c>
      <c r="D516" s="110" t="s">
        <v>851</v>
      </c>
      <c r="E516" s="110"/>
      <c r="F516" s="110"/>
      <c r="G516" s="110" t="str">
        <f t="shared" ref="G516:G579" si="8">RIGHT(B516,1)</f>
        <v>2</v>
      </c>
      <c r="H516" s="110"/>
      <c r="I516" s="110">
        <v>141.164995</v>
      </c>
      <c r="J516" s="110">
        <v>40.605871</v>
      </c>
      <c r="K516" s="110"/>
      <c r="L516" s="110"/>
      <c r="M516" s="110"/>
      <c r="N516" s="110"/>
      <c r="O516" s="110"/>
      <c r="P516" s="109"/>
      <c r="Q516" s="109"/>
      <c r="R516" s="109"/>
      <c r="S516" s="110" t="s">
        <v>852</v>
      </c>
      <c r="T516" s="135"/>
    </row>
    <row r="517" spans="1:20" x14ac:dyDescent="0.2">
      <c r="A517" s="5">
        <v>516</v>
      </c>
      <c r="B517" s="110">
        <v>2492</v>
      </c>
      <c r="C517" s="110" t="s">
        <v>847</v>
      </c>
      <c r="D517" s="110" t="s">
        <v>848</v>
      </c>
      <c r="E517" s="110"/>
      <c r="F517" s="110"/>
      <c r="G517" s="110" t="str">
        <f t="shared" si="8"/>
        <v>2</v>
      </c>
      <c r="H517" s="110"/>
      <c r="I517" s="110">
        <v>141.16917900000001</v>
      </c>
      <c r="J517" s="110">
        <v>40.607798000000003</v>
      </c>
      <c r="K517" s="110"/>
      <c r="L517" s="110"/>
      <c r="M517" s="110"/>
      <c r="N517" s="110"/>
      <c r="O517" s="110"/>
      <c r="P517" s="109"/>
      <c r="Q517" s="109"/>
      <c r="R517" s="109"/>
      <c r="S517" s="110" t="s">
        <v>849</v>
      </c>
      <c r="T517" s="135"/>
    </row>
    <row r="518" spans="1:20" x14ac:dyDescent="0.2">
      <c r="A518" s="5">
        <v>517</v>
      </c>
      <c r="B518" s="110">
        <v>2482</v>
      </c>
      <c r="C518" s="110" t="s">
        <v>844</v>
      </c>
      <c r="D518" s="110" t="s">
        <v>845</v>
      </c>
      <c r="E518" s="110"/>
      <c r="F518" s="110"/>
      <c r="G518" s="110" t="str">
        <f t="shared" si="8"/>
        <v>2</v>
      </c>
      <c r="H518" s="110"/>
      <c r="I518" s="110">
        <v>141.17212499999999</v>
      </c>
      <c r="J518" s="110">
        <v>40.609008000000003</v>
      </c>
      <c r="K518" s="110"/>
      <c r="L518" s="110"/>
      <c r="M518" s="110"/>
      <c r="N518" s="110"/>
      <c r="O518" s="110"/>
      <c r="P518" s="109"/>
      <c r="Q518" s="109"/>
      <c r="R518" s="109"/>
      <c r="S518" s="110" t="s">
        <v>846</v>
      </c>
      <c r="T518" s="135"/>
    </row>
    <row r="519" spans="1:20" x14ac:dyDescent="0.2">
      <c r="A519" s="5">
        <v>518</v>
      </c>
      <c r="B519" s="110">
        <v>2472</v>
      </c>
      <c r="C519" s="110" t="s">
        <v>841</v>
      </c>
      <c r="D519" s="110" t="s">
        <v>842</v>
      </c>
      <c r="E519" s="110"/>
      <c r="F519" s="110"/>
      <c r="G519" s="110" t="str">
        <f t="shared" si="8"/>
        <v>2</v>
      </c>
      <c r="H519" s="110"/>
      <c r="I519" s="110">
        <v>141.17862600000001</v>
      </c>
      <c r="J519" s="110">
        <v>40.610301999999997</v>
      </c>
      <c r="K519" s="110"/>
      <c r="L519" s="110"/>
      <c r="M519" s="110"/>
      <c r="N519" s="110"/>
      <c r="O519" s="110"/>
      <c r="P519" s="109"/>
      <c r="Q519" s="109"/>
      <c r="R519" s="109"/>
      <c r="S519" s="110" t="s">
        <v>843</v>
      </c>
      <c r="T519" s="135"/>
    </row>
    <row r="520" spans="1:20" x14ac:dyDescent="0.2">
      <c r="A520" s="5">
        <v>519</v>
      </c>
      <c r="B520" s="110">
        <v>2462</v>
      </c>
      <c r="C520" s="110" t="s">
        <v>838</v>
      </c>
      <c r="D520" s="110" t="s">
        <v>839</v>
      </c>
      <c r="E520" s="110"/>
      <c r="F520" s="110"/>
      <c r="G520" s="110" t="str">
        <f t="shared" si="8"/>
        <v>2</v>
      </c>
      <c r="H520" s="110"/>
      <c r="I520" s="110">
        <v>141.18224699999999</v>
      </c>
      <c r="J520" s="110">
        <v>40.610733000000003</v>
      </c>
      <c r="K520" s="110"/>
      <c r="L520" s="110"/>
      <c r="M520" s="110"/>
      <c r="N520" s="110"/>
      <c r="O520" s="110"/>
      <c r="P520" s="109"/>
      <c r="Q520" s="109"/>
      <c r="R520" s="109"/>
      <c r="S520" s="110" t="s">
        <v>840</v>
      </c>
      <c r="T520" s="135"/>
    </row>
    <row r="521" spans="1:20" x14ac:dyDescent="0.2">
      <c r="A521" s="5">
        <v>520</v>
      </c>
      <c r="B521" s="110">
        <v>2452</v>
      </c>
      <c r="C521" s="110" t="s">
        <v>835</v>
      </c>
      <c r="D521" s="110" t="s">
        <v>836</v>
      </c>
      <c r="E521" s="110"/>
      <c r="F521" s="110"/>
      <c r="G521" s="110" t="str">
        <f t="shared" si="8"/>
        <v>2</v>
      </c>
      <c r="H521" s="110"/>
      <c r="I521" s="110">
        <v>141.18843799999999</v>
      </c>
      <c r="J521" s="110">
        <v>40.611449999999998</v>
      </c>
      <c r="K521" s="110"/>
      <c r="L521" s="110"/>
      <c r="M521" s="110"/>
      <c r="N521" s="110"/>
      <c r="O521" s="110"/>
      <c r="P521" s="109"/>
      <c r="Q521" s="109"/>
      <c r="R521" s="109"/>
      <c r="S521" s="110" t="s">
        <v>837</v>
      </c>
      <c r="T521" s="135"/>
    </row>
    <row r="522" spans="1:20" x14ac:dyDescent="0.2">
      <c r="A522" s="5">
        <v>521</v>
      </c>
      <c r="B522" s="110">
        <v>2442</v>
      </c>
      <c r="C522" s="110" t="s">
        <v>832</v>
      </c>
      <c r="D522" s="110" t="s">
        <v>833</v>
      </c>
      <c r="E522" s="110"/>
      <c r="F522" s="110"/>
      <c r="G522" s="110" t="str">
        <f t="shared" si="8"/>
        <v>2</v>
      </c>
      <c r="H522" s="110"/>
      <c r="I522" s="110">
        <v>141.19487000000001</v>
      </c>
      <c r="J522" s="110">
        <v>40.612231999999999</v>
      </c>
      <c r="K522" s="110"/>
      <c r="L522" s="110"/>
      <c r="M522" s="110"/>
      <c r="N522" s="110"/>
      <c r="O522" s="110"/>
      <c r="P522" s="109"/>
      <c r="Q522" s="109"/>
      <c r="R522" s="109"/>
      <c r="S522" s="110" t="s">
        <v>834</v>
      </c>
      <c r="T522" s="135"/>
    </row>
    <row r="523" spans="1:20" x14ac:dyDescent="0.2">
      <c r="A523" s="5">
        <v>522</v>
      </c>
      <c r="B523" s="110">
        <v>2432</v>
      </c>
      <c r="C523" s="110" t="s">
        <v>829</v>
      </c>
      <c r="D523" s="110" t="s">
        <v>976</v>
      </c>
      <c r="E523" s="110"/>
      <c r="F523" s="110"/>
      <c r="G523" s="110" t="str">
        <f t="shared" si="8"/>
        <v>2</v>
      </c>
      <c r="H523" s="110"/>
      <c r="I523" s="110">
        <v>141.197418</v>
      </c>
      <c r="J523" s="110">
        <v>40.612533999999997</v>
      </c>
      <c r="K523" s="110"/>
      <c r="L523" s="110"/>
      <c r="M523" s="110"/>
      <c r="N523" s="110"/>
      <c r="O523" s="110"/>
      <c r="P523" s="109"/>
      <c r="Q523" s="109"/>
      <c r="R523" s="109"/>
      <c r="S523" s="110" t="s">
        <v>831</v>
      </c>
      <c r="T523" s="135"/>
    </row>
    <row r="524" spans="1:20" x14ac:dyDescent="0.2">
      <c r="A524" s="5">
        <v>523</v>
      </c>
      <c r="B524" s="110">
        <v>2422</v>
      </c>
      <c r="C524" s="110" t="s">
        <v>826</v>
      </c>
      <c r="D524" s="110" t="s">
        <v>827</v>
      </c>
      <c r="E524" s="110"/>
      <c r="F524" s="110"/>
      <c r="G524" s="110" t="str">
        <f t="shared" si="8"/>
        <v>2</v>
      </c>
      <c r="H524" s="110"/>
      <c r="I524" s="110">
        <v>141.199488</v>
      </c>
      <c r="J524" s="110">
        <v>40.612476999999998</v>
      </c>
      <c r="K524" s="110"/>
      <c r="L524" s="110"/>
      <c r="M524" s="110"/>
      <c r="N524" s="110"/>
      <c r="O524" s="110"/>
      <c r="P524" s="109"/>
      <c r="Q524" s="109"/>
      <c r="R524" s="109"/>
      <c r="S524" s="110" t="s">
        <v>828</v>
      </c>
      <c r="T524" s="135"/>
    </row>
    <row r="525" spans="1:20" x14ac:dyDescent="0.2">
      <c r="A525" s="5">
        <v>524</v>
      </c>
      <c r="B525" s="110">
        <v>2412</v>
      </c>
      <c r="C525" s="110" t="s">
        <v>823</v>
      </c>
      <c r="D525" s="110" t="s">
        <v>824</v>
      </c>
      <c r="E525" s="110"/>
      <c r="F525" s="110"/>
      <c r="G525" s="110" t="str">
        <f t="shared" si="8"/>
        <v>2</v>
      </c>
      <c r="H525" s="110"/>
      <c r="I525" s="110">
        <v>141.20223999999999</v>
      </c>
      <c r="J525" s="110">
        <v>40.610683999999999</v>
      </c>
      <c r="K525" s="110"/>
      <c r="L525" s="110"/>
      <c r="M525" s="110"/>
      <c r="N525" s="110"/>
      <c r="O525" s="110"/>
      <c r="P525" s="109"/>
      <c r="Q525" s="109"/>
      <c r="R525" s="109"/>
      <c r="S525" s="110" t="s">
        <v>825</v>
      </c>
      <c r="T525" s="135"/>
    </row>
    <row r="526" spans="1:20" x14ac:dyDescent="0.2">
      <c r="A526" s="5">
        <v>525</v>
      </c>
      <c r="B526" s="110">
        <v>2402</v>
      </c>
      <c r="C526" s="110" t="s">
        <v>820</v>
      </c>
      <c r="D526" s="110" t="s">
        <v>821</v>
      </c>
      <c r="E526" s="110"/>
      <c r="F526" s="110"/>
      <c r="G526" s="110" t="str">
        <f t="shared" si="8"/>
        <v>2</v>
      </c>
      <c r="H526" s="110"/>
      <c r="I526" s="110">
        <v>141.22057599999999</v>
      </c>
      <c r="J526" s="110">
        <v>40.622453999999998</v>
      </c>
      <c r="K526" s="110"/>
      <c r="L526" s="110"/>
      <c r="M526" s="110"/>
      <c r="N526" s="110"/>
      <c r="O526" s="110"/>
      <c r="P526" s="109"/>
      <c r="Q526" s="109"/>
      <c r="R526" s="109"/>
      <c r="S526" s="110" t="s">
        <v>822</v>
      </c>
      <c r="T526" s="135"/>
    </row>
    <row r="527" spans="1:20" x14ac:dyDescent="0.2">
      <c r="A527" s="5">
        <v>526</v>
      </c>
      <c r="B527" s="110">
        <v>2392</v>
      </c>
      <c r="C527" s="110" t="s">
        <v>817</v>
      </c>
      <c r="D527" s="192" t="s">
        <v>977</v>
      </c>
      <c r="E527" s="110"/>
      <c r="F527" s="110"/>
      <c r="G527" s="110" t="str">
        <f t="shared" si="8"/>
        <v>2</v>
      </c>
      <c r="H527" s="110"/>
      <c r="I527" s="110">
        <v>141.223097</v>
      </c>
      <c r="J527" s="110">
        <v>40.620066999999999</v>
      </c>
      <c r="K527" s="110"/>
      <c r="L527" s="110"/>
      <c r="M527" s="110"/>
      <c r="N527" s="110"/>
      <c r="O527" s="110"/>
      <c r="P527" s="109"/>
      <c r="Q527" s="109"/>
      <c r="R527" s="109"/>
      <c r="S527" s="110" t="s">
        <v>819</v>
      </c>
      <c r="T527" s="135"/>
    </row>
    <row r="528" spans="1:20" x14ac:dyDescent="0.2">
      <c r="A528" s="5">
        <v>527</v>
      </c>
      <c r="B528" s="110">
        <v>2382</v>
      </c>
      <c r="C528" s="110" t="s">
        <v>814</v>
      </c>
      <c r="D528" s="110" t="s">
        <v>815</v>
      </c>
      <c r="E528" s="110"/>
      <c r="F528" s="110"/>
      <c r="G528" s="110" t="str">
        <f t="shared" si="8"/>
        <v>2</v>
      </c>
      <c r="H528" s="110"/>
      <c r="I528" s="110">
        <v>141.22606400000001</v>
      </c>
      <c r="J528" s="110">
        <v>40.621150999999998</v>
      </c>
      <c r="K528" s="110"/>
      <c r="L528" s="110"/>
      <c r="M528" s="110"/>
      <c r="N528" s="110"/>
      <c r="O528" s="110"/>
      <c r="P528" s="109"/>
      <c r="Q528" s="109"/>
      <c r="R528" s="109"/>
      <c r="S528" s="110" t="s">
        <v>816</v>
      </c>
      <c r="T528" s="135"/>
    </row>
    <row r="529" spans="1:20" x14ac:dyDescent="0.2">
      <c r="A529" s="5">
        <v>528</v>
      </c>
      <c r="B529" s="110">
        <v>2372</v>
      </c>
      <c r="C529" s="110" t="s">
        <v>811</v>
      </c>
      <c r="D529" s="110" t="s">
        <v>812</v>
      </c>
      <c r="E529" s="110"/>
      <c r="F529" s="110"/>
      <c r="G529" s="110" t="str">
        <f t="shared" si="8"/>
        <v>2</v>
      </c>
      <c r="H529" s="110"/>
      <c r="I529" s="110">
        <v>141.228993</v>
      </c>
      <c r="J529" s="110">
        <v>40.622303000000002</v>
      </c>
      <c r="K529" s="110"/>
      <c r="L529" s="110"/>
      <c r="M529" s="110"/>
      <c r="N529" s="110"/>
      <c r="O529" s="110"/>
      <c r="P529" s="109"/>
      <c r="Q529" s="109"/>
      <c r="R529" s="109"/>
      <c r="S529" s="110" t="s">
        <v>813</v>
      </c>
      <c r="T529" s="135"/>
    </row>
    <row r="530" spans="1:20" x14ac:dyDescent="0.2">
      <c r="A530" s="5">
        <v>529</v>
      </c>
      <c r="B530" s="110">
        <v>2362</v>
      </c>
      <c r="C530" s="110" t="s">
        <v>808</v>
      </c>
      <c r="D530" s="110" t="s">
        <v>809</v>
      </c>
      <c r="E530" s="110"/>
      <c r="F530" s="110"/>
      <c r="G530" s="110" t="str">
        <f t="shared" si="8"/>
        <v>2</v>
      </c>
      <c r="H530" s="110"/>
      <c r="I530" s="110">
        <v>141.23497900000001</v>
      </c>
      <c r="J530" s="110">
        <v>40.624566999999999</v>
      </c>
      <c r="K530" s="110"/>
      <c r="L530" s="110"/>
      <c r="M530" s="110"/>
      <c r="N530" s="110"/>
      <c r="O530" s="110"/>
      <c r="P530" s="109"/>
      <c r="Q530" s="109"/>
      <c r="R530" s="109"/>
      <c r="S530" s="110" t="s">
        <v>810</v>
      </c>
      <c r="T530" s="135"/>
    </row>
    <row r="531" spans="1:20" x14ac:dyDescent="0.2">
      <c r="A531" s="5">
        <v>530</v>
      </c>
      <c r="B531" s="110">
        <v>2352</v>
      </c>
      <c r="C531" s="110" t="s">
        <v>805</v>
      </c>
      <c r="D531" s="110" t="s">
        <v>806</v>
      </c>
      <c r="E531" s="110"/>
      <c r="F531" s="110"/>
      <c r="G531" s="110" t="str">
        <f t="shared" si="8"/>
        <v>2</v>
      </c>
      <c r="H531" s="110"/>
      <c r="I531" s="110">
        <v>141.238123</v>
      </c>
      <c r="J531" s="110">
        <v>40.627215</v>
      </c>
      <c r="K531" s="110"/>
      <c r="L531" s="110"/>
      <c r="M531" s="110"/>
      <c r="N531" s="110"/>
      <c r="O531" s="110"/>
      <c r="P531" s="109"/>
      <c r="Q531" s="109"/>
      <c r="R531" s="109"/>
      <c r="S531" s="110" t="s">
        <v>807</v>
      </c>
      <c r="T531" s="135"/>
    </row>
    <row r="532" spans="1:20" x14ac:dyDescent="0.2">
      <c r="A532" s="5">
        <v>531</v>
      </c>
      <c r="B532" s="110">
        <v>2342</v>
      </c>
      <c r="C532" s="110" t="s">
        <v>802</v>
      </c>
      <c r="D532" s="110" t="s">
        <v>803</v>
      </c>
      <c r="E532" s="110"/>
      <c r="F532" s="110"/>
      <c r="G532" s="110" t="str">
        <f t="shared" si="8"/>
        <v>2</v>
      </c>
      <c r="H532" s="110"/>
      <c r="I532" s="110">
        <v>141.24296200000001</v>
      </c>
      <c r="J532" s="110">
        <v>40.627076000000002</v>
      </c>
      <c r="K532" s="110"/>
      <c r="L532" s="110"/>
      <c r="M532" s="110"/>
      <c r="N532" s="110"/>
      <c r="O532" s="110"/>
      <c r="P532" s="109"/>
      <c r="Q532" s="109"/>
      <c r="R532" s="109"/>
      <c r="S532" s="110" t="s">
        <v>804</v>
      </c>
      <c r="T532" s="135"/>
    </row>
    <row r="533" spans="1:20" x14ac:dyDescent="0.2">
      <c r="A533" s="5">
        <v>532</v>
      </c>
      <c r="B533" s="110">
        <v>2332</v>
      </c>
      <c r="C533" s="110" t="s">
        <v>799</v>
      </c>
      <c r="D533" s="110" t="s">
        <v>800</v>
      </c>
      <c r="E533" s="110"/>
      <c r="F533" s="110"/>
      <c r="G533" s="110" t="str">
        <f t="shared" si="8"/>
        <v>2</v>
      </c>
      <c r="H533" s="110"/>
      <c r="I533" s="110">
        <v>141.24387400000001</v>
      </c>
      <c r="J533" s="110">
        <v>40.625675000000001</v>
      </c>
      <c r="K533" s="110"/>
      <c r="L533" s="110"/>
      <c r="M533" s="110"/>
      <c r="N533" s="110"/>
      <c r="O533" s="110"/>
      <c r="P533" s="109"/>
      <c r="Q533" s="109"/>
      <c r="R533" s="109"/>
      <c r="S533" s="110" t="s">
        <v>801</v>
      </c>
      <c r="T533" s="135"/>
    </row>
    <row r="534" spans="1:20" x14ac:dyDescent="0.2">
      <c r="A534" s="5">
        <v>533</v>
      </c>
      <c r="B534" s="110">
        <v>2921</v>
      </c>
      <c r="C534" s="110" t="s">
        <v>978</v>
      </c>
      <c r="D534" s="192" t="s">
        <v>979</v>
      </c>
      <c r="E534" s="110"/>
      <c r="F534" s="110"/>
      <c r="G534" s="110" t="str">
        <f t="shared" si="8"/>
        <v>1</v>
      </c>
      <c r="H534" s="110"/>
      <c r="I534" s="110">
        <v>141.152491</v>
      </c>
      <c r="J534" s="110">
        <v>40.712086999999997</v>
      </c>
      <c r="K534" s="110"/>
      <c r="L534" s="110"/>
      <c r="M534" s="110"/>
      <c r="N534" s="110"/>
      <c r="O534" s="110"/>
      <c r="P534" s="109"/>
      <c r="Q534" s="109"/>
      <c r="R534" s="109"/>
      <c r="S534" s="110" t="s">
        <v>980</v>
      </c>
      <c r="T534" s="135"/>
    </row>
    <row r="535" spans="1:20" x14ac:dyDescent="0.2">
      <c r="A535" s="5">
        <v>534</v>
      </c>
      <c r="B535" s="110">
        <v>2931</v>
      </c>
      <c r="C535" s="110" t="s">
        <v>981</v>
      </c>
      <c r="D535" s="110" t="s">
        <v>982</v>
      </c>
      <c r="E535" s="110"/>
      <c r="F535" s="110"/>
      <c r="G535" s="110" t="str">
        <f t="shared" si="8"/>
        <v>1</v>
      </c>
      <c r="H535" s="110"/>
      <c r="I535" s="110">
        <v>141.150474</v>
      </c>
      <c r="J535" s="110">
        <v>40.711053999999997</v>
      </c>
      <c r="K535" s="110"/>
      <c r="L535" s="110"/>
      <c r="M535" s="110"/>
      <c r="N535" s="110"/>
      <c r="O535" s="110"/>
      <c r="P535" s="109"/>
      <c r="Q535" s="109"/>
      <c r="R535" s="109"/>
      <c r="S535" s="110" t="s">
        <v>983</v>
      </c>
      <c r="T535" s="135"/>
    </row>
    <row r="536" spans="1:20" x14ac:dyDescent="0.2">
      <c r="A536" s="5">
        <v>535</v>
      </c>
      <c r="B536" s="110">
        <v>2941</v>
      </c>
      <c r="C536" s="110" t="s">
        <v>984</v>
      </c>
      <c r="D536" s="110" t="s">
        <v>985</v>
      </c>
      <c r="E536" s="110"/>
      <c r="F536" s="110"/>
      <c r="G536" s="110" t="str">
        <f t="shared" si="8"/>
        <v>1</v>
      </c>
      <c r="H536" s="110"/>
      <c r="I536" s="110">
        <v>141.14960500000001</v>
      </c>
      <c r="J536" s="110">
        <v>40.703989999999997</v>
      </c>
      <c r="K536" s="110"/>
      <c r="L536" s="110"/>
      <c r="M536" s="110"/>
      <c r="N536" s="110"/>
      <c r="O536" s="110"/>
      <c r="P536" s="109"/>
      <c r="Q536" s="109"/>
      <c r="R536" s="109"/>
      <c r="S536" s="110" t="s">
        <v>986</v>
      </c>
      <c r="T536" s="135"/>
    </row>
    <row r="537" spans="1:20" x14ac:dyDescent="0.2">
      <c r="A537" s="5">
        <v>536</v>
      </c>
      <c r="B537" s="110">
        <v>2951</v>
      </c>
      <c r="C537" s="110" t="s">
        <v>987</v>
      </c>
      <c r="D537" s="110" t="s">
        <v>988</v>
      </c>
      <c r="E537" s="110"/>
      <c r="F537" s="110"/>
      <c r="G537" s="110" t="str">
        <f t="shared" si="8"/>
        <v>1</v>
      </c>
      <c r="H537" s="110"/>
      <c r="I537" s="110">
        <v>141.15330599999999</v>
      </c>
      <c r="J537" s="110">
        <v>40.704621000000003</v>
      </c>
      <c r="K537" s="110"/>
      <c r="L537" s="110"/>
      <c r="M537" s="110"/>
      <c r="N537" s="110"/>
      <c r="O537" s="110"/>
      <c r="P537" s="109"/>
      <c r="Q537" s="109"/>
      <c r="R537" s="109"/>
      <c r="S537" s="110" t="s">
        <v>989</v>
      </c>
      <c r="T537" s="135"/>
    </row>
    <row r="538" spans="1:20" x14ac:dyDescent="0.2">
      <c r="A538" s="5">
        <v>537</v>
      </c>
      <c r="B538" s="110">
        <v>1793</v>
      </c>
      <c r="C538" s="110" t="s">
        <v>990</v>
      </c>
      <c r="D538" s="110" t="s">
        <v>636</v>
      </c>
      <c r="E538" s="110"/>
      <c r="F538" s="110"/>
      <c r="G538" s="110" t="str">
        <f t="shared" si="8"/>
        <v>3</v>
      </c>
      <c r="H538" s="110"/>
      <c r="I538" s="110">
        <v>141.156058</v>
      </c>
      <c r="J538" s="110">
        <v>40.705072000000001</v>
      </c>
      <c r="K538" s="110"/>
      <c r="L538" s="110"/>
      <c r="M538" s="110"/>
      <c r="N538" s="110"/>
      <c r="O538" s="110"/>
      <c r="P538" s="109"/>
      <c r="Q538" s="109"/>
      <c r="R538" s="109"/>
      <c r="S538" s="110" t="s">
        <v>637</v>
      </c>
      <c r="T538" s="135"/>
    </row>
    <row r="539" spans="1:20" x14ac:dyDescent="0.2">
      <c r="A539" s="5">
        <v>538</v>
      </c>
      <c r="B539" s="110">
        <v>2961</v>
      </c>
      <c r="C539" s="110" t="s">
        <v>991</v>
      </c>
      <c r="D539" s="110" t="s">
        <v>992</v>
      </c>
      <c r="E539" s="110"/>
      <c r="F539" s="110"/>
      <c r="G539" s="110" t="str">
        <f t="shared" si="8"/>
        <v>1</v>
      </c>
      <c r="H539" s="110"/>
      <c r="I539" s="110">
        <v>141.212749</v>
      </c>
      <c r="J539" s="110">
        <v>40.780211000000001</v>
      </c>
      <c r="K539" s="110"/>
      <c r="L539" s="110"/>
      <c r="M539" s="110"/>
      <c r="N539" s="110"/>
      <c r="O539" s="110"/>
      <c r="P539" s="109"/>
      <c r="Q539" s="109"/>
      <c r="R539" s="109"/>
      <c r="S539" s="110" t="s">
        <v>993</v>
      </c>
      <c r="T539" s="135"/>
    </row>
    <row r="540" spans="1:20" x14ac:dyDescent="0.2">
      <c r="A540" s="5">
        <v>539</v>
      </c>
      <c r="B540" s="110">
        <v>2971</v>
      </c>
      <c r="C540" s="110" t="s">
        <v>994</v>
      </c>
      <c r="D540" s="110" t="s">
        <v>995</v>
      </c>
      <c r="E540" s="110"/>
      <c r="F540" s="110"/>
      <c r="G540" s="110" t="str">
        <f t="shared" si="8"/>
        <v>1</v>
      </c>
      <c r="H540" s="110"/>
      <c r="I540" s="110">
        <v>141.210443</v>
      </c>
      <c r="J540" s="110">
        <v>40.777793000000003</v>
      </c>
      <c r="K540" s="110"/>
      <c r="L540" s="110"/>
      <c r="M540" s="110"/>
      <c r="N540" s="110"/>
      <c r="O540" s="110"/>
      <c r="P540" s="109"/>
      <c r="Q540" s="109"/>
      <c r="R540" s="109"/>
      <c r="S540" s="110" t="s">
        <v>996</v>
      </c>
      <c r="T540" s="135"/>
    </row>
    <row r="541" spans="1:20" x14ac:dyDescent="0.2">
      <c r="A541" s="5">
        <v>540</v>
      </c>
      <c r="B541" s="110">
        <v>2981</v>
      </c>
      <c r="C541" s="110" t="s">
        <v>997</v>
      </c>
      <c r="D541" s="110" t="s">
        <v>998</v>
      </c>
      <c r="E541" s="110"/>
      <c r="F541" s="110"/>
      <c r="G541" s="110" t="str">
        <f t="shared" si="8"/>
        <v>1</v>
      </c>
      <c r="H541" s="110"/>
      <c r="I541" s="110">
        <v>141.20365100000001</v>
      </c>
      <c r="J541" s="110">
        <v>40.772145999999999</v>
      </c>
      <c r="K541" s="110"/>
      <c r="L541" s="110"/>
      <c r="M541" s="110"/>
      <c r="N541" s="110"/>
      <c r="O541" s="110"/>
      <c r="P541" s="109"/>
      <c r="Q541" s="109"/>
      <c r="R541" s="109"/>
      <c r="S541" s="110" t="s">
        <v>999</v>
      </c>
      <c r="T541" s="135"/>
    </row>
    <row r="542" spans="1:20" x14ac:dyDescent="0.2">
      <c r="A542" s="5">
        <v>541</v>
      </c>
      <c r="B542" s="110">
        <v>2991</v>
      </c>
      <c r="C542" s="110" t="s">
        <v>1000</v>
      </c>
      <c r="D542" s="110" t="s">
        <v>1001</v>
      </c>
      <c r="E542" s="110"/>
      <c r="F542" s="110"/>
      <c r="G542" s="110" t="str">
        <f t="shared" si="8"/>
        <v>1</v>
      </c>
      <c r="H542" s="110"/>
      <c r="I542" s="110">
        <v>141.19395800000001</v>
      </c>
      <c r="J542" s="110">
        <v>40.769216</v>
      </c>
      <c r="K542" s="110"/>
      <c r="L542" s="110"/>
      <c r="M542" s="110"/>
      <c r="N542" s="110"/>
      <c r="O542" s="110"/>
      <c r="P542" s="109"/>
      <c r="Q542" s="109"/>
      <c r="R542" s="109"/>
      <c r="S542" s="110" t="s">
        <v>1002</v>
      </c>
      <c r="T542" s="135"/>
    </row>
    <row r="543" spans="1:20" x14ac:dyDescent="0.2">
      <c r="A543" s="5">
        <v>542</v>
      </c>
      <c r="B543" s="110">
        <v>3001</v>
      </c>
      <c r="C543" s="110" t="s">
        <v>1003</v>
      </c>
      <c r="D543" s="110" t="s">
        <v>1004</v>
      </c>
      <c r="E543" s="110"/>
      <c r="F543" s="110"/>
      <c r="G543" s="110" t="str">
        <f t="shared" si="8"/>
        <v>1</v>
      </c>
      <c r="H543" s="110"/>
      <c r="I543" s="110">
        <v>141.18520000000001</v>
      </c>
      <c r="J543" s="110">
        <v>40.761149000000003</v>
      </c>
      <c r="K543" s="110"/>
      <c r="L543" s="110"/>
      <c r="M543" s="110"/>
      <c r="N543" s="110"/>
      <c r="O543" s="110"/>
      <c r="P543" s="109"/>
      <c r="Q543" s="109"/>
      <c r="R543" s="109"/>
      <c r="S543" s="110" t="s">
        <v>1005</v>
      </c>
      <c r="T543" s="135"/>
    </row>
    <row r="544" spans="1:20" x14ac:dyDescent="0.2">
      <c r="A544" s="5">
        <v>543</v>
      </c>
      <c r="B544" s="110">
        <v>3011</v>
      </c>
      <c r="C544" s="110" t="s">
        <v>1006</v>
      </c>
      <c r="D544" s="192" t="s">
        <v>1007</v>
      </c>
      <c r="E544" s="110"/>
      <c r="F544" s="110"/>
      <c r="G544" s="110" t="str">
        <f t="shared" si="8"/>
        <v>1</v>
      </c>
      <c r="H544" s="110"/>
      <c r="I544" s="110">
        <v>141.182478</v>
      </c>
      <c r="J544" s="110">
        <v>40.760708999999999</v>
      </c>
      <c r="K544" s="110"/>
      <c r="L544" s="110"/>
      <c r="M544" s="110"/>
      <c r="N544" s="110"/>
      <c r="O544" s="110"/>
      <c r="P544" s="109"/>
      <c r="Q544" s="109"/>
      <c r="R544" s="109"/>
      <c r="S544" s="110" t="s">
        <v>1008</v>
      </c>
      <c r="T544" s="135"/>
    </row>
    <row r="545" spans="1:20" x14ac:dyDescent="0.2">
      <c r="A545" s="5">
        <v>544</v>
      </c>
      <c r="B545" s="110">
        <v>3021</v>
      </c>
      <c r="C545" s="110" t="s">
        <v>1009</v>
      </c>
      <c r="D545" s="110" t="s">
        <v>1010</v>
      </c>
      <c r="E545" s="110"/>
      <c r="F545" s="110"/>
      <c r="G545" s="110" t="str">
        <f t="shared" si="8"/>
        <v>1</v>
      </c>
      <c r="H545" s="110"/>
      <c r="I545" s="110">
        <v>141.18330399999999</v>
      </c>
      <c r="J545" s="110">
        <v>40.756520000000002</v>
      </c>
      <c r="K545" s="110"/>
      <c r="L545" s="110"/>
      <c r="M545" s="110"/>
      <c r="N545" s="110"/>
      <c r="O545" s="110"/>
      <c r="P545" s="109"/>
      <c r="Q545" s="109"/>
      <c r="R545" s="109"/>
      <c r="S545" s="110" t="s">
        <v>1011</v>
      </c>
      <c r="T545" s="135"/>
    </row>
    <row r="546" spans="1:20" x14ac:dyDescent="0.2">
      <c r="A546" s="5">
        <v>545</v>
      </c>
      <c r="B546" s="110">
        <v>3031</v>
      </c>
      <c r="C546" s="110" t="s">
        <v>1012</v>
      </c>
      <c r="D546" s="110" t="s">
        <v>1013</v>
      </c>
      <c r="E546" s="110"/>
      <c r="F546" s="110"/>
      <c r="G546" s="110" t="str">
        <f t="shared" si="8"/>
        <v>1</v>
      </c>
      <c r="H546" s="110"/>
      <c r="I546" s="110">
        <v>141.18378100000001</v>
      </c>
      <c r="J546" s="110">
        <v>40.753639</v>
      </c>
      <c r="K546" s="110"/>
      <c r="L546" s="110"/>
      <c r="M546" s="110"/>
      <c r="N546" s="110"/>
      <c r="O546" s="110"/>
      <c r="P546" s="109"/>
      <c r="Q546" s="109"/>
      <c r="R546" s="109"/>
      <c r="S546" s="110" t="s">
        <v>1014</v>
      </c>
      <c r="T546" s="135"/>
    </row>
    <row r="547" spans="1:20" x14ac:dyDescent="0.2">
      <c r="A547" s="5">
        <v>546</v>
      </c>
      <c r="B547" s="110">
        <v>3041</v>
      </c>
      <c r="C547" s="110" t="s">
        <v>1015</v>
      </c>
      <c r="D547" s="110" t="s">
        <v>1016</v>
      </c>
      <c r="E547" s="110"/>
      <c r="F547" s="110"/>
      <c r="G547" s="110" t="str">
        <f t="shared" si="8"/>
        <v>1</v>
      </c>
      <c r="H547" s="110"/>
      <c r="I547" s="110">
        <v>141.180869</v>
      </c>
      <c r="J547" s="110">
        <v>40.747920000000001</v>
      </c>
      <c r="K547" s="110"/>
      <c r="L547" s="110"/>
      <c r="M547" s="110"/>
      <c r="N547" s="110"/>
      <c r="O547" s="110"/>
      <c r="P547" s="109"/>
      <c r="Q547" s="109"/>
      <c r="R547" s="109"/>
      <c r="S547" s="110" t="s">
        <v>1017</v>
      </c>
      <c r="T547" s="135"/>
    </row>
    <row r="548" spans="1:20" x14ac:dyDescent="0.2">
      <c r="A548" s="5">
        <v>547</v>
      </c>
      <c r="B548" s="110">
        <v>3051</v>
      </c>
      <c r="C548" s="110" t="s">
        <v>1018</v>
      </c>
      <c r="D548" s="110" t="s">
        <v>1019</v>
      </c>
      <c r="E548" s="110"/>
      <c r="F548" s="110"/>
      <c r="G548" s="110" t="str">
        <f t="shared" si="8"/>
        <v>1</v>
      </c>
      <c r="H548" s="110"/>
      <c r="I548" s="110">
        <v>141.17848699999999</v>
      </c>
      <c r="J548" s="110">
        <v>40.746954000000002</v>
      </c>
      <c r="K548" s="110"/>
      <c r="L548" s="110"/>
      <c r="M548" s="110"/>
      <c r="N548" s="110"/>
      <c r="O548" s="110"/>
      <c r="P548" s="109"/>
      <c r="Q548" s="109"/>
      <c r="R548" s="109"/>
      <c r="S548" s="110" t="s">
        <v>1020</v>
      </c>
      <c r="T548" s="135"/>
    </row>
    <row r="549" spans="1:20" x14ac:dyDescent="0.2">
      <c r="A549" s="5">
        <v>548</v>
      </c>
      <c r="B549" s="110">
        <v>3061</v>
      </c>
      <c r="C549" s="110" t="s">
        <v>1021</v>
      </c>
      <c r="D549" s="110" t="s">
        <v>1022</v>
      </c>
      <c r="E549" s="110"/>
      <c r="F549" s="110"/>
      <c r="G549" s="110" t="str">
        <f t="shared" si="8"/>
        <v>1</v>
      </c>
      <c r="H549" s="110"/>
      <c r="I549" s="110">
        <v>141.17542399999999</v>
      </c>
      <c r="J549" s="110">
        <v>40.747197</v>
      </c>
      <c r="K549" s="110"/>
      <c r="L549" s="110"/>
      <c r="M549" s="110"/>
      <c r="N549" s="110"/>
      <c r="O549" s="110"/>
      <c r="P549" s="109"/>
      <c r="Q549" s="109"/>
      <c r="R549" s="109"/>
      <c r="S549" s="110" t="s">
        <v>1023</v>
      </c>
      <c r="T549" s="135"/>
    </row>
    <row r="550" spans="1:20" x14ac:dyDescent="0.2">
      <c r="A550" s="5">
        <v>549</v>
      </c>
      <c r="B550" s="110">
        <v>3071</v>
      </c>
      <c r="C550" s="110" t="s">
        <v>1024</v>
      </c>
      <c r="D550" s="110" t="s">
        <v>1025</v>
      </c>
      <c r="E550" s="110"/>
      <c r="F550" s="110"/>
      <c r="G550" s="110" t="str">
        <f t="shared" si="8"/>
        <v>1</v>
      </c>
      <c r="H550" s="110"/>
      <c r="I550" s="110">
        <v>141.17128199999999</v>
      </c>
      <c r="J550" s="110">
        <v>40.741686000000001</v>
      </c>
      <c r="K550" s="110"/>
      <c r="L550" s="110"/>
      <c r="M550" s="110"/>
      <c r="N550" s="110"/>
      <c r="O550" s="110"/>
      <c r="P550" s="109"/>
      <c r="Q550" s="109"/>
      <c r="R550" s="109"/>
      <c r="S550" s="110" t="s">
        <v>1026</v>
      </c>
      <c r="T550" s="135"/>
    </row>
    <row r="551" spans="1:20" x14ac:dyDescent="0.2">
      <c r="A551" s="5">
        <v>550</v>
      </c>
      <c r="B551" s="110">
        <v>3081</v>
      </c>
      <c r="C551" s="110" t="s">
        <v>1027</v>
      </c>
      <c r="D551" s="192" t="s">
        <v>1028</v>
      </c>
      <c r="E551" s="110"/>
      <c r="F551" s="110"/>
      <c r="G551" s="110" t="str">
        <f t="shared" si="8"/>
        <v>1</v>
      </c>
      <c r="H551" s="110"/>
      <c r="I551" s="110">
        <v>141.16859500000001</v>
      </c>
      <c r="J551" s="110">
        <v>40.742083999999998</v>
      </c>
      <c r="K551" s="110"/>
      <c r="L551" s="110"/>
      <c r="M551" s="110"/>
      <c r="N551" s="110"/>
      <c r="O551" s="110"/>
      <c r="P551" s="109"/>
      <c r="Q551" s="109"/>
      <c r="R551" s="109"/>
      <c r="S551" s="110" t="s">
        <v>1029</v>
      </c>
      <c r="T551" s="135"/>
    </row>
    <row r="552" spans="1:20" x14ac:dyDescent="0.2">
      <c r="A552" s="5">
        <v>551</v>
      </c>
      <c r="B552" s="110">
        <v>3091</v>
      </c>
      <c r="C552" s="110" t="s">
        <v>1030</v>
      </c>
      <c r="D552" s="192" t="s">
        <v>1031</v>
      </c>
      <c r="E552" s="110"/>
      <c r="F552" s="110"/>
      <c r="G552" s="110" t="str">
        <f t="shared" si="8"/>
        <v>1</v>
      </c>
      <c r="H552" s="110"/>
      <c r="I552" s="110">
        <v>141.16353100000001</v>
      </c>
      <c r="J552" s="110">
        <v>40.742893000000002</v>
      </c>
      <c r="K552" s="110"/>
      <c r="L552" s="110"/>
      <c r="M552" s="110"/>
      <c r="N552" s="110"/>
      <c r="O552" s="110"/>
      <c r="P552" s="109"/>
      <c r="Q552" s="109"/>
      <c r="R552" s="109"/>
      <c r="S552" s="110" t="s">
        <v>1032</v>
      </c>
      <c r="T552" s="135"/>
    </row>
    <row r="553" spans="1:20" x14ac:dyDescent="0.2">
      <c r="A553" s="5">
        <v>552</v>
      </c>
      <c r="B553" s="110">
        <v>3101</v>
      </c>
      <c r="C553" s="110" t="s">
        <v>1033</v>
      </c>
      <c r="D553" s="110" t="s">
        <v>1034</v>
      </c>
      <c r="E553" s="110"/>
      <c r="F553" s="110"/>
      <c r="G553" s="110" t="str">
        <f t="shared" si="8"/>
        <v>1</v>
      </c>
      <c r="H553" s="110"/>
      <c r="I553" s="110">
        <v>141.162227</v>
      </c>
      <c r="J553" s="110">
        <v>40.746194000000003</v>
      </c>
      <c r="K553" s="110"/>
      <c r="L553" s="110"/>
      <c r="M553" s="110"/>
      <c r="N553" s="110"/>
      <c r="O553" s="110"/>
      <c r="P553" s="109"/>
      <c r="Q553" s="109"/>
      <c r="R553" s="109"/>
      <c r="S553" s="110" t="s">
        <v>1035</v>
      </c>
      <c r="T553" s="135"/>
    </row>
    <row r="554" spans="1:20" x14ac:dyDescent="0.2">
      <c r="A554" s="5">
        <v>553</v>
      </c>
      <c r="B554" s="110">
        <v>1713</v>
      </c>
      <c r="C554" s="110" t="s">
        <v>611</v>
      </c>
      <c r="D554" s="110" t="s">
        <v>612</v>
      </c>
      <c r="E554" s="110"/>
      <c r="F554" s="110"/>
      <c r="G554" s="110" t="str">
        <f t="shared" si="8"/>
        <v>3</v>
      </c>
      <c r="H554" s="110"/>
      <c r="I554" s="110">
        <v>141.157453</v>
      </c>
      <c r="J554" s="110">
        <v>40.745803000000002</v>
      </c>
      <c r="K554" s="110"/>
      <c r="L554" s="110"/>
      <c r="M554" s="110"/>
      <c r="N554" s="110"/>
      <c r="O554" s="110"/>
      <c r="P554" s="109"/>
      <c r="Q554" s="109"/>
      <c r="R554" s="109"/>
      <c r="S554" s="110" t="s">
        <v>613</v>
      </c>
      <c r="T554" s="135"/>
    </row>
    <row r="555" spans="1:20" x14ac:dyDescent="0.2">
      <c r="A555" s="5">
        <v>554</v>
      </c>
      <c r="B555" s="110">
        <v>3111</v>
      </c>
      <c r="C555" s="110" t="s">
        <v>1036</v>
      </c>
      <c r="D555" s="110" t="s">
        <v>1037</v>
      </c>
      <c r="E555" s="110"/>
      <c r="F555" s="110"/>
      <c r="G555" s="110" t="str">
        <f t="shared" si="8"/>
        <v>1</v>
      </c>
      <c r="H555" s="110"/>
      <c r="I555" s="110">
        <v>141.22130000000001</v>
      </c>
      <c r="J555" s="110">
        <v>40.737996000000003</v>
      </c>
      <c r="K555" s="110"/>
      <c r="L555" s="110"/>
      <c r="M555" s="110"/>
      <c r="N555" s="110"/>
      <c r="O555" s="110"/>
      <c r="P555" s="109"/>
      <c r="Q555" s="109"/>
      <c r="R555" s="109"/>
      <c r="S555" s="110" t="s">
        <v>1038</v>
      </c>
      <c r="T555" s="135"/>
    </row>
    <row r="556" spans="1:20" x14ac:dyDescent="0.2">
      <c r="A556" s="5">
        <v>555</v>
      </c>
      <c r="B556" s="110">
        <v>3121</v>
      </c>
      <c r="C556" s="110" t="s">
        <v>1039</v>
      </c>
      <c r="D556" s="110" t="s">
        <v>1040</v>
      </c>
      <c r="E556" s="110"/>
      <c r="F556" s="110"/>
      <c r="G556" s="110" t="str">
        <f t="shared" si="8"/>
        <v>1</v>
      </c>
      <c r="H556" s="110"/>
      <c r="I556" s="110">
        <v>141.21804399999999</v>
      </c>
      <c r="J556" s="110">
        <v>40.738187000000003</v>
      </c>
      <c r="K556" s="110"/>
      <c r="L556" s="110"/>
      <c r="M556" s="110"/>
      <c r="N556" s="110"/>
      <c r="O556" s="110"/>
      <c r="P556" s="109"/>
      <c r="Q556" s="109"/>
      <c r="R556" s="109"/>
      <c r="S556" s="110" t="s">
        <v>1041</v>
      </c>
      <c r="T556" s="135"/>
    </row>
    <row r="557" spans="1:20" x14ac:dyDescent="0.2">
      <c r="A557" s="5">
        <v>556</v>
      </c>
      <c r="B557" s="110">
        <v>3131</v>
      </c>
      <c r="C557" s="110" t="s">
        <v>1042</v>
      </c>
      <c r="D557" s="110" t="s">
        <v>1043</v>
      </c>
      <c r="E557" s="110"/>
      <c r="F557" s="110"/>
      <c r="G557" s="110" t="str">
        <f t="shared" si="8"/>
        <v>1</v>
      </c>
      <c r="H557" s="110"/>
      <c r="I557" s="110">
        <v>141.21157400000001</v>
      </c>
      <c r="J557" s="110">
        <v>40.738573000000002</v>
      </c>
      <c r="K557" s="110"/>
      <c r="L557" s="110"/>
      <c r="M557" s="110"/>
      <c r="N557" s="110"/>
      <c r="O557" s="110"/>
      <c r="P557" s="109"/>
      <c r="Q557" s="109"/>
      <c r="R557" s="109"/>
      <c r="S557" s="110" t="s">
        <v>1044</v>
      </c>
      <c r="T557" s="135"/>
    </row>
    <row r="558" spans="1:20" x14ac:dyDescent="0.2">
      <c r="A558" s="5">
        <v>557</v>
      </c>
      <c r="B558" s="110">
        <v>3141</v>
      </c>
      <c r="C558" s="110" t="s">
        <v>1045</v>
      </c>
      <c r="D558" s="110" t="s">
        <v>1046</v>
      </c>
      <c r="E558" s="110"/>
      <c r="F558" s="110"/>
      <c r="G558" s="110" t="str">
        <f t="shared" si="8"/>
        <v>1</v>
      </c>
      <c r="H558" s="110"/>
      <c r="I558" s="110">
        <v>141.205443</v>
      </c>
      <c r="J558" s="110">
        <v>40.726170000000003</v>
      </c>
      <c r="K558" s="110"/>
      <c r="L558" s="110"/>
      <c r="M558" s="110"/>
      <c r="N558" s="110"/>
      <c r="O558" s="110"/>
      <c r="P558" s="109"/>
      <c r="Q558" s="109"/>
      <c r="R558" s="109"/>
      <c r="S558" s="110" t="s">
        <v>1047</v>
      </c>
      <c r="T558" s="135"/>
    </row>
    <row r="559" spans="1:20" x14ac:dyDescent="0.2">
      <c r="A559" s="5">
        <v>558</v>
      </c>
      <c r="B559" s="110">
        <v>3151</v>
      </c>
      <c r="C559" s="110" t="s">
        <v>1048</v>
      </c>
      <c r="D559" s="110" t="s">
        <v>1049</v>
      </c>
      <c r="E559" s="110"/>
      <c r="F559" s="110"/>
      <c r="G559" s="110" t="str">
        <f t="shared" si="8"/>
        <v>1</v>
      </c>
      <c r="H559" s="110"/>
      <c r="I559" s="110">
        <v>141.19914</v>
      </c>
      <c r="J559" s="110">
        <v>40.722673999999998</v>
      </c>
      <c r="K559" s="110"/>
      <c r="L559" s="110"/>
      <c r="M559" s="110"/>
      <c r="N559" s="110"/>
      <c r="O559" s="110"/>
      <c r="P559" s="109"/>
      <c r="Q559" s="109"/>
      <c r="R559" s="109"/>
      <c r="S559" s="110" t="s">
        <v>1050</v>
      </c>
      <c r="T559" s="135"/>
    </row>
    <row r="560" spans="1:20" x14ac:dyDescent="0.2">
      <c r="A560" s="5">
        <v>559</v>
      </c>
      <c r="B560" s="110">
        <v>3161</v>
      </c>
      <c r="C560" s="110" t="s">
        <v>1051</v>
      </c>
      <c r="D560" s="110" t="s">
        <v>1052</v>
      </c>
      <c r="E560" s="110"/>
      <c r="F560" s="110"/>
      <c r="G560" s="110" t="str">
        <f t="shared" si="8"/>
        <v>1</v>
      </c>
      <c r="H560" s="110"/>
      <c r="I560" s="110">
        <v>141.18431200000001</v>
      </c>
      <c r="J560" s="110">
        <v>40.717782999999997</v>
      </c>
      <c r="K560" s="110"/>
      <c r="L560" s="110"/>
      <c r="M560" s="110"/>
      <c r="N560" s="110"/>
      <c r="O560" s="110"/>
      <c r="P560" s="109"/>
      <c r="Q560" s="109"/>
      <c r="R560" s="109"/>
      <c r="S560" s="110" t="s">
        <v>1053</v>
      </c>
      <c r="T560" s="135"/>
    </row>
    <row r="561" spans="1:20" x14ac:dyDescent="0.2">
      <c r="A561" s="5">
        <v>560</v>
      </c>
      <c r="B561" s="110">
        <v>3171</v>
      </c>
      <c r="C561" s="196" t="s">
        <v>1054</v>
      </c>
      <c r="D561" s="196" t="s">
        <v>1055</v>
      </c>
      <c r="E561" s="110"/>
      <c r="F561" s="110"/>
      <c r="G561" s="110" t="str">
        <f t="shared" si="8"/>
        <v>1</v>
      </c>
      <c r="H561" s="110"/>
      <c r="I561" s="110">
        <v>141.174758</v>
      </c>
      <c r="J561" s="110">
        <v>40.715868999999998</v>
      </c>
      <c r="K561" s="110"/>
      <c r="L561" s="110"/>
      <c r="M561" s="110"/>
      <c r="N561" s="110"/>
      <c r="O561" s="110"/>
      <c r="P561" s="109"/>
      <c r="Q561" s="109"/>
      <c r="R561" s="109"/>
      <c r="S561" s="110" t="s">
        <v>1056</v>
      </c>
      <c r="T561" s="135"/>
    </row>
    <row r="562" spans="1:20" x14ac:dyDescent="0.2">
      <c r="A562" s="5">
        <v>561</v>
      </c>
      <c r="B562" s="110">
        <v>3181</v>
      </c>
      <c r="C562" s="110" t="s">
        <v>1057</v>
      </c>
      <c r="D562" s="110" t="s">
        <v>1058</v>
      </c>
      <c r="E562" s="110"/>
      <c r="F562" s="110"/>
      <c r="G562" s="110" t="str">
        <f t="shared" si="8"/>
        <v>1</v>
      </c>
      <c r="H562" s="110"/>
      <c r="I562" s="110">
        <v>141.17034899999999</v>
      </c>
      <c r="J562" s="110">
        <v>40.713982000000001</v>
      </c>
      <c r="K562" s="110"/>
      <c r="L562" s="110"/>
      <c r="M562" s="110"/>
      <c r="N562" s="110"/>
      <c r="O562" s="110"/>
      <c r="P562" s="109"/>
      <c r="Q562" s="109"/>
      <c r="R562" s="109"/>
      <c r="S562" s="110" t="s">
        <v>1059</v>
      </c>
      <c r="T562" s="135"/>
    </row>
    <row r="563" spans="1:20" x14ac:dyDescent="0.2">
      <c r="A563" s="5">
        <v>562</v>
      </c>
      <c r="B563" s="110">
        <v>3191</v>
      </c>
      <c r="C563" s="110" t="s">
        <v>1060</v>
      </c>
      <c r="D563" s="110" t="s">
        <v>1061</v>
      </c>
      <c r="E563" s="110"/>
      <c r="F563" s="110"/>
      <c r="G563" s="110" t="str">
        <f t="shared" si="8"/>
        <v>1</v>
      </c>
      <c r="H563" s="110"/>
      <c r="I563" s="110">
        <v>141.167248</v>
      </c>
      <c r="J563" s="110">
        <v>40.712558999999999</v>
      </c>
      <c r="K563" s="110"/>
      <c r="L563" s="110"/>
      <c r="M563" s="110"/>
      <c r="N563" s="110"/>
      <c r="O563" s="110"/>
      <c r="P563" s="109"/>
      <c r="Q563" s="109"/>
      <c r="R563" s="109"/>
      <c r="S563" s="110" t="s">
        <v>1062</v>
      </c>
      <c r="T563" s="135"/>
    </row>
    <row r="564" spans="1:20" x14ac:dyDescent="0.2">
      <c r="A564" s="5">
        <v>563</v>
      </c>
      <c r="B564" s="110">
        <v>3201</v>
      </c>
      <c r="C564" s="110" t="s">
        <v>1063</v>
      </c>
      <c r="D564" s="110" t="s">
        <v>1064</v>
      </c>
      <c r="E564" s="110"/>
      <c r="F564" s="110"/>
      <c r="G564" s="110" t="str">
        <f t="shared" si="8"/>
        <v>1</v>
      </c>
      <c r="H564" s="110"/>
      <c r="I564" s="110">
        <v>141.33453800000001</v>
      </c>
      <c r="J564" s="110">
        <v>40.605384999999998</v>
      </c>
      <c r="K564" s="110"/>
      <c r="L564" s="110"/>
      <c r="M564" s="110"/>
      <c r="N564" s="110"/>
      <c r="O564" s="110"/>
      <c r="P564" s="109"/>
      <c r="Q564" s="109"/>
      <c r="R564" s="109"/>
      <c r="S564" s="110"/>
      <c r="T564" s="135"/>
    </row>
    <row r="565" spans="1:20" x14ac:dyDescent="0.2">
      <c r="A565" s="5">
        <v>564</v>
      </c>
      <c r="B565" s="110">
        <v>3211</v>
      </c>
      <c r="C565" s="110" t="s">
        <v>1065</v>
      </c>
      <c r="D565" s="110" t="s">
        <v>1066</v>
      </c>
      <c r="E565" s="110"/>
      <c r="F565" s="110"/>
      <c r="G565" s="110" t="str">
        <f t="shared" si="8"/>
        <v>1</v>
      </c>
      <c r="H565" s="110"/>
      <c r="I565" s="110">
        <v>141.33074999999999</v>
      </c>
      <c r="J565" s="110">
        <v>40.612045000000002</v>
      </c>
      <c r="K565" s="110"/>
      <c r="L565" s="110"/>
      <c r="M565" s="110"/>
      <c r="N565" s="110"/>
      <c r="O565" s="110"/>
      <c r="P565" s="109"/>
      <c r="Q565" s="109"/>
      <c r="R565" s="109"/>
      <c r="S565" s="110"/>
      <c r="T565" s="135"/>
    </row>
    <row r="566" spans="1:20" x14ac:dyDescent="0.2">
      <c r="A566" s="5">
        <v>565</v>
      </c>
      <c r="B566" s="110">
        <v>1222</v>
      </c>
      <c r="C566" s="110" t="s">
        <v>476</v>
      </c>
      <c r="D566" s="110" t="s">
        <v>477</v>
      </c>
      <c r="E566" s="110"/>
      <c r="F566" s="110"/>
      <c r="G566" s="110" t="str">
        <f t="shared" si="8"/>
        <v>2</v>
      </c>
      <c r="H566" s="110"/>
      <c r="I566" s="110">
        <v>141.32828799999999</v>
      </c>
      <c r="J566" s="110">
        <v>40.617382999999997</v>
      </c>
      <c r="K566" s="110"/>
      <c r="L566" s="110"/>
      <c r="M566" s="110"/>
      <c r="N566" s="110"/>
      <c r="O566" s="110"/>
      <c r="P566" s="109"/>
      <c r="Q566" s="109"/>
      <c r="R566" s="109"/>
      <c r="S566" s="110"/>
      <c r="T566" s="135"/>
    </row>
    <row r="567" spans="1:20" x14ac:dyDescent="0.2">
      <c r="A567" s="5">
        <v>566</v>
      </c>
      <c r="B567" s="110">
        <v>2093</v>
      </c>
      <c r="C567" s="110" t="s">
        <v>724</v>
      </c>
      <c r="D567" s="110" t="s">
        <v>725</v>
      </c>
      <c r="E567" s="110"/>
      <c r="F567" s="110"/>
      <c r="G567" s="110" t="str">
        <f t="shared" si="8"/>
        <v>3</v>
      </c>
      <c r="H567" s="110"/>
      <c r="I567" s="110">
        <v>141.20767499999999</v>
      </c>
      <c r="J567" s="110">
        <v>40.667434999999998</v>
      </c>
      <c r="K567" s="110"/>
      <c r="L567" s="110"/>
      <c r="M567" s="110"/>
      <c r="N567" s="110"/>
      <c r="O567" s="110"/>
      <c r="P567" s="109"/>
      <c r="Q567" s="109"/>
      <c r="R567" s="109"/>
      <c r="S567" s="110" t="s">
        <v>726</v>
      </c>
      <c r="T567" s="135"/>
    </row>
    <row r="568" spans="1:20" x14ac:dyDescent="0.2">
      <c r="A568" s="5">
        <v>567</v>
      </c>
      <c r="B568" s="110">
        <v>3221</v>
      </c>
      <c r="C568" s="110" t="s">
        <v>1067</v>
      </c>
      <c r="D568" s="192" t="s">
        <v>1068</v>
      </c>
      <c r="E568" s="110"/>
      <c r="F568" s="110"/>
      <c r="G568" s="110" t="str">
        <f t="shared" si="8"/>
        <v>1</v>
      </c>
      <c r="H568" s="110"/>
      <c r="I568" s="110">
        <v>141.21578</v>
      </c>
      <c r="J568" s="110">
        <v>40.668962999999998</v>
      </c>
      <c r="K568" s="110"/>
      <c r="L568" s="110"/>
      <c r="M568" s="110"/>
      <c r="N568" s="110"/>
      <c r="O568" s="110"/>
      <c r="P568" s="109"/>
      <c r="Q568" s="109"/>
      <c r="R568" s="109"/>
      <c r="S568" s="110"/>
      <c r="T568" s="135"/>
    </row>
    <row r="569" spans="1:20" x14ac:dyDescent="0.2">
      <c r="A569" s="5">
        <v>568</v>
      </c>
      <c r="B569" s="110">
        <v>3231</v>
      </c>
      <c r="C569" s="110" t="s">
        <v>1069</v>
      </c>
      <c r="D569" s="110" t="s">
        <v>1070</v>
      </c>
      <c r="E569" s="110"/>
      <c r="F569" s="110"/>
      <c r="G569" s="110" t="str">
        <f t="shared" si="8"/>
        <v>1</v>
      </c>
      <c r="H569" s="110"/>
      <c r="I569" s="110">
        <v>141.230784</v>
      </c>
      <c r="J569" s="110">
        <v>40.676108999999997</v>
      </c>
      <c r="K569" s="110"/>
      <c r="L569" s="110"/>
      <c r="M569" s="110"/>
      <c r="N569" s="110"/>
      <c r="O569" s="110"/>
      <c r="P569" s="109"/>
      <c r="Q569" s="109"/>
      <c r="R569" s="109"/>
      <c r="S569" s="110"/>
      <c r="T569" s="135"/>
    </row>
    <row r="570" spans="1:20" x14ac:dyDescent="0.2">
      <c r="A570" s="5">
        <v>569</v>
      </c>
      <c r="B570" s="110">
        <v>3241</v>
      </c>
      <c r="C570" s="110" t="s">
        <v>1071</v>
      </c>
      <c r="D570" s="110" t="s">
        <v>1072</v>
      </c>
      <c r="E570" s="110"/>
      <c r="F570" s="110"/>
      <c r="G570" s="110" t="str">
        <f t="shared" si="8"/>
        <v>1</v>
      </c>
      <c r="H570" s="110"/>
      <c r="I570" s="110">
        <v>141.23925500000001</v>
      </c>
      <c r="J570" s="110">
        <v>40.690173999999999</v>
      </c>
      <c r="K570" s="110"/>
      <c r="L570" s="110"/>
      <c r="M570" s="110"/>
      <c r="N570" s="110"/>
      <c r="O570" s="110"/>
      <c r="P570" s="109"/>
      <c r="Q570" s="109"/>
      <c r="R570" s="109"/>
      <c r="S570" s="110"/>
      <c r="T570" s="135"/>
    </row>
    <row r="571" spans="1:20" x14ac:dyDescent="0.2">
      <c r="A571" s="5">
        <v>570</v>
      </c>
      <c r="B571" s="110">
        <v>3251</v>
      </c>
      <c r="C571" s="110" t="s">
        <v>1073</v>
      </c>
      <c r="D571" s="110" t="s">
        <v>1074</v>
      </c>
      <c r="E571" s="110"/>
      <c r="F571" s="110"/>
      <c r="G571" s="110" t="str">
        <f t="shared" si="8"/>
        <v>1</v>
      </c>
      <c r="H571" s="110"/>
      <c r="I571" s="110">
        <v>141.24146200000001</v>
      </c>
      <c r="J571" s="110">
        <v>40.690728</v>
      </c>
      <c r="K571" s="110"/>
      <c r="L571" s="110"/>
      <c r="M571" s="110"/>
      <c r="N571" s="110"/>
      <c r="O571" s="110"/>
      <c r="P571" s="109"/>
      <c r="Q571" s="109"/>
      <c r="R571" s="109"/>
      <c r="S571" s="110"/>
      <c r="T571" s="135"/>
    </row>
    <row r="572" spans="1:20" x14ac:dyDescent="0.2">
      <c r="A572" s="5">
        <v>571</v>
      </c>
      <c r="B572" s="110">
        <v>3261</v>
      </c>
      <c r="C572" s="110" t="s">
        <v>1075</v>
      </c>
      <c r="D572" s="110" t="s">
        <v>1076</v>
      </c>
      <c r="E572" s="110"/>
      <c r="F572" s="110"/>
      <c r="G572" s="110" t="str">
        <f t="shared" si="8"/>
        <v>1</v>
      </c>
      <c r="H572" s="110"/>
      <c r="I572" s="110">
        <v>141.23799700000001</v>
      </c>
      <c r="J572" s="110">
        <v>40.697101000000004</v>
      </c>
      <c r="K572" s="110"/>
      <c r="L572" s="110"/>
      <c r="M572" s="110"/>
      <c r="N572" s="110"/>
      <c r="O572" s="110"/>
      <c r="P572" s="109"/>
      <c r="Q572" s="109"/>
      <c r="R572" s="109"/>
      <c r="S572" s="110"/>
      <c r="T572" s="135"/>
    </row>
    <row r="573" spans="1:20" x14ac:dyDescent="0.2">
      <c r="A573" s="5">
        <v>572</v>
      </c>
      <c r="B573" s="110">
        <v>3271</v>
      </c>
      <c r="C573" s="110" t="s">
        <v>1077</v>
      </c>
      <c r="D573" s="110" t="s">
        <v>1078</v>
      </c>
      <c r="E573" s="110"/>
      <c r="F573" s="110"/>
      <c r="G573" s="110" t="str">
        <f t="shared" si="8"/>
        <v>1</v>
      </c>
      <c r="H573" s="110"/>
      <c r="I573" s="110">
        <v>141.25129799999999</v>
      </c>
      <c r="J573" s="110">
        <v>40.710673</v>
      </c>
      <c r="K573" s="110"/>
      <c r="L573" s="110"/>
      <c r="M573" s="110"/>
      <c r="N573" s="110"/>
      <c r="O573" s="110"/>
      <c r="P573" s="109"/>
      <c r="Q573" s="109"/>
      <c r="R573" s="109"/>
      <c r="S573" s="110"/>
      <c r="T573" s="135"/>
    </row>
    <row r="574" spans="1:20" x14ac:dyDescent="0.2">
      <c r="A574" s="5">
        <v>573</v>
      </c>
      <c r="B574" s="110">
        <v>3281</v>
      </c>
      <c r="C574" s="110" t="s">
        <v>1079</v>
      </c>
      <c r="D574" s="110" t="s">
        <v>1080</v>
      </c>
      <c r="E574" s="110"/>
      <c r="F574" s="110"/>
      <c r="G574" s="110" t="str">
        <f t="shared" si="8"/>
        <v>1</v>
      </c>
      <c r="H574" s="110"/>
      <c r="I574" s="110">
        <v>141.25473099999999</v>
      </c>
      <c r="J574" s="110">
        <v>40.713709999999999</v>
      </c>
      <c r="K574" s="110"/>
      <c r="L574" s="110"/>
      <c r="M574" s="110"/>
      <c r="N574" s="110"/>
      <c r="O574" s="110"/>
      <c r="P574" s="109"/>
      <c r="Q574" s="109"/>
      <c r="R574" s="109"/>
      <c r="S574" s="110"/>
      <c r="T574" s="135"/>
    </row>
    <row r="575" spans="1:20" x14ac:dyDescent="0.2">
      <c r="A575" s="5">
        <v>574</v>
      </c>
      <c r="B575" s="110">
        <v>3291</v>
      </c>
      <c r="C575" s="110" t="s">
        <v>1081</v>
      </c>
      <c r="D575" s="110" t="s">
        <v>1082</v>
      </c>
      <c r="E575" s="110"/>
      <c r="F575" s="110"/>
      <c r="G575" s="110" t="str">
        <f t="shared" si="8"/>
        <v>1</v>
      </c>
      <c r="H575" s="110"/>
      <c r="I575" s="110">
        <v>141.25856099999999</v>
      </c>
      <c r="J575" s="110">
        <v>40.720069000000002</v>
      </c>
      <c r="K575" s="110"/>
      <c r="L575" s="110"/>
      <c r="M575" s="110"/>
      <c r="N575" s="110"/>
      <c r="O575" s="110"/>
      <c r="P575" s="109"/>
      <c r="Q575" s="109"/>
      <c r="R575" s="109"/>
      <c r="S575" s="110"/>
      <c r="T575" s="135"/>
    </row>
    <row r="576" spans="1:20" x14ac:dyDescent="0.2">
      <c r="A576" s="5">
        <v>575</v>
      </c>
      <c r="B576" s="110">
        <v>3301</v>
      </c>
      <c r="C576" s="110" t="s">
        <v>1083</v>
      </c>
      <c r="D576" s="110" t="s">
        <v>1084</v>
      </c>
      <c r="E576" s="110"/>
      <c r="F576" s="110"/>
      <c r="G576" s="110" t="str">
        <f t="shared" si="8"/>
        <v>1</v>
      </c>
      <c r="H576" s="110"/>
      <c r="I576" s="110">
        <v>141.25460799999999</v>
      </c>
      <c r="J576" s="110">
        <v>40.725898999999998</v>
      </c>
      <c r="K576" s="110"/>
      <c r="L576" s="110"/>
      <c r="M576" s="110"/>
      <c r="N576" s="110"/>
      <c r="O576" s="110"/>
      <c r="P576" s="109"/>
      <c r="Q576" s="109"/>
      <c r="R576" s="109"/>
      <c r="S576" s="110"/>
      <c r="T576" s="135"/>
    </row>
    <row r="577" spans="1:20" x14ac:dyDescent="0.2">
      <c r="A577" s="5">
        <v>576</v>
      </c>
      <c r="B577" s="110">
        <v>3311</v>
      </c>
      <c r="C577" s="110" t="s">
        <v>1085</v>
      </c>
      <c r="D577" s="110" t="s">
        <v>1086</v>
      </c>
      <c r="E577" s="110"/>
      <c r="F577" s="110"/>
      <c r="G577" s="110" t="str">
        <f t="shared" si="8"/>
        <v>1</v>
      </c>
      <c r="H577" s="110"/>
      <c r="I577" s="110">
        <v>141.25619</v>
      </c>
      <c r="J577" s="110">
        <v>40.728537000000003</v>
      </c>
      <c r="K577" s="110"/>
      <c r="L577" s="110"/>
      <c r="M577" s="110"/>
      <c r="N577" s="110"/>
      <c r="O577" s="110"/>
      <c r="P577" s="109"/>
      <c r="Q577" s="109"/>
      <c r="R577" s="109"/>
      <c r="S577" s="110"/>
      <c r="T577" s="135"/>
    </row>
    <row r="578" spans="1:20" x14ac:dyDescent="0.2">
      <c r="A578" s="5">
        <v>577</v>
      </c>
      <c r="B578" s="110">
        <v>3321</v>
      </c>
      <c r="C578" s="110" t="s">
        <v>1087</v>
      </c>
      <c r="D578" s="110" t="s">
        <v>1088</v>
      </c>
      <c r="E578" s="110"/>
      <c r="F578" s="110"/>
      <c r="G578" s="110" t="str">
        <f t="shared" si="8"/>
        <v>1</v>
      </c>
      <c r="H578" s="110"/>
      <c r="I578" s="110">
        <v>141.25931800000001</v>
      </c>
      <c r="J578" s="110">
        <v>40.730024999999998</v>
      </c>
      <c r="K578" s="110"/>
      <c r="L578" s="110"/>
      <c r="M578" s="110"/>
      <c r="N578" s="110"/>
      <c r="O578" s="110"/>
      <c r="P578" s="109"/>
      <c r="Q578" s="109"/>
      <c r="R578" s="109"/>
      <c r="S578" s="110"/>
      <c r="T578" s="135"/>
    </row>
    <row r="579" spans="1:20" x14ac:dyDescent="0.2">
      <c r="A579" s="5">
        <v>578</v>
      </c>
      <c r="B579" s="110">
        <v>3331</v>
      </c>
      <c r="C579" s="110" t="s">
        <v>1089</v>
      </c>
      <c r="D579" s="192" t="s">
        <v>1090</v>
      </c>
      <c r="E579" s="110"/>
      <c r="F579" s="110"/>
      <c r="G579" s="110" t="str">
        <f t="shared" si="8"/>
        <v>1</v>
      </c>
      <c r="H579" s="110"/>
      <c r="I579" s="110">
        <v>141.264296</v>
      </c>
      <c r="J579" s="110">
        <v>40.732723999999997</v>
      </c>
      <c r="K579" s="110"/>
      <c r="L579" s="110"/>
      <c r="M579" s="110"/>
      <c r="N579" s="110"/>
      <c r="O579" s="110"/>
      <c r="P579" s="109"/>
      <c r="Q579" s="109"/>
      <c r="R579" s="109"/>
      <c r="S579" s="110"/>
      <c r="T579" s="135"/>
    </row>
    <row r="580" spans="1:20" x14ac:dyDescent="0.2">
      <c r="A580" s="5">
        <v>579</v>
      </c>
      <c r="B580" s="110">
        <v>3341</v>
      </c>
      <c r="C580" s="110" t="s">
        <v>1091</v>
      </c>
      <c r="D580" s="110" t="s">
        <v>1092</v>
      </c>
      <c r="E580" s="110"/>
      <c r="F580" s="110"/>
      <c r="G580" s="110" t="str">
        <f t="shared" ref="G580:G643" si="9">RIGHT(B580,1)</f>
        <v>1</v>
      </c>
      <c r="H580" s="110"/>
      <c r="I580" s="110">
        <v>141.26845299999999</v>
      </c>
      <c r="J580" s="110">
        <v>40.732095000000001</v>
      </c>
      <c r="K580" s="110"/>
      <c r="L580" s="110"/>
      <c r="M580" s="110"/>
      <c r="N580" s="110"/>
      <c r="O580" s="110"/>
      <c r="P580" s="109"/>
      <c r="Q580" s="109"/>
      <c r="R580" s="109"/>
      <c r="S580" s="110"/>
      <c r="T580" s="135"/>
    </row>
    <row r="581" spans="1:20" x14ac:dyDescent="0.2">
      <c r="A581" s="5">
        <v>580</v>
      </c>
      <c r="B581" s="110">
        <v>3351</v>
      </c>
      <c r="C581" s="110" t="s">
        <v>1093</v>
      </c>
      <c r="D581" s="192" t="s">
        <v>1094</v>
      </c>
      <c r="E581" s="110"/>
      <c r="F581" s="110"/>
      <c r="G581" s="110" t="str">
        <f t="shared" si="9"/>
        <v>1</v>
      </c>
      <c r="H581" s="110"/>
      <c r="I581" s="110">
        <v>141.27189200000001</v>
      </c>
      <c r="J581" s="110">
        <v>40.733642000000003</v>
      </c>
      <c r="K581" s="110"/>
      <c r="L581" s="110"/>
      <c r="M581" s="110"/>
      <c r="N581" s="110"/>
      <c r="O581" s="110"/>
      <c r="P581" s="109"/>
      <c r="Q581" s="109"/>
      <c r="R581" s="109"/>
      <c r="S581" s="110"/>
      <c r="T581" s="135"/>
    </row>
    <row r="582" spans="1:20" x14ac:dyDescent="0.2">
      <c r="A582" s="5">
        <v>581</v>
      </c>
      <c r="B582" s="110">
        <v>3361</v>
      </c>
      <c r="C582" s="110" t="s">
        <v>1095</v>
      </c>
      <c r="D582" s="110" t="s">
        <v>1096</v>
      </c>
      <c r="E582" s="110"/>
      <c r="F582" s="110"/>
      <c r="G582" s="110" t="str">
        <f t="shared" si="9"/>
        <v>1</v>
      </c>
      <c r="H582" s="110"/>
      <c r="I582" s="110">
        <v>141.27605500000001</v>
      </c>
      <c r="J582" s="110">
        <v>40.735520999999999</v>
      </c>
      <c r="K582" s="110"/>
      <c r="L582" s="110"/>
      <c r="M582" s="110"/>
      <c r="N582" s="110"/>
      <c r="O582" s="110"/>
      <c r="P582" s="109"/>
      <c r="Q582" s="109"/>
      <c r="R582" s="109"/>
      <c r="S582" s="110"/>
      <c r="T582" s="135"/>
    </row>
    <row r="583" spans="1:20" x14ac:dyDescent="0.2">
      <c r="A583" s="5">
        <v>582</v>
      </c>
      <c r="B583" s="110">
        <v>3371</v>
      </c>
      <c r="C583" s="110" t="s">
        <v>1097</v>
      </c>
      <c r="D583" s="110" t="s">
        <v>1098</v>
      </c>
      <c r="E583" s="110"/>
      <c r="F583" s="110"/>
      <c r="G583" s="110" t="str">
        <f t="shared" si="9"/>
        <v>1</v>
      </c>
      <c r="H583" s="110"/>
      <c r="I583" s="110">
        <v>141.279145</v>
      </c>
      <c r="J583" s="110">
        <v>40.736789000000002</v>
      </c>
      <c r="K583" s="110"/>
      <c r="L583" s="110"/>
      <c r="M583" s="110"/>
      <c r="N583" s="110"/>
      <c r="O583" s="110"/>
      <c r="P583" s="109"/>
      <c r="Q583" s="109"/>
      <c r="R583" s="109"/>
      <c r="S583" s="110"/>
      <c r="T583" s="135"/>
    </row>
    <row r="584" spans="1:20" x14ac:dyDescent="0.2">
      <c r="A584" s="5">
        <v>583</v>
      </c>
      <c r="B584" s="110">
        <v>3362</v>
      </c>
      <c r="C584" s="110" t="s">
        <v>1095</v>
      </c>
      <c r="D584" s="110" t="s">
        <v>1096</v>
      </c>
      <c r="E584" s="110"/>
      <c r="F584" s="110"/>
      <c r="G584" s="110" t="str">
        <f t="shared" si="9"/>
        <v>2</v>
      </c>
      <c r="H584" s="110"/>
      <c r="I584" s="110">
        <v>141.27609799999999</v>
      </c>
      <c r="J584" s="110">
        <v>40.735447999999998</v>
      </c>
      <c r="K584" s="110"/>
      <c r="L584" s="110"/>
      <c r="M584" s="110"/>
      <c r="N584" s="110"/>
      <c r="O584" s="110"/>
      <c r="P584" s="109"/>
      <c r="Q584" s="109"/>
      <c r="R584" s="109"/>
      <c r="S584" s="110"/>
      <c r="T584" s="135"/>
    </row>
    <row r="585" spans="1:20" x14ac:dyDescent="0.2">
      <c r="A585" s="5">
        <v>584</v>
      </c>
      <c r="B585" s="110">
        <v>3352</v>
      </c>
      <c r="C585" s="110" t="s">
        <v>1093</v>
      </c>
      <c r="D585" s="192" t="s">
        <v>1094</v>
      </c>
      <c r="E585" s="110"/>
      <c r="F585" s="110"/>
      <c r="G585" s="110" t="str">
        <f t="shared" si="9"/>
        <v>2</v>
      </c>
      <c r="H585" s="110"/>
      <c r="I585" s="110">
        <v>141.27195599999999</v>
      </c>
      <c r="J585" s="110">
        <v>40.733564999999999</v>
      </c>
      <c r="K585" s="110"/>
      <c r="L585" s="110"/>
      <c r="M585" s="110"/>
      <c r="N585" s="110"/>
      <c r="O585" s="110"/>
      <c r="P585" s="109"/>
      <c r="Q585" s="109"/>
      <c r="R585" s="109"/>
      <c r="S585" s="110"/>
      <c r="T585" s="135"/>
    </row>
    <row r="586" spans="1:20" x14ac:dyDescent="0.2">
      <c r="A586" s="5">
        <v>585</v>
      </c>
      <c r="B586" s="110">
        <v>3342</v>
      </c>
      <c r="C586" s="110" t="s">
        <v>1091</v>
      </c>
      <c r="D586" s="110" t="s">
        <v>1092</v>
      </c>
      <c r="E586" s="110"/>
      <c r="F586" s="110"/>
      <c r="G586" s="110" t="str">
        <f t="shared" si="9"/>
        <v>2</v>
      </c>
      <c r="H586" s="110"/>
      <c r="I586" s="110">
        <v>141.26799199999999</v>
      </c>
      <c r="J586" s="110">
        <v>40.731808999999998</v>
      </c>
      <c r="K586" s="110"/>
      <c r="L586" s="110"/>
      <c r="M586" s="110"/>
      <c r="N586" s="110"/>
      <c r="O586" s="110"/>
      <c r="P586" s="109"/>
      <c r="Q586" s="109"/>
      <c r="R586" s="109"/>
      <c r="S586" s="110"/>
      <c r="T586" s="135"/>
    </row>
    <row r="587" spans="1:20" x14ac:dyDescent="0.2">
      <c r="A587" s="5">
        <v>586</v>
      </c>
      <c r="B587" s="110">
        <v>3332</v>
      </c>
      <c r="C587" s="110" t="s">
        <v>1089</v>
      </c>
      <c r="D587" s="192" t="s">
        <v>1090</v>
      </c>
      <c r="E587" s="110"/>
      <c r="F587" s="110"/>
      <c r="G587" s="110" t="str">
        <f t="shared" si="9"/>
        <v>2</v>
      </c>
      <c r="H587" s="110"/>
      <c r="I587" s="110">
        <v>141.26439300000001</v>
      </c>
      <c r="J587" s="110">
        <v>40.732650999999997</v>
      </c>
      <c r="K587" s="110"/>
      <c r="L587" s="110"/>
      <c r="M587" s="110"/>
      <c r="N587" s="110"/>
      <c r="O587" s="110"/>
      <c r="P587" s="109"/>
      <c r="Q587" s="109"/>
      <c r="R587" s="109"/>
      <c r="S587" s="110"/>
      <c r="T587" s="135"/>
    </row>
    <row r="588" spans="1:20" x14ac:dyDescent="0.2">
      <c r="A588" s="5">
        <v>587</v>
      </c>
      <c r="B588" s="110">
        <v>3322</v>
      </c>
      <c r="C588" s="110" t="s">
        <v>1087</v>
      </c>
      <c r="D588" s="110" t="s">
        <v>1088</v>
      </c>
      <c r="E588" s="110"/>
      <c r="F588" s="110"/>
      <c r="G588" s="110" t="str">
        <f t="shared" si="9"/>
        <v>2</v>
      </c>
      <c r="H588" s="110"/>
      <c r="I588" s="110">
        <v>141.25953799999999</v>
      </c>
      <c r="J588" s="110">
        <v>40.730009000000003</v>
      </c>
      <c r="K588" s="110"/>
      <c r="L588" s="110"/>
      <c r="M588" s="110"/>
      <c r="N588" s="110"/>
      <c r="O588" s="110"/>
      <c r="P588" s="109"/>
      <c r="Q588" s="109"/>
      <c r="R588" s="109"/>
      <c r="S588" s="110"/>
      <c r="T588" s="135"/>
    </row>
    <row r="589" spans="1:20" x14ac:dyDescent="0.2">
      <c r="A589" s="5">
        <v>588</v>
      </c>
      <c r="B589" s="110">
        <v>3312</v>
      </c>
      <c r="C589" s="110" t="s">
        <v>1085</v>
      </c>
      <c r="D589" s="110" t="s">
        <v>1086</v>
      </c>
      <c r="E589" s="110"/>
      <c r="F589" s="110"/>
      <c r="G589" s="110" t="str">
        <f t="shared" si="9"/>
        <v>2</v>
      </c>
      <c r="H589" s="110"/>
      <c r="I589" s="110">
        <v>141.256362</v>
      </c>
      <c r="J589" s="110">
        <v>40.728524999999998</v>
      </c>
      <c r="K589" s="110"/>
      <c r="L589" s="110"/>
      <c r="M589" s="110"/>
      <c r="N589" s="110"/>
      <c r="O589" s="110"/>
      <c r="P589" s="109"/>
      <c r="Q589" s="109"/>
      <c r="R589" s="109"/>
      <c r="S589" s="110"/>
      <c r="T589" s="135"/>
    </row>
    <row r="590" spans="1:20" x14ac:dyDescent="0.2">
      <c r="A590" s="5">
        <v>589</v>
      </c>
      <c r="B590" s="110">
        <v>3302</v>
      </c>
      <c r="C590" s="110" t="s">
        <v>1083</v>
      </c>
      <c r="D590" s="110" t="s">
        <v>1084</v>
      </c>
      <c r="E590" s="110"/>
      <c r="F590" s="110"/>
      <c r="G590" s="110" t="str">
        <f t="shared" si="9"/>
        <v>2</v>
      </c>
      <c r="H590" s="110"/>
      <c r="I590" s="110">
        <v>141.254683</v>
      </c>
      <c r="J590" s="110">
        <v>40.725838000000003</v>
      </c>
      <c r="K590" s="110"/>
      <c r="L590" s="110"/>
      <c r="M590" s="110"/>
      <c r="N590" s="110"/>
      <c r="O590" s="110"/>
      <c r="P590" s="109"/>
      <c r="Q590" s="109"/>
      <c r="R590" s="109"/>
      <c r="S590" s="110"/>
      <c r="T590" s="135"/>
    </row>
    <row r="591" spans="1:20" x14ac:dyDescent="0.2">
      <c r="A591" s="5">
        <v>590</v>
      </c>
      <c r="B591" s="110">
        <v>3292</v>
      </c>
      <c r="C591" s="110" t="s">
        <v>1081</v>
      </c>
      <c r="D591" s="110" t="s">
        <v>1082</v>
      </c>
      <c r="E591" s="110"/>
      <c r="F591" s="110"/>
      <c r="G591" s="110" t="str">
        <f t="shared" si="9"/>
        <v>2</v>
      </c>
      <c r="H591" s="110"/>
      <c r="I591" s="110">
        <v>141.258599</v>
      </c>
      <c r="J591" s="110">
        <v>40.719776000000003</v>
      </c>
      <c r="K591" s="110"/>
      <c r="L591" s="110"/>
      <c r="M591" s="110"/>
      <c r="N591" s="110"/>
      <c r="O591" s="110"/>
      <c r="P591" s="109"/>
      <c r="Q591" s="109"/>
      <c r="R591" s="109"/>
      <c r="S591" s="110"/>
      <c r="T591" s="135"/>
    </row>
    <row r="592" spans="1:20" x14ac:dyDescent="0.2">
      <c r="A592" s="5">
        <v>591</v>
      </c>
      <c r="B592" s="110">
        <v>3282</v>
      </c>
      <c r="C592" s="110" t="s">
        <v>1079</v>
      </c>
      <c r="D592" s="110" t="s">
        <v>1080</v>
      </c>
      <c r="E592" s="110"/>
      <c r="F592" s="110"/>
      <c r="G592" s="110" t="str">
        <f t="shared" si="9"/>
        <v>2</v>
      </c>
      <c r="H592" s="110"/>
      <c r="I592" s="110">
        <v>141.25477900000001</v>
      </c>
      <c r="J592" s="110">
        <v>40.713624000000003</v>
      </c>
      <c r="K592" s="110"/>
      <c r="L592" s="110"/>
      <c r="M592" s="110"/>
      <c r="N592" s="110"/>
      <c r="O592" s="110"/>
      <c r="P592" s="109"/>
      <c r="Q592" s="109"/>
      <c r="R592" s="109"/>
      <c r="S592" s="110"/>
      <c r="T592" s="135"/>
    </row>
    <row r="593" spans="1:20" x14ac:dyDescent="0.2">
      <c r="A593" s="5">
        <v>592</v>
      </c>
      <c r="B593" s="110">
        <v>3272</v>
      </c>
      <c r="C593" s="110" t="s">
        <v>1077</v>
      </c>
      <c r="D593" s="110" t="s">
        <v>1078</v>
      </c>
      <c r="E593" s="110"/>
      <c r="F593" s="110"/>
      <c r="G593" s="110" t="str">
        <f t="shared" si="9"/>
        <v>2</v>
      </c>
      <c r="H593" s="110"/>
      <c r="I593" s="110">
        <v>141.25133600000001</v>
      </c>
      <c r="J593" s="110">
        <v>40.710602999999999</v>
      </c>
      <c r="K593" s="110"/>
      <c r="L593" s="110"/>
      <c r="M593" s="110"/>
      <c r="N593" s="110"/>
      <c r="O593" s="110"/>
      <c r="P593" s="109"/>
      <c r="Q593" s="109"/>
      <c r="R593" s="109"/>
      <c r="S593" s="110"/>
      <c r="T593" s="135"/>
    </row>
    <row r="594" spans="1:20" x14ac:dyDescent="0.2">
      <c r="A594" s="5">
        <v>593</v>
      </c>
      <c r="B594" s="110">
        <v>3262</v>
      </c>
      <c r="C594" s="110" t="s">
        <v>1075</v>
      </c>
      <c r="D594" s="110" t="s">
        <v>1076</v>
      </c>
      <c r="E594" s="110"/>
      <c r="F594" s="110"/>
      <c r="G594" s="110" t="str">
        <f t="shared" si="9"/>
        <v>2</v>
      </c>
      <c r="H594" s="110"/>
      <c r="I594" s="110">
        <v>141.23810399999999</v>
      </c>
      <c r="J594" s="110">
        <v>40.697223000000001</v>
      </c>
      <c r="K594" s="110"/>
      <c r="L594" s="110"/>
      <c r="M594" s="110"/>
      <c r="N594" s="110"/>
      <c r="O594" s="110"/>
      <c r="P594" s="109"/>
      <c r="Q594" s="109"/>
      <c r="R594" s="109"/>
      <c r="S594" s="110"/>
      <c r="T594" s="135"/>
    </row>
    <row r="595" spans="1:20" x14ac:dyDescent="0.2">
      <c r="A595" s="5">
        <v>594</v>
      </c>
      <c r="B595" s="110">
        <v>3252</v>
      </c>
      <c r="C595" s="110" t="s">
        <v>1073</v>
      </c>
      <c r="D595" s="110" t="s">
        <v>1074</v>
      </c>
      <c r="E595" s="110"/>
      <c r="F595" s="110"/>
      <c r="G595" s="110" t="str">
        <f t="shared" si="9"/>
        <v>2</v>
      </c>
      <c r="H595" s="110"/>
      <c r="I595" s="110">
        <v>141.24157</v>
      </c>
      <c r="J595" s="110">
        <v>40.690613999999997</v>
      </c>
      <c r="K595" s="110"/>
      <c r="L595" s="110"/>
      <c r="M595" s="110"/>
      <c r="N595" s="110"/>
      <c r="O595" s="110"/>
      <c r="P595" s="109"/>
      <c r="Q595" s="109"/>
      <c r="R595" s="109"/>
      <c r="S595" s="110"/>
      <c r="T595" s="135"/>
    </row>
    <row r="596" spans="1:20" x14ac:dyDescent="0.2">
      <c r="A596" s="5">
        <v>595</v>
      </c>
      <c r="B596" s="110">
        <v>3242</v>
      </c>
      <c r="C596" s="110" t="s">
        <v>1071</v>
      </c>
      <c r="D596" s="110" t="s">
        <v>1072</v>
      </c>
      <c r="E596" s="110"/>
      <c r="F596" s="110"/>
      <c r="G596" s="110" t="str">
        <f t="shared" si="9"/>
        <v>2</v>
      </c>
      <c r="H596" s="110"/>
      <c r="I596" s="110">
        <v>141.23936800000001</v>
      </c>
      <c r="J596" s="110">
        <v>40.689990999999999</v>
      </c>
      <c r="K596" s="110"/>
      <c r="L596" s="110"/>
      <c r="M596" s="110"/>
      <c r="N596" s="110"/>
      <c r="O596" s="110"/>
      <c r="P596" s="109"/>
      <c r="Q596" s="109"/>
      <c r="R596" s="109"/>
      <c r="S596" s="110"/>
      <c r="T596" s="135"/>
    </row>
    <row r="597" spans="1:20" x14ac:dyDescent="0.2">
      <c r="A597" s="5">
        <v>596</v>
      </c>
      <c r="B597" s="110">
        <v>3232</v>
      </c>
      <c r="C597" s="110" t="s">
        <v>1069</v>
      </c>
      <c r="D597" s="110" t="s">
        <v>1070</v>
      </c>
      <c r="E597" s="110"/>
      <c r="F597" s="110"/>
      <c r="G597" s="110" t="str">
        <f t="shared" si="9"/>
        <v>2</v>
      </c>
      <c r="H597" s="110"/>
      <c r="I597" s="110">
        <v>141.23082199999999</v>
      </c>
      <c r="J597" s="110">
        <v>40.676056000000003</v>
      </c>
      <c r="K597" s="110"/>
      <c r="L597" s="110"/>
      <c r="M597" s="110"/>
      <c r="N597" s="110"/>
      <c r="O597" s="110"/>
      <c r="P597" s="109"/>
      <c r="Q597" s="109"/>
      <c r="R597" s="109"/>
      <c r="S597" s="110"/>
      <c r="T597" s="135"/>
    </row>
    <row r="598" spans="1:20" x14ac:dyDescent="0.2">
      <c r="A598" s="5">
        <v>597</v>
      </c>
      <c r="B598" s="110">
        <v>3222</v>
      </c>
      <c r="C598" s="110" t="s">
        <v>1067</v>
      </c>
      <c r="D598" s="192" t="s">
        <v>1068</v>
      </c>
      <c r="E598" s="110"/>
      <c r="F598" s="110"/>
      <c r="G598" s="110" t="str">
        <f t="shared" si="9"/>
        <v>2</v>
      </c>
      <c r="H598" s="110"/>
      <c r="I598" s="110">
        <v>141.215834</v>
      </c>
      <c r="J598" s="110">
        <v>40.668917999999998</v>
      </c>
      <c r="K598" s="110"/>
      <c r="L598" s="110"/>
      <c r="M598" s="110"/>
      <c r="N598" s="110"/>
      <c r="O598" s="110"/>
      <c r="P598" s="109"/>
      <c r="Q598" s="109"/>
      <c r="R598" s="109"/>
      <c r="S598" s="110"/>
      <c r="T598" s="135"/>
    </row>
    <row r="599" spans="1:20" x14ac:dyDescent="0.2">
      <c r="A599" s="5">
        <v>598</v>
      </c>
      <c r="B599" s="110">
        <v>3381</v>
      </c>
      <c r="C599" s="110" t="s">
        <v>1099</v>
      </c>
      <c r="D599" s="110" t="s">
        <v>1100</v>
      </c>
      <c r="E599" s="110"/>
      <c r="F599" s="110"/>
      <c r="G599" s="110" t="str">
        <f t="shared" si="9"/>
        <v>1</v>
      </c>
      <c r="H599" s="110"/>
      <c r="I599" s="110">
        <v>141.15787700000001</v>
      </c>
      <c r="J599" s="110">
        <v>40.695663000000003</v>
      </c>
      <c r="K599" s="110"/>
      <c r="L599" s="110"/>
      <c r="M599" s="110"/>
      <c r="N599" s="110"/>
      <c r="O599" s="110"/>
      <c r="P599" s="109"/>
      <c r="Q599" s="109"/>
      <c r="R599" s="109"/>
      <c r="S599" s="110" t="s">
        <v>1101</v>
      </c>
      <c r="T599" s="135"/>
    </row>
    <row r="600" spans="1:20" x14ac:dyDescent="0.2">
      <c r="A600" s="5">
        <v>599</v>
      </c>
      <c r="B600" s="110">
        <v>3382</v>
      </c>
      <c r="C600" s="110" t="s">
        <v>1099</v>
      </c>
      <c r="D600" s="110" t="s">
        <v>1100</v>
      </c>
      <c r="E600" s="110"/>
      <c r="F600" s="110"/>
      <c r="G600" s="110" t="str">
        <f t="shared" si="9"/>
        <v>2</v>
      </c>
      <c r="H600" s="110"/>
      <c r="I600" s="110">
        <v>141.15789799999999</v>
      </c>
      <c r="J600" s="110">
        <v>40.695723000000001</v>
      </c>
      <c r="K600" s="110"/>
      <c r="L600" s="110"/>
      <c r="M600" s="110"/>
      <c r="N600" s="110"/>
      <c r="O600" s="110"/>
      <c r="P600" s="109"/>
      <c r="Q600" s="109"/>
      <c r="R600" s="109"/>
      <c r="S600" s="110" t="s">
        <v>1101</v>
      </c>
      <c r="T600" s="135"/>
    </row>
    <row r="601" spans="1:20" x14ac:dyDescent="0.2">
      <c r="A601" s="5">
        <v>600</v>
      </c>
      <c r="B601" s="110">
        <v>1813</v>
      </c>
      <c r="C601" s="110" t="s">
        <v>641</v>
      </c>
      <c r="D601" s="110" t="s">
        <v>642</v>
      </c>
      <c r="E601" s="110"/>
      <c r="F601" s="110"/>
      <c r="G601" s="110" t="str">
        <f t="shared" si="9"/>
        <v>3</v>
      </c>
      <c r="H601" s="110"/>
      <c r="I601" s="110">
        <v>141.161956</v>
      </c>
      <c r="J601" s="110">
        <v>40.696340999999997</v>
      </c>
      <c r="K601" s="110"/>
      <c r="L601" s="110"/>
      <c r="M601" s="110"/>
      <c r="N601" s="110"/>
      <c r="O601" s="110"/>
      <c r="P601" s="109"/>
      <c r="Q601" s="109"/>
      <c r="R601" s="109"/>
      <c r="S601" s="110" t="s">
        <v>643</v>
      </c>
      <c r="T601" s="135"/>
    </row>
    <row r="602" spans="1:20" x14ac:dyDescent="0.2">
      <c r="A602" s="5">
        <v>601</v>
      </c>
      <c r="B602" s="110">
        <v>1814</v>
      </c>
      <c r="C602" s="110" t="s">
        <v>641</v>
      </c>
      <c r="D602" s="110" t="s">
        <v>642</v>
      </c>
      <c r="E602" s="110"/>
      <c r="F602" s="110"/>
      <c r="G602" s="110" t="str">
        <f t="shared" si="9"/>
        <v>4</v>
      </c>
      <c r="H602" s="110"/>
      <c r="I602" s="110">
        <v>141.16115500000001</v>
      </c>
      <c r="J602" s="110">
        <v>40.696227</v>
      </c>
      <c r="K602" s="110"/>
      <c r="L602" s="110"/>
      <c r="M602" s="110"/>
      <c r="N602" s="110"/>
      <c r="O602" s="110"/>
      <c r="P602" s="109"/>
      <c r="Q602" s="109"/>
      <c r="R602" s="109"/>
      <c r="S602" s="110" t="s">
        <v>643</v>
      </c>
      <c r="T602" s="135"/>
    </row>
    <row r="603" spans="1:20" x14ac:dyDescent="0.2">
      <c r="A603" s="5">
        <v>602</v>
      </c>
      <c r="B603" s="110">
        <v>1183</v>
      </c>
      <c r="C603" s="110" t="s">
        <v>468</v>
      </c>
      <c r="D603" s="110" t="s">
        <v>469</v>
      </c>
      <c r="E603" s="110"/>
      <c r="F603" s="110"/>
      <c r="G603" s="110" t="str">
        <f t="shared" si="9"/>
        <v>3</v>
      </c>
      <c r="H603" s="110"/>
      <c r="I603" s="110">
        <v>141.221799</v>
      </c>
      <c r="J603" s="110">
        <v>40.604267</v>
      </c>
      <c r="K603" s="110"/>
      <c r="L603" s="110"/>
      <c r="M603" s="110"/>
      <c r="N603" s="110"/>
      <c r="O603" s="110"/>
      <c r="P603" s="109"/>
      <c r="Q603" s="109"/>
      <c r="R603" s="109"/>
      <c r="S603" s="110" t="s">
        <v>497</v>
      </c>
      <c r="T603" s="135"/>
    </row>
    <row r="604" spans="1:20" x14ac:dyDescent="0.2">
      <c r="A604" s="5">
        <v>603</v>
      </c>
      <c r="B604" s="110">
        <v>3391</v>
      </c>
      <c r="C604" s="110" t="s">
        <v>1102</v>
      </c>
      <c r="D604" s="110" t="s">
        <v>1103</v>
      </c>
      <c r="E604" s="110"/>
      <c r="F604" s="110"/>
      <c r="G604" s="110" t="str">
        <f t="shared" si="9"/>
        <v>1</v>
      </c>
      <c r="H604" s="110"/>
      <c r="I604" s="192">
        <v>141.22336200000001</v>
      </c>
      <c r="J604" s="192">
        <v>40.602263999999998</v>
      </c>
      <c r="K604" s="110"/>
      <c r="L604" s="110"/>
      <c r="M604" s="110"/>
      <c r="N604" s="110"/>
      <c r="O604" s="110"/>
      <c r="P604" s="109"/>
      <c r="Q604" s="109"/>
      <c r="R604" s="109"/>
      <c r="S604" s="110"/>
      <c r="T604" s="135"/>
    </row>
    <row r="605" spans="1:20" x14ac:dyDescent="0.2">
      <c r="A605" s="5">
        <v>604</v>
      </c>
      <c r="B605" s="110">
        <v>3401</v>
      </c>
      <c r="C605" s="110" t="s">
        <v>1104</v>
      </c>
      <c r="D605" s="110" t="s">
        <v>1105</v>
      </c>
      <c r="E605" s="110"/>
      <c r="F605" s="110"/>
      <c r="G605" s="110" t="str">
        <f t="shared" si="9"/>
        <v>1</v>
      </c>
      <c r="H605" s="191"/>
      <c r="I605" s="192">
        <v>141.22635399999999</v>
      </c>
      <c r="J605" s="192">
        <v>40.599240000000002</v>
      </c>
      <c r="K605" s="110"/>
      <c r="L605" s="110"/>
      <c r="M605" s="110"/>
      <c r="N605" s="110"/>
      <c r="O605" s="110"/>
      <c r="P605" s="109"/>
      <c r="Q605" s="109"/>
      <c r="R605" s="109"/>
      <c r="S605" s="110"/>
      <c r="T605" s="135"/>
    </row>
    <row r="606" spans="1:20" x14ac:dyDescent="0.2">
      <c r="A606" s="5">
        <v>605</v>
      </c>
      <c r="B606" s="110">
        <v>3411</v>
      </c>
      <c r="C606" s="110" t="s">
        <v>1106</v>
      </c>
      <c r="D606" s="110" t="s">
        <v>1107</v>
      </c>
      <c r="E606" s="110"/>
      <c r="F606" s="110"/>
      <c r="G606" s="110" t="str">
        <f t="shared" si="9"/>
        <v>1</v>
      </c>
      <c r="H606" s="110"/>
      <c r="I606" s="110">
        <v>141.23068799999999</v>
      </c>
      <c r="J606" s="110">
        <v>40.596836000000003</v>
      </c>
      <c r="K606" s="110"/>
      <c r="L606" s="110"/>
      <c r="M606" s="110"/>
      <c r="N606" s="110"/>
      <c r="O606" s="110"/>
      <c r="P606" s="109"/>
      <c r="Q606" s="109"/>
      <c r="R606" s="109"/>
      <c r="S606" s="110"/>
      <c r="T606" s="135"/>
    </row>
    <row r="607" spans="1:20" x14ac:dyDescent="0.2">
      <c r="A607" s="5">
        <v>606</v>
      </c>
      <c r="B607" s="110">
        <v>3421</v>
      </c>
      <c r="C607" s="110" t="s">
        <v>1108</v>
      </c>
      <c r="D607" s="110" t="s">
        <v>1109</v>
      </c>
      <c r="E607" s="110"/>
      <c r="F607" s="110"/>
      <c r="G607" s="110" t="str">
        <f t="shared" si="9"/>
        <v>1</v>
      </c>
      <c r="H607" s="110"/>
      <c r="I607" s="110">
        <v>141.23351</v>
      </c>
      <c r="J607" s="110">
        <v>40.595275999999998</v>
      </c>
      <c r="K607" s="110"/>
      <c r="L607" s="110"/>
      <c r="M607" s="110"/>
      <c r="N607" s="110"/>
      <c r="O607" s="110"/>
      <c r="P607" s="109"/>
      <c r="Q607" s="109"/>
      <c r="R607" s="109"/>
      <c r="S607" s="110"/>
      <c r="T607" s="135"/>
    </row>
    <row r="608" spans="1:20" x14ac:dyDescent="0.2">
      <c r="A608" s="5">
        <v>607</v>
      </c>
      <c r="B608" s="110">
        <v>3431</v>
      </c>
      <c r="C608" s="110" t="s">
        <v>1110</v>
      </c>
      <c r="D608" s="110" t="s">
        <v>1111</v>
      </c>
      <c r="E608" s="110"/>
      <c r="F608" s="110"/>
      <c r="G608" s="110" t="str">
        <f t="shared" si="9"/>
        <v>1</v>
      </c>
      <c r="H608" s="110"/>
      <c r="I608" s="192">
        <v>141.23514700000001</v>
      </c>
      <c r="J608" s="192">
        <v>40.594405999999999</v>
      </c>
      <c r="K608" s="110"/>
      <c r="L608" s="110"/>
      <c r="M608" s="110"/>
      <c r="N608" s="110"/>
      <c r="O608" s="110"/>
      <c r="P608" s="109"/>
      <c r="Q608" s="109"/>
      <c r="R608" s="109"/>
      <c r="S608" s="110"/>
      <c r="T608" s="135"/>
    </row>
    <row r="609" spans="1:20" x14ac:dyDescent="0.2">
      <c r="A609" s="5">
        <v>608</v>
      </c>
      <c r="B609" s="110">
        <v>3441</v>
      </c>
      <c r="C609" s="110" t="s">
        <v>1112</v>
      </c>
      <c r="D609" s="110" t="s">
        <v>1113</v>
      </c>
      <c r="E609" s="110"/>
      <c r="F609" s="110"/>
      <c r="G609" s="110" t="str">
        <f t="shared" si="9"/>
        <v>1</v>
      </c>
      <c r="H609" s="110"/>
      <c r="I609" s="110">
        <v>141.238418</v>
      </c>
      <c r="J609" s="110">
        <v>40.593667000000003</v>
      </c>
      <c r="K609" s="110"/>
      <c r="L609" s="110"/>
      <c r="M609" s="110"/>
      <c r="N609" s="110"/>
      <c r="O609" s="110"/>
      <c r="P609" s="109"/>
      <c r="Q609" s="109"/>
      <c r="R609" s="109"/>
      <c r="S609" s="110"/>
      <c r="T609" s="135"/>
    </row>
    <row r="610" spans="1:20" x14ac:dyDescent="0.2">
      <c r="A610" s="5">
        <v>609</v>
      </c>
      <c r="B610" s="110">
        <v>3451</v>
      </c>
      <c r="C610" s="110" t="s">
        <v>1114</v>
      </c>
      <c r="D610" s="192" t="s">
        <v>1115</v>
      </c>
      <c r="E610" s="110"/>
      <c r="F610" s="110"/>
      <c r="G610" s="110" t="str">
        <f t="shared" si="9"/>
        <v>1</v>
      </c>
      <c r="H610" s="110"/>
      <c r="I610" s="110">
        <v>141.240489</v>
      </c>
      <c r="J610" s="110">
        <v>40.593597000000003</v>
      </c>
      <c r="K610" s="110"/>
      <c r="L610" s="110"/>
      <c r="M610" s="110"/>
      <c r="N610" s="110"/>
      <c r="O610" s="110"/>
      <c r="P610" s="109"/>
      <c r="Q610" s="109"/>
      <c r="R610" s="109"/>
      <c r="S610" s="110"/>
      <c r="T610" s="135"/>
    </row>
    <row r="611" spans="1:20" x14ac:dyDescent="0.2">
      <c r="A611" s="5">
        <v>610</v>
      </c>
      <c r="B611" s="110">
        <v>3461</v>
      </c>
      <c r="C611" s="110" t="s">
        <v>1116</v>
      </c>
      <c r="D611" s="192" t="s">
        <v>1117</v>
      </c>
      <c r="E611" s="110"/>
      <c r="F611" s="110"/>
      <c r="G611" s="110" t="str">
        <f t="shared" si="9"/>
        <v>1</v>
      </c>
      <c r="H611" s="110"/>
      <c r="I611" s="110">
        <v>141.24320800000001</v>
      </c>
      <c r="J611" s="110">
        <v>40.593401999999998</v>
      </c>
      <c r="K611" s="110"/>
      <c r="L611" s="110"/>
      <c r="M611" s="110"/>
      <c r="N611" s="110"/>
      <c r="O611" s="110"/>
      <c r="P611" s="109"/>
      <c r="Q611" s="109"/>
      <c r="R611" s="109"/>
      <c r="S611" s="110"/>
      <c r="T611" s="135"/>
    </row>
    <row r="612" spans="1:20" x14ac:dyDescent="0.2">
      <c r="A612" s="5">
        <v>611</v>
      </c>
      <c r="B612" s="110">
        <v>3471</v>
      </c>
      <c r="C612" s="110" t="s">
        <v>1118</v>
      </c>
      <c r="D612" s="192" t="s">
        <v>1119</v>
      </c>
      <c r="E612" s="110"/>
      <c r="F612" s="110"/>
      <c r="G612" s="110" t="str">
        <f t="shared" si="9"/>
        <v>1</v>
      </c>
      <c r="H612" s="110"/>
      <c r="I612" s="110">
        <v>141.24936700000001</v>
      </c>
      <c r="J612" s="110">
        <v>40.594617</v>
      </c>
      <c r="K612" s="110"/>
      <c r="L612" s="110"/>
      <c r="M612" s="110"/>
      <c r="N612" s="110"/>
      <c r="O612" s="110"/>
      <c r="P612" s="109"/>
      <c r="Q612" s="109"/>
      <c r="R612" s="109"/>
      <c r="S612" s="110"/>
      <c r="T612" s="135"/>
    </row>
    <row r="613" spans="1:20" x14ac:dyDescent="0.2">
      <c r="A613" s="5">
        <v>612</v>
      </c>
      <c r="B613" s="110">
        <v>3481</v>
      </c>
      <c r="C613" s="110" t="s">
        <v>1120</v>
      </c>
      <c r="D613" s="110" t="s">
        <v>1121</v>
      </c>
      <c r="E613" s="110"/>
      <c r="F613" s="110"/>
      <c r="G613" s="110" t="str">
        <f t="shared" si="9"/>
        <v>1</v>
      </c>
      <c r="H613" s="110"/>
      <c r="I613" s="110">
        <v>141.253412</v>
      </c>
      <c r="J613" s="110">
        <v>40.594786999999997</v>
      </c>
      <c r="K613" s="110"/>
      <c r="L613" s="110"/>
      <c r="M613" s="110"/>
      <c r="N613" s="110"/>
      <c r="O613" s="110"/>
      <c r="P613" s="109"/>
      <c r="Q613" s="109"/>
      <c r="R613" s="109"/>
      <c r="S613" s="110"/>
      <c r="T613" s="135"/>
    </row>
    <row r="614" spans="1:20" x14ac:dyDescent="0.2">
      <c r="A614" s="5">
        <v>613</v>
      </c>
      <c r="B614" s="110">
        <v>3491</v>
      </c>
      <c r="C614" s="110" t="s">
        <v>1122</v>
      </c>
      <c r="D614" s="192" t="s">
        <v>1123</v>
      </c>
      <c r="E614" s="110"/>
      <c r="F614" s="110"/>
      <c r="G614" s="110" t="str">
        <f t="shared" si="9"/>
        <v>1</v>
      </c>
      <c r="H614" s="110"/>
      <c r="I614" s="110">
        <v>141.25443300000001</v>
      </c>
      <c r="J614" s="110">
        <v>40.598571</v>
      </c>
      <c r="K614" s="110"/>
      <c r="L614" s="110"/>
      <c r="M614" s="110"/>
      <c r="N614" s="110"/>
      <c r="O614" s="110"/>
      <c r="P614" s="109"/>
      <c r="Q614" s="109"/>
      <c r="R614" s="109"/>
      <c r="S614" s="110"/>
      <c r="T614" s="135"/>
    </row>
    <row r="615" spans="1:20" x14ac:dyDescent="0.2">
      <c r="A615" s="5">
        <v>614</v>
      </c>
      <c r="B615" s="110">
        <v>3501</v>
      </c>
      <c r="C615" s="110" t="s">
        <v>1124</v>
      </c>
      <c r="D615" s="110" t="s">
        <v>1125</v>
      </c>
      <c r="E615" s="110"/>
      <c r="F615" s="110"/>
      <c r="G615" s="110" t="str">
        <f t="shared" si="9"/>
        <v>1</v>
      </c>
      <c r="H615" s="110"/>
      <c r="I615" s="110">
        <v>141.25490300000001</v>
      </c>
      <c r="J615" s="110">
        <v>40.600391999999999</v>
      </c>
      <c r="K615" s="110"/>
      <c r="L615" s="110"/>
      <c r="M615" s="110"/>
      <c r="N615" s="110"/>
      <c r="O615" s="110"/>
      <c r="P615" s="109"/>
      <c r="Q615" s="109"/>
      <c r="R615" s="109"/>
      <c r="S615" s="110"/>
      <c r="T615" s="135"/>
    </row>
    <row r="616" spans="1:20" x14ac:dyDescent="0.2">
      <c r="A616" s="5">
        <v>615</v>
      </c>
      <c r="B616" s="110">
        <v>3511</v>
      </c>
      <c r="C616" s="110" t="s">
        <v>1126</v>
      </c>
      <c r="D616" s="110" t="s">
        <v>1127</v>
      </c>
      <c r="E616" s="110"/>
      <c r="F616" s="110"/>
      <c r="G616" s="110" t="str">
        <f t="shared" si="9"/>
        <v>1</v>
      </c>
      <c r="H616" s="110"/>
      <c r="I616" s="110">
        <v>141.25785300000001</v>
      </c>
      <c r="J616" s="110">
        <v>40.60436</v>
      </c>
      <c r="K616" s="110"/>
      <c r="L616" s="110"/>
      <c r="M616" s="110"/>
      <c r="N616" s="110"/>
      <c r="O616" s="110"/>
      <c r="P616" s="109"/>
      <c r="Q616" s="109"/>
      <c r="R616" s="109"/>
      <c r="S616" s="110"/>
      <c r="T616" s="135"/>
    </row>
    <row r="617" spans="1:20" x14ac:dyDescent="0.2">
      <c r="A617" s="5">
        <v>616</v>
      </c>
      <c r="B617" s="110">
        <v>3502</v>
      </c>
      <c r="C617" s="110" t="s">
        <v>1124</v>
      </c>
      <c r="D617" s="110" t="s">
        <v>1125</v>
      </c>
      <c r="E617" s="110"/>
      <c r="F617" s="110"/>
      <c r="G617" s="110" t="str">
        <f t="shared" si="9"/>
        <v>2</v>
      </c>
      <c r="H617" s="110"/>
      <c r="I617" s="110">
        <v>141.25501600000001</v>
      </c>
      <c r="J617" s="110">
        <v>40.600408000000002</v>
      </c>
      <c r="K617" s="110"/>
      <c r="L617" s="110"/>
      <c r="M617" s="110"/>
      <c r="N617" s="110"/>
      <c r="O617" s="110"/>
      <c r="P617" s="109"/>
      <c r="Q617" s="109"/>
      <c r="R617" s="109"/>
      <c r="S617" s="110"/>
      <c r="T617" s="135"/>
    </row>
    <row r="618" spans="1:20" x14ac:dyDescent="0.2">
      <c r="A618" s="5">
        <v>617</v>
      </c>
      <c r="B618" s="110">
        <v>3492</v>
      </c>
      <c r="C618" s="110" t="s">
        <v>1122</v>
      </c>
      <c r="D618" s="110" t="s">
        <v>1128</v>
      </c>
      <c r="E618" s="110"/>
      <c r="F618" s="110"/>
      <c r="G618" s="110" t="str">
        <f t="shared" si="9"/>
        <v>2</v>
      </c>
      <c r="H618" s="110"/>
      <c r="I618" s="110">
        <v>141.25448700000001</v>
      </c>
      <c r="J618" s="110">
        <v>40.598384000000003</v>
      </c>
      <c r="K618" s="110"/>
      <c r="L618" s="110"/>
      <c r="M618" s="110"/>
      <c r="N618" s="110"/>
      <c r="O618" s="110"/>
      <c r="P618" s="109"/>
      <c r="Q618" s="109"/>
      <c r="R618" s="109"/>
      <c r="S618" s="110"/>
      <c r="T618" s="135"/>
    </row>
    <row r="619" spans="1:20" x14ac:dyDescent="0.2">
      <c r="A619" s="5">
        <v>618</v>
      </c>
      <c r="B619" s="110">
        <v>3521</v>
      </c>
      <c r="C619" s="110" t="s">
        <v>1129</v>
      </c>
      <c r="D619" s="110" t="s">
        <v>1130</v>
      </c>
      <c r="E619" s="110"/>
      <c r="F619" s="110"/>
      <c r="G619" s="110" t="str">
        <f t="shared" si="9"/>
        <v>1</v>
      </c>
      <c r="H619" s="110"/>
      <c r="I619" s="110">
        <v>141.26273</v>
      </c>
      <c r="J619" s="110">
        <v>40.594562000000003</v>
      </c>
      <c r="K619" s="110"/>
      <c r="L619" s="110"/>
      <c r="M619" s="110"/>
      <c r="N619" s="110"/>
      <c r="O619" s="110"/>
      <c r="P619" s="109"/>
      <c r="Q619" s="109"/>
      <c r="R619" s="109"/>
      <c r="S619" s="110"/>
      <c r="T619" s="135"/>
    </row>
    <row r="620" spans="1:20" x14ac:dyDescent="0.2">
      <c r="A620" s="5">
        <v>619</v>
      </c>
      <c r="B620" s="110">
        <v>3531</v>
      </c>
      <c r="C620" s="110" t="s">
        <v>1131</v>
      </c>
      <c r="D620" s="110" t="s">
        <v>1132</v>
      </c>
      <c r="E620" s="110"/>
      <c r="F620" s="110"/>
      <c r="G620" s="110" t="str">
        <f t="shared" si="9"/>
        <v>1</v>
      </c>
      <c r="H620" s="110"/>
      <c r="I620" s="110">
        <v>141.26685499999999</v>
      </c>
      <c r="J620" s="110">
        <v>40.594836000000001</v>
      </c>
      <c r="K620" s="110"/>
      <c r="L620" s="110"/>
      <c r="M620" s="110"/>
      <c r="N620" s="110"/>
      <c r="O620" s="110"/>
      <c r="P620" s="109"/>
      <c r="Q620" s="109"/>
      <c r="R620" s="109"/>
      <c r="S620" s="110"/>
      <c r="T620" s="135"/>
    </row>
    <row r="621" spans="1:20" x14ac:dyDescent="0.2">
      <c r="A621" s="5">
        <v>620</v>
      </c>
      <c r="B621" s="110">
        <v>3541</v>
      </c>
      <c r="C621" s="110" t="s">
        <v>1133</v>
      </c>
      <c r="D621" s="192" t="s">
        <v>1134</v>
      </c>
      <c r="E621" s="110"/>
      <c r="F621" s="110"/>
      <c r="G621" s="110" t="str">
        <f t="shared" si="9"/>
        <v>1</v>
      </c>
      <c r="H621" s="110"/>
      <c r="I621" s="110">
        <v>141.271254</v>
      </c>
      <c r="J621" s="110">
        <v>40.596021999999998</v>
      </c>
      <c r="K621" s="110"/>
      <c r="L621" s="110"/>
      <c r="M621" s="110"/>
      <c r="N621" s="110"/>
      <c r="O621" s="110"/>
      <c r="P621" s="109"/>
      <c r="Q621" s="109"/>
      <c r="R621" s="109"/>
      <c r="S621" s="110"/>
      <c r="T621" s="135"/>
    </row>
    <row r="622" spans="1:20" x14ac:dyDescent="0.2">
      <c r="A622" s="5">
        <v>621</v>
      </c>
      <c r="B622" s="110">
        <v>3551</v>
      </c>
      <c r="C622" s="110" t="s">
        <v>1135</v>
      </c>
      <c r="D622" s="110" t="s">
        <v>1136</v>
      </c>
      <c r="E622" s="110"/>
      <c r="F622" s="110"/>
      <c r="G622" s="110" t="str">
        <f t="shared" si="9"/>
        <v>1</v>
      </c>
      <c r="H622" s="110"/>
      <c r="I622" s="110">
        <v>141.27084099999999</v>
      </c>
      <c r="J622" s="110">
        <v>40.598919000000002</v>
      </c>
      <c r="K622" s="110"/>
      <c r="L622" s="110"/>
      <c r="M622" s="110"/>
      <c r="N622" s="110"/>
      <c r="O622" s="110"/>
      <c r="P622" s="109"/>
      <c r="Q622" s="109"/>
      <c r="R622" s="109"/>
      <c r="S622" s="110"/>
      <c r="T622" s="135"/>
    </row>
    <row r="623" spans="1:20" x14ac:dyDescent="0.2">
      <c r="A623" s="5">
        <v>622</v>
      </c>
      <c r="B623" s="110">
        <v>3552</v>
      </c>
      <c r="C623" s="110" t="s">
        <v>1135</v>
      </c>
      <c r="D623" s="110" t="s">
        <v>1136</v>
      </c>
      <c r="E623" s="110"/>
      <c r="F623" s="110"/>
      <c r="G623" s="110" t="str">
        <f t="shared" si="9"/>
        <v>2</v>
      </c>
      <c r="H623" s="110"/>
      <c r="I623" s="110">
        <v>141.27099100000001</v>
      </c>
      <c r="J623" s="110">
        <v>40.598894000000001</v>
      </c>
      <c r="K623" s="110"/>
      <c r="L623" s="110"/>
      <c r="M623" s="110"/>
      <c r="N623" s="110"/>
      <c r="O623" s="110"/>
      <c r="P623" s="109"/>
      <c r="Q623" s="109"/>
      <c r="R623" s="109"/>
      <c r="S623" s="110"/>
      <c r="T623" s="135"/>
    </row>
    <row r="624" spans="1:20" x14ac:dyDescent="0.2">
      <c r="A624" s="5">
        <v>623</v>
      </c>
      <c r="B624" s="110">
        <v>3542</v>
      </c>
      <c r="C624" s="110" t="s">
        <v>1133</v>
      </c>
      <c r="D624" s="110" t="s">
        <v>1137</v>
      </c>
      <c r="E624" s="110"/>
      <c r="F624" s="110"/>
      <c r="G624" s="110" t="str">
        <f t="shared" si="9"/>
        <v>2</v>
      </c>
      <c r="H624" s="110"/>
      <c r="I624" s="110">
        <v>141.27135000000001</v>
      </c>
      <c r="J624" s="110">
        <v>40.595911999999998</v>
      </c>
      <c r="K624" s="110"/>
      <c r="L624" s="110"/>
      <c r="M624" s="110"/>
      <c r="N624" s="110"/>
      <c r="O624" s="110"/>
      <c r="P624" s="109"/>
      <c r="Q624" s="109"/>
      <c r="R624" s="109"/>
      <c r="S624" s="110"/>
      <c r="T624" s="135"/>
    </row>
    <row r="625" spans="1:20" x14ac:dyDescent="0.2">
      <c r="A625" s="5">
        <v>624</v>
      </c>
      <c r="B625" s="110">
        <v>3532</v>
      </c>
      <c r="C625" s="110" t="s">
        <v>1131</v>
      </c>
      <c r="D625" s="110" t="s">
        <v>1132</v>
      </c>
      <c r="E625" s="110"/>
      <c r="F625" s="110"/>
      <c r="G625" s="110" t="str">
        <f t="shared" si="9"/>
        <v>2</v>
      </c>
      <c r="H625" s="110"/>
      <c r="I625" s="110">
        <v>141.266887</v>
      </c>
      <c r="J625" s="110">
        <v>40.594754999999999</v>
      </c>
      <c r="K625" s="110"/>
      <c r="L625" s="110"/>
      <c r="M625" s="110"/>
      <c r="N625" s="110"/>
      <c r="O625" s="110"/>
      <c r="P625" s="109"/>
      <c r="Q625" s="109"/>
      <c r="R625" s="109"/>
      <c r="S625" s="110"/>
      <c r="T625" s="135"/>
    </row>
    <row r="626" spans="1:20" x14ac:dyDescent="0.2">
      <c r="A626" s="5">
        <v>625</v>
      </c>
      <c r="B626" s="110">
        <v>3522</v>
      </c>
      <c r="C626" s="110" t="s">
        <v>1129</v>
      </c>
      <c r="D626" s="110" t="s">
        <v>1130</v>
      </c>
      <c r="E626" s="110"/>
      <c r="F626" s="110"/>
      <c r="G626" s="110" t="str">
        <f t="shared" si="9"/>
        <v>2</v>
      </c>
      <c r="H626" s="110"/>
      <c r="I626" s="110">
        <v>141.26275100000001</v>
      </c>
      <c r="J626" s="110">
        <v>40.594476</v>
      </c>
      <c r="K626" s="110"/>
      <c r="L626" s="110"/>
      <c r="M626" s="110"/>
      <c r="N626" s="110"/>
      <c r="O626" s="110"/>
      <c r="P626" s="109"/>
      <c r="Q626" s="109"/>
      <c r="R626" s="109"/>
      <c r="S626" s="110"/>
      <c r="T626" s="135"/>
    </row>
    <row r="627" spans="1:20" x14ac:dyDescent="0.2">
      <c r="A627" s="5">
        <v>626</v>
      </c>
      <c r="B627" s="110">
        <v>3482</v>
      </c>
      <c r="C627" s="110" t="s">
        <v>1120</v>
      </c>
      <c r="D627" s="110" t="s">
        <v>1121</v>
      </c>
      <c r="E627" s="110"/>
      <c r="F627" s="110"/>
      <c r="G627" s="110" t="str">
        <f t="shared" si="9"/>
        <v>2</v>
      </c>
      <c r="H627" s="110"/>
      <c r="I627" s="110">
        <v>141.25340600000001</v>
      </c>
      <c r="J627" s="110">
        <v>40.594692999999999</v>
      </c>
      <c r="K627" s="110"/>
      <c r="L627" s="110"/>
      <c r="M627" s="110"/>
      <c r="N627" s="110"/>
      <c r="O627" s="110"/>
      <c r="P627" s="109"/>
      <c r="Q627" s="109"/>
      <c r="R627" s="109"/>
      <c r="S627" s="110"/>
      <c r="T627" s="135"/>
    </row>
    <row r="628" spans="1:20" x14ac:dyDescent="0.2">
      <c r="A628" s="5">
        <v>627</v>
      </c>
      <c r="B628" s="110">
        <v>3472</v>
      </c>
      <c r="C628" s="110" t="s">
        <v>1118</v>
      </c>
      <c r="D628" s="192" t="s">
        <v>1119</v>
      </c>
      <c r="E628" s="110"/>
      <c r="F628" s="110"/>
      <c r="G628" s="110" t="str">
        <f t="shared" si="9"/>
        <v>2</v>
      </c>
      <c r="H628" s="110"/>
      <c r="I628" s="110">
        <v>141.24941999999999</v>
      </c>
      <c r="J628" s="110">
        <v>40.594526999999999</v>
      </c>
      <c r="K628" s="110"/>
      <c r="L628" s="110"/>
      <c r="M628" s="110"/>
      <c r="N628" s="110"/>
      <c r="O628" s="110"/>
      <c r="P628" s="109"/>
      <c r="Q628" s="109"/>
      <c r="R628" s="109"/>
      <c r="S628" s="110"/>
      <c r="T628" s="135"/>
    </row>
    <row r="629" spans="1:20" x14ac:dyDescent="0.2">
      <c r="A629" s="5">
        <v>628</v>
      </c>
      <c r="B629" s="110">
        <v>3462</v>
      </c>
      <c r="C629" s="110" t="s">
        <v>1116</v>
      </c>
      <c r="D629" s="192" t="s">
        <v>1117</v>
      </c>
      <c r="E629" s="110"/>
      <c r="F629" s="110"/>
      <c r="G629" s="110" t="str">
        <f t="shared" si="9"/>
        <v>2</v>
      </c>
      <c r="H629" s="110"/>
      <c r="I629" s="110">
        <v>141.24323000000001</v>
      </c>
      <c r="J629" s="110">
        <v>40.593328</v>
      </c>
      <c r="K629" s="110"/>
      <c r="L629" s="110"/>
      <c r="M629" s="110"/>
      <c r="N629" s="110"/>
      <c r="O629" s="110"/>
      <c r="P629" s="109"/>
      <c r="Q629" s="109"/>
      <c r="R629" s="109"/>
      <c r="S629" s="110"/>
      <c r="T629" s="135"/>
    </row>
    <row r="630" spans="1:20" x14ac:dyDescent="0.2">
      <c r="A630" s="5">
        <v>629</v>
      </c>
      <c r="B630" s="110">
        <v>3452</v>
      </c>
      <c r="C630" s="110" t="s">
        <v>1138</v>
      </c>
      <c r="D630" s="192" t="s">
        <v>1115</v>
      </c>
      <c r="E630" s="110"/>
      <c r="F630" s="110"/>
      <c r="G630" s="110" t="str">
        <f t="shared" si="9"/>
        <v>2</v>
      </c>
      <c r="H630" s="110"/>
      <c r="I630" s="110">
        <v>141.240521</v>
      </c>
      <c r="J630" s="110">
        <v>40.593516000000001</v>
      </c>
      <c r="K630" s="110"/>
      <c r="L630" s="110"/>
      <c r="M630" s="110"/>
      <c r="N630" s="110"/>
      <c r="O630" s="110"/>
      <c r="P630" s="109"/>
      <c r="Q630" s="109"/>
      <c r="R630" s="109"/>
      <c r="S630" s="110"/>
      <c r="T630" s="135"/>
    </row>
    <row r="631" spans="1:20" x14ac:dyDescent="0.2">
      <c r="A631" s="5">
        <v>630</v>
      </c>
      <c r="B631" s="110">
        <v>3442</v>
      </c>
      <c r="C631" s="110" t="s">
        <v>1112</v>
      </c>
      <c r="D631" s="110" t="s">
        <v>1113</v>
      </c>
      <c r="E631" s="110"/>
      <c r="F631" s="110"/>
      <c r="G631" s="110" t="str">
        <f t="shared" si="9"/>
        <v>2</v>
      </c>
      <c r="H631" s="110"/>
      <c r="I631" s="110">
        <v>141.23871800000001</v>
      </c>
      <c r="J631" s="110">
        <v>40.593601</v>
      </c>
      <c r="K631" s="110"/>
      <c r="L631" s="110"/>
      <c r="M631" s="110"/>
      <c r="N631" s="110"/>
      <c r="O631" s="110"/>
      <c r="P631" s="109"/>
      <c r="Q631" s="109"/>
      <c r="R631" s="109"/>
      <c r="S631" s="110"/>
      <c r="T631" s="135"/>
    </row>
    <row r="632" spans="1:20" x14ac:dyDescent="0.2">
      <c r="A632" s="5">
        <v>631</v>
      </c>
      <c r="B632" s="110">
        <v>3432</v>
      </c>
      <c r="C632" s="110" t="s">
        <v>1110</v>
      </c>
      <c r="D632" s="110" t="s">
        <v>1111</v>
      </c>
      <c r="E632" s="110"/>
      <c r="F632" s="110"/>
      <c r="G632" s="110" t="str">
        <f t="shared" si="9"/>
        <v>2</v>
      </c>
      <c r="H632" s="110"/>
      <c r="I632" s="110">
        <v>141.23583199999999</v>
      </c>
      <c r="J632" s="110">
        <v>40.593907000000002</v>
      </c>
      <c r="K632" s="110"/>
      <c r="L632" s="110"/>
      <c r="M632" s="110"/>
      <c r="N632" s="110"/>
      <c r="O632" s="110"/>
      <c r="P632" s="109"/>
      <c r="Q632" s="109"/>
      <c r="R632" s="109"/>
      <c r="S632" s="110"/>
      <c r="T632" s="135"/>
    </row>
    <row r="633" spans="1:20" x14ac:dyDescent="0.2">
      <c r="A633" s="5">
        <v>632</v>
      </c>
      <c r="B633" s="110">
        <v>3422</v>
      </c>
      <c r="C633" s="110" t="s">
        <v>1108</v>
      </c>
      <c r="D633" s="110" t="s">
        <v>1109</v>
      </c>
      <c r="E633" s="110"/>
      <c r="F633" s="110"/>
      <c r="G633" s="110" t="str">
        <f t="shared" si="9"/>
        <v>2</v>
      </c>
      <c r="H633" s="191"/>
      <c r="I633" s="192">
        <v>141.232821</v>
      </c>
      <c r="J633" s="192">
        <v>40.595540999999997</v>
      </c>
      <c r="K633" s="110"/>
      <c r="L633" s="110"/>
      <c r="M633" s="110"/>
      <c r="N633" s="110"/>
      <c r="O633" s="110"/>
      <c r="P633" s="109"/>
      <c r="Q633" s="109"/>
      <c r="R633" s="109"/>
      <c r="S633" s="110"/>
      <c r="T633" s="135"/>
    </row>
    <row r="634" spans="1:20" x14ac:dyDescent="0.2">
      <c r="A634" s="5">
        <v>633</v>
      </c>
      <c r="B634" s="110">
        <v>3412</v>
      </c>
      <c r="C634" s="110" t="s">
        <v>1106</v>
      </c>
      <c r="D634" s="110" t="s">
        <v>1107</v>
      </c>
      <c r="E634" s="110"/>
      <c r="F634" s="110"/>
      <c r="G634" s="110" t="str">
        <f t="shared" si="9"/>
        <v>2</v>
      </c>
      <c r="H634" s="110"/>
      <c r="I634" s="192">
        <v>141.23038700000001</v>
      </c>
      <c r="J634" s="192">
        <v>40.596888</v>
      </c>
      <c r="K634" s="110"/>
      <c r="L634" s="110"/>
      <c r="M634" s="110"/>
      <c r="N634" s="110"/>
      <c r="O634" s="110"/>
      <c r="P634" s="109"/>
      <c r="Q634" s="109"/>
      <c r="R634" s="109"/>
      <c r="S634" s="110"/>
      <c r="T634" s="135"/>
    </row>
    <row r="635" spans="1:20" x14ac:dyDescent="0.2">
      <c r="A635" s="5">
        <v>634</v>
      </c>
      <c r="B635" s="110">
        <v>3402</v>
      </c>
      <c r="C635" s="110" t="s">
        <v>1104</v>
      </c>
      <c r="D635" s="110" t="s">
        <v>1105</v>
      </c>
      <c r="E635" s="110"/>
      <c r="F635" s="110"/>
      <c r="G635" s="110" t="str">
        <f t="shared" si="9"/>
        <v>2</v>
      </c>
      <c r="H635" s="110"/>
      <c r="I635" s="192">
        <v>141.226101</v>
      </c>
      <c r="J635" s="192">
        <v>40.599252</v>
      </c>
      <c r="K635" s="110"/>
      <c r="L635" s="110"/>
      <c r="M635" s="110"/>
      <c r="N635" s="110"/>
      <c r="O635" s="110"/>
      <c r="P635" s="109"/>
      <c r="Q635" s="109"/>
      <c r="R635" s="109"/>
      <c r="S635" s="110"/>
      <c r="T635" s="135"/>
    </row>
    <row r="636" spans="1:20" x14ac:dyDescent="0.2">
      <c r="A636" s="5">
        <v>635</v>
      </c>
      <c r="B636" s="110">
        <v>3392</v>
      </c>
      <c r="C636" s="110" t="s">
        <v>1102</v>
      </c>
      <c r="D636" s="110" t="s">
        <v>1103</v>
      </c>
      <c r="E636" s="110"/>
      <c r="F636" s="110"/>
      <c r="G636" s="110" t="str">
        <f t="shared" si="9"/>
        <v>2</v>
      </c>
      <c r="H636" s="110"/>
      <c r="I636" s="192">
        <v>141.223206</v>
      </c>
      <c r="J636" s="192">
        <v>40.602229999999999</v>
      </c>
      <c r="K636" s="110"/>
      <c r="L636" s="110"/>
      <c r="M636" s="110"/>
      <c r="N636" s="110"/>
      <c r="O636" s="110"/>
      <c r="P636" s="109"/>
      <c r="Q636" s="109"/>
      <c r="R636" s="109"/>
      <c r="S636" s="110"/>
      <c r="T636" s="135"/>
    </row>
    <row r="637" spans="1:20" x14ac:dyDescent="0.2">
      <c r="A637" s="5">
        <v>636</v>
      </c>
      <c r="B637" s="110">
        <v>3561</v>
      </c>
      <c r="C637" s="110" t="s">
        <v>1139</v>
      </c>
      <c r="D637" s="110" t="s">
        <v>1140</v>
      </c>
      <c r="E637" s="110"/>
      <c r="F637" s="110"/>
      <c r="G637" s="110" t="str">
        <f t="shared" si="9"/>
        <v>1</v>
      </c>
      <c r="H637" s="110"/>
      <c r="I637" s="110">
        <v>141.283039</v>
      </c>
      <c r="J637" s="110">
        <v>40.830998000000001</v>
      </c>
      <c r="K637" s="110"/>
      <c r="L637" s="110"/>
      <c r="M637" s="110"/>
      <c r="N637" s="110"/>
      <c r="O637" s="110"/>
      <c r="P637" s="109"/>
      <c r="Q637" s="109"/>
      <c r="R637" s="109"/>
      <c r="S637" s="110" t="s">
        <v>1141</v>
      </c>
      <c r="T637" s="135"/>
    </row>
    <row r="638" spans="1:20" x14ac:dyDescent="0.2">
      <c r="A638" s="5">
        <v>637</v>
      </c>
      <c r="B638" s="110">
        <v>3571</v>
      </c>
      <c r="C638" s="110" t="s">
        <v>1142</v>
      </c>
      <c r="D638" s="192" t="s">
        <v>1143</v>
      </c>
      <c r="E638" s="110"/>
      <c r="F638" s="110"/>
      <c r="G638" s="110" t="str">
        <f t="shared" si="9"/>
        <v>1</v>
      </c>
      <c r="H638" s="110"/>
      <c r="I638" s="110">
        <v>141.27273400000001</v>
      </c>
      <c r="J638" s="110">
        <v>40.830280000000002</v>
      </c>
      <c r="K638" s="110"/>
      <c r="L638" s="110"/>
      <c r="M638" s="110"/>
      <c r="N638" s="110"/>
      <c r="O638" s="110"/>
      <c r="P638" s="109"/>
      <c r="Q638" s="109"/>
      <c r="R638" s="109"/>
      <c r="S638" s="110" t="s">
        <v>1144</v>
      </c>
      <c r="T638" s="135"/>
    </row>
    <row r="639" spans="1:20" x14ac:dyDescent="0.2">
      <c r="A639" s="5">
        <v>638</v>
      </c>
      <c r="B639" s="110">
        <v>3581</v>
      </c>
      <c r="C639" s="110" t="s">
        <v>1145</v>
      </c>
      <c r="D639" s="192" t="s">
        <v>1146</v>
      </c>
      <c r="E639" s="110"/>
      <c r="F639" s="110"/>
      <c r="G639" s="110" t="str">
        <f t="shared" si="9"/>
        <v>1</v>
      </c>
      <c r="H639" s="110"/>
      <c r="I639" s="110">
        <v>141.272246</v>
      </c>
      <c r="J639" s="110">
        <v>40.826754000000001</v>
      </c>
      <c r="K639" s="110"/>
      <c r="L639" s="110"/>
      <c r="M639" s="110"/>
      <c r="N639" s="110"/>
      <c r="O639" s="110"/>
      <c r="P639" s="109"/>
      <c r="Q639" s="109"/>
      <c r="R639" s="109"/>
      <c r="S639" s="110" t="s">
        <v>1147</v>
      </c>
      <c r="T639" s="135"/>
    </row>
    <row r="640" spans="1:20" x14ac:dyDescent="0.2">
      <c r="A640" s="5">
        <v>639</v>
      </c>
      <c r="B640" s="110">
        <v>3591</v>
      </c>
      <c r="C640" s="110" t="s">
        <v>1148</v>
      </c>
      <c r="D640" s="110" t="s">
        <v>1149</v>
      </c>
      <c r="E640" s="110"/>
      <c r="F640" s="110"/>
      <c r="G640" s="110" t="str">
        <f t="shared" si="9"/>
        <v>1</v>
      </c>
      <c r="H640" s="110"/>
      <c r="I640" s="110">
        <v>141.27145200000001</v>
      </c>
      <c r="J640" s="110">
        <v>40.820168000000002</v>
      </c>
      <c r="K640" s="110"/>
      <c r="L640" s="110"/>
      <c r="M640" s="110"/>
      <c r="N640" s="110"/>
      <c r="O640" s="110"/>
      <c r="P640" s="109"/>
      <c r="Q640" s="109"/>
      <c r="R640" s="109"/>
      <c r="S640" s="110" t="s">
        <v>1150</v>
      </c>
      <c r="T640" s="135"/>
    </row>
    <row r="641" spans="1:20" x14ac:dyDescent="0.2">
      <c r="A641" s="5">
        <v>640</v>
      </c>
      <c r="B641" s="110">
        <v>3601</v>
      </c>
      <c r="C641" s="110" t="s">
        <v>1151</v>
      </c>
      <c r="D641" s="110" t="s">
        <v>1152</v>
      </c>
      <c r="E641" s="110"/>
      <c r="F641" s="110"/>
      <c r="G641" s="110" t="str">
        <f t="shared" si="9"/>
        <v>1</v>
      </c>
      <c r="H641" s="110"/>
      <c r="I641" s="110">
        <v>141.27381</v>
      </c>
      <c r="J641" s="110">
        <v>40.809556000000001</v>
      </c>
      <c r="K641" s="110"/>
      <c r="L641" s="110"/>
      <c r="M641" s="110"/>
      <c r="N641" s="110"/>
      <c r="O641" s="110"/>
      <c r="P641" s="109"/>
      <c r="Q641" s="109"/>
      <c r="R641" s="109"/>
      <c r="S641" s="110" t="s">
        <v>1153</v>
      </c>
      <c r="T641" s="135"/>
    </row>
    <row r="642" spans="1:20" x14ac:dyDescent="0.2">
      <c r="A642" s="5">
        <v>641</v>
      </c>
      <c r="B642" s="110">
        <v>3611</v>
      </c>
      <c r="C642" s="110" t="s">
        <v>1154</v>
      </c>
      <c r="D642" s="110" t="s">
        <v>1155</v>
      </c>
      <c r="E642" s="110"/>
      <c r="F642" s="110"/>
      <c r="G642" s="110" t="str">
        <f t="shared" si="9"/>
        <v>1</v>
      </c>
      <c r="H642" s="110"/>
      <c r="I642" s="110">
        <v>141.27748700000001</v>
      </c>
      <c r="J642" s="110">
        <v>40.802577999999997</v>
      </c>
      <c r="K642" s="110"/>
      <c r="L642" s="110"/>
      <c r="M642" s="110"/>
      <c r="N642" s="110"/>
      <c r="O642" s="110"/>
      <c r="P642" s="109"/>
      <c r="Q642" s="109"/>
      <c r="R642" s="109"/>
      <c r="S642" s="110" t="s">
        <v>1156</v>
      </c>
      <c r="T642" s="135"/>
    </row>
    <row r="643" spans="1:20" x14ac:dyDescent="0.2">
      <c r="A643" s="5">
        <v>642</v>
      </c>
      <c r="B643" s="110">
        <v>3621</v>
      </c>
      <c r="C643" s="110" t="s">
        <v>1157</v>
      </c>
      <c r="D643" s="110" t="s">
        <v>1158</v>
      </c>
      <c r="E643" s="110"/>
      <c r="F643" s="110"/>
      <c r="G643" s="110" t="str">
        <f t="shared" si="9"/>
        <v>1</v>
      </c>
      <c r="H643" s="110"/>
      <c r="I643" s="110">
        <v>141.27769599999999</v>
      </c>
      <c r="J643" s="110">
        <v>40.796959000000001</v>
      </c>
      <c r="K643" s="110"/>
      <c r="L643" s="110"/>
      <c r="M643" s="110"/>
      <c r="N643" s="110"/>
      <c r="O643" s="110"/>
      <c r="P643" s="109"/>
      <c r="Q643" s="109"/>
      <c r="R643" s="109"/>
      <c r="S643" s="110" t="s">
        <v>1159</v>
      </c>
      <c r="T643" s="135"/>
    </row>
    <row r="644" spans="1:20" x14ac:dyDescent="0.2">
      <c r="A644" s="5">
        <v>643</v>
      </c>
      <c r="B644" s="110">
        <v>3631</v>
      </c>
      <c r="C644" s="110" t="s">
        <v>1160</v>
      </c>
      <c r="D644" s="110" t="s">
        <v>1161</v>
      </c>
      <c r="E644" s="110"/>
      <c r="F644" s="110"/>
      <c r="G644" s="110" t="str">
        <f t="shared" ref="G644:G708" si="10">RIGHT(B644,1)</f>
        <v>1</v>
      </c>
      <c r="H644" s="110"/>
      <c r="I644" s="110">
        <v>141.276951</v>
      </c>
      <c r="J644" s="110">
        <v>40.788145</v>
      </c>
      <c r="K644" s="110"/>
      <c r="L644" s="110"/>
      <c r="M644" s="110"/>
      <c r="N644" s="110"/>
      <c r="O644" s="110"/>
      <c r="P644" s="109"/>
      <c r="Q644" s="109"/>
      <c r="R644" s="109"/>
      <c r="S644" s="110" t="s">
        <v>1162</v>
      </c>
      <c r="T644" s="135"/>
    </row>
    <row r="645" spans="1:20" x14ac:dyDescent="0.2">
      <c r="A645" s="5">
        <v>644</v>
      </c>
      <c r="B645" s="110">
        <v>3641</v>
      </c>
      <c r="C645" s="110" t="s">
        <v>1163</v>
      </c>
      <c r="D645" s="192" t="s">
        <v>1164</v>
      </c>
      <c r="E645" s="110"/>
      <c r="F645" s="110"/>
      <c r="G645" s="110" t="str">
        <f t="shared" si="10"/>
        <v>1</v>
      </c>
      <c r="H645" s="110"/>
      <c r="I645" s="110">
        <v>141.27789999999999</v>
      </c>
      <c r="J645" s="110">
        <v>40.782798</v>
      </c>
      <c r="K645" s="110"/>
      <c r="L645" s="110"/>
      <c r="M645" s="110"/>
      <c r="N645" s="110"/>
      <c r="O645" s="110"/>
      <c r="P645" s="109"/>
      <c r="Q645" s="109"/>
      <c r="R645" s="109"/>
      <c r="S645" s="110" t="s">
        <v>1165</v>
      </c>
      <c r="T645" s="135"/>
    </row>
    <row r="646" spans="1:20" x14ac:dyDescent="0.2">
      <c r="A646" s="5">
        <v>645</v>
      </c>
      <c r="B646" s="110">
        <v>3651</v>
      </c>
      <c r="C646" s="110" t="s">
        <v>1166</v>
      </c>
      <c r="D646" s="110" t="s">
        <v>1167</v>
      </c>
      <c r="E646" s="110"/>
      <c r="F646" s="110"/>
      <c r="G646" s="110" t="str">
        <f t="shared" si="10"/>
        <v>1</v>
      </c>
      <c r="H646" s="110"/>
      <c r="I646" s="110">
        <v>141.27859799999999</v>
      </c>
      <c r="J646" s="110">
        <v>40.779612</v>
      </c>
      <c r="K646" s="110"/>
      <c r="L646" s="110"/>
      <c r="M646" s="110"/>
      <c r="N646" s="110"/>
      <c r="O646" s="110"/>
      <c r="P646" s="109"/>
      <c r="Q646" s="109"/>
      <c r="R646" s="109"/>
      <c r="S646" s="110" t="s">
        <v>1168</v>
      </c>
      <c r="T646" s="135"/>
    </row>
    <row r="647" spans="1:20" x14ac:dyDescent="0.2">
      <c r="A647" s="5">
        <v>646</v>
      </c>
      <c r="B647" s="110">
        <v>3661</v>
      </c>
      <c r="C647" s="110" t="s">
        <v>1169</v>
      </c>
      <c r="D647" s="110" t="s">
        <v>1170</v>
      </c>
      <c r="E647" s="110"/>
      <c r="F647" s="110"/>
      <c r="G647" s="110" t="str">
        <f t="shared" si="10"/>
        <v>1</v>
      </c>
      <c r="H647" s="110"/>
      <c r="I647" s="110">
        <v>141.278088</v>
      </c>
      <c r="J647" s="110">
        <v>40.774929</v>
      </c>
      <c r="K647" s="110"/>
      <c r="L647" s="110"/>
      <c r="M647" s="110"/>
      <c r="N647" s="110"/>
      <c r="O647" s="110"/>
      <c r="P647" s="109"/>
      <c r="Q647" s="109"/>
      <c r="R647" s="109"/>
      <c r="S647" s="110" t="s">
        <v>1171</v>
      </c>
      <c r="T647" s="135"/>
    </row>
    <row r="648" spans="1:20" x14ac:dyDescent="0.2">
      <c r="A648" s="5">
        <v>647</v>
      </c>
      <c r="B648" s="110">
        <v>3671</v>
      </c>
      <c r="C648" s="110" t="s">
        <v>1172</v>
      </c>
      <c r="D648" s="110" t="s">
        <v>1173</v>
      </c>
      <c r="E648" s="110"/>
      <c r="F648" s="110"/>
      <c r="G648" s="110" t="str">
        <f t="shared" si="10"/>
        <v>1</v>
      </c>
      <c r="H648" s="110"/>
      <c r="I648" s="110">
        <v>141.274655</v>
      </c>
      <c r="J648" s="110">
        <v>40.771375999999997</v>
      </c>
      <c r="K648" s="110"/>
      <c r="L648" s="110"/>
      <c r="M648" s="110"/>
      <c r="N648" s="110"/>
      <c r="O648" s="110"/>
      <c r="P648" s="109"/>
      <c r="Q648" s="109"/>
      <c r="R648" s="109"/>
      <c r="S648" s="110"/>
      <c r="T648" s="135"/>
    </row>
    <row r="649" spans="1:20" x14ac:dyDescent="0.2">
      <c r="A649" s="5">
        <v>648</v>
      </c>
      <c r="B649" s="110">
        <v>3681</v>
      </c>
      <c r="C649" s="110" t="s">
        <v>1174</v>
      </c>
      <c r="D649" s="110" t="s">
        <v>1175</v>
      </c>
      <c r="E649" s="110"/>
      <c r="F649" s="110"/>
      <c r="G649" s="110" t="str">
        <f t="shared" si="10"/>
        <v>1</v>
      </c>
      <c r="H649" s="110"/>
      <c r="I649" s="110">
        <v>141.268824</v>
      </c>
      <c r="J649" s="110">
        <v>40.765425</v>
      </c>
      <c r="K649" s="110"/>
      <c r="L649" s="110"/>
      <c r="M649" s="110"/>
      <c r="N649" s="110"/>
      <c r="O649" s="110"/>
      <c r="P649" s="109"/>
      <c r="Q649" s="109"/>
      <c r="R649" s="109"/>
      <c r="S649" s="110"/>
      <c r="T649" s="135"/>
    </row>
    <row r="650" spans="1:20" x14ac:dyDescent="0.2">
      <c r="A650" s="5">
        <v>649</v>
      </c>
      <c r="B650" s="110">
        <v>3691</v>
      </c>
      <c r="C650" s="110" t="s">
        <v>1176</v>
      </c>
      <c r="D650" s="110" t="s">
        <v>1177</v>
      </c>
      <c r="E650" s="110"/>
      <c r="F650" s="110"/>
      <c r="G650" s="110" t="str">
        <f t="shared" si="10"/>
        <v>1</v>
      </c>
      <c r="H650" s="110"/>
      <c r="I650" s="110">
        <v>141.260965</v>
      </c>
      <c r="J650" s="110">
        <v>40.759233000000002</v>
      </c>
      <c r="K650" s="110"/>
      <c r="L650" s="110"/>
      <c r="M650" s="110"/>
      <c r="N650" s="110"/>
      <c r="O650" s="110"/>
      <c r="P650" s="109"/>
      <c r="Q650" s="109"/>
      <c r="R650" s="109"/>
      <c r="S650" s="110"/>
      <c r="T650" s="135"/>
    </row>
    <row r="651" spans="1:20" x14ac:dyDescent="0.2">
      <c r="A651" s="5">
        <v>650</v>
      </c>
      <c r="B651" s="110">
        <v>3701</v>
      </c>
      <c r="C651" s="110" t="s">
        <v>1178</v>
      </c>
      <c r="D651" s="110" t="s">
        <v>1179</v>
      </c>
      <c r="E651" s="110"/>
      <c r="F651" s="110"/>
      <c r="G651" s="110" t="str">
        <f t="shared" si="10"/>
        <v>1</v>
      </c>
      <c r="H651" s="110"/>
      <c r="I651" s="110">
        <v>141.25799799999999</v>
      </c>
      <c r="J651" s="110">
        <v>40.741109000000002</v>
      </c>
      <c r="K651" s="110"/>
      <c r="L651" s="110"/>
      <c r="M651" s="110"/>
      <c r="N651" s="110"/>
      <c r="O651" s="110"/>
      <c r="P651" s="109"/>
      <c r="Q651" s="109"/>
      <c r="R651" s="109"/>
      <c r="S651" s="110"/>
      <c r="T651" s="135"/>
    </row>
    <row r="652" spans="1:20" x14ac:dyDescent="0.2">
      <c r="A652" s="5">
        <v>651</v>
      </c>
      <c r="B652" s="110">
        <v>3711</v>
      </c>
      <c r="C652" s="110" t="s">
        <v>1180</v>
      </c>
      <c r="D652" s="110" t="s">
        <v>1181</v>
      </c>
      <c r="E652" s="110"/>
      <c r="F652" s="110"/>
      <c r="G652" s="110" t="str">
        <f t="shared" si="10"/>
        <v>1</v>
      </c>
      <c r="H652" s="110"/>
      <c r="I652" s="110">
        <v>141.262933</v>
      </c>
      <c r="J652" s="110">
        <v>40.737547999999997</v>
      </c>
      <c r="K652" s="110"/>
      <c r="L652" s="110"/>
      <c r="M652" s="110"/>
      <c r="N652" s="110"/>
      <c r="O652" s="110"/>
      <c r="P652" s="109"/>
      <c r="Q652" s="109"/>
      <c r="R652" s="109"/>
      <c r="S652" s="110"/>
      <c r="T652" s="135"/>
    </row>
    <row r="653" spans="1:20" x14ac:dyDescent="0.2">
      <c r="A653" s="5">
        <v>652</v>
      </c>
      <c r="B653" s="110">
        <v>3721</v>
      </c>
      <c r="C653" s="110" t="s">
        <v>1182</v>
      </c>
      <c r="D653" s="192" t="s">
        <v>1183</v>
      </c>
      <c r="E653" s="110"/>
      <c r="F653" s="110"/>
      <c r="G653" s="110" t="str">
        <f t="shared" si="10"/>
        <v>1</v>
      </c>
      <c r="H653" s="110"/>
      <c r="I653" s="110">
        <v>141.266131</v>
      </c>
      <c r="J653" s="110">
        <v>40.731301000000002</v>
      </c>
      <c r="K653" s="110"/>
      <c r="L653" s="110"/>
      <c r="M653" s="110"/>
      <c r="N653" s="110"/>
      <c r="O653" s="110"/>
      <c r="P653" s="109"/>
      <c r="Q653" s="109"/>
      <c r="R653" s="109"/>
      <c r="S653" s="110"/>
      <c r="T653" s="135"/>
    </row>
    <row r="654" spans="1:20" x14ac:dyDescent="0.2">
      <c r="A654" s="5">
        <v>653</v>
      </c>
      <c r="B654" s="110">
        <v>3731</v>
      </c>
      <c r="C654" s="110" t="s">
        <v>1184</v>
      </c>
      <c r="D654" s="110" t="s">
        <v>1185</v>
      </c>
      <c r="E654" s="110"/>
      <c r="F654" s="110"/>
      <c r="G654" s="110" t="str">
        <f t="shared" si="10"/>
        <v>1</v>
      </c>
      <c r="H654" s="110"/>
      <c r="I654" s="110">
        <v>141.27757600000001</v>
      </c>
      <c r="J654" s="110">
        <v>40.703090000000003</v>
      </c>
      <c r="K654" s="110"/>
      <c r="L654" s="110"/>
      <c r="M654" s="110"/>
      <c r="N654" s="110"/>
      <c r="O654" s="110"/>
      <c r="P654" s="109"/>
      <c r="Q654" s="109"/>
      <c r="R654" s="109"/>
      <c r="S654" s="110"/>
      <c r="T654" s="135"/>
    </row>
    <row r="655" spans="1:20" x14ac:dyDescent="0.2">
      <c r="A655" s="5">
        <v>654</v>
      </c>
      <c r="B655" s="110">
        <v>3741</v>
      </c>
      <c r="C655" s="110" t="s">
        <v>1186</v>
      </c>
      <c r="D655" s="110" t="s">
        <v>1187</v>
      </c>
      <c r="E655" s="110"/>
      <c r="F655" s="110"/>
      <c r="G655" s="110" t="str">
        <f t="shared" si="10"/>
        <v>1</v>
      </c>
      <c r="H655" s="110"/>
      <c r="I655" s="110">
        <v>141.275644</v>
      </c>
      <c r="J655" s="110">
        <v>40.682046999999997</v>
      </c>
      <c r="K655" s="110"/>
      <c r="L655" s="110"/>
      <c r="M655" s="110"/>
      <c r="N655" s="110"/>
      <c r="O655" s="110"/>
      <c r="P655" s="109"/>
      <c r="Q655" s="109"/>
      <c r="R655" s="109"/>
      <c r="S655" s="110"/>
      <c r="T655" s="135"/>
    </row>
    <row r="656" spans="1:20" x14ac:dyDescent="0.2">
      <c r="A656" s="5">
        <v>655</v>
      </c>
      <c r="B656" s="110">
        <v>3751</v>
      </c>
      <c r="C656" s="110" t="s">
        <v>1188</v>
      </c>
      <c r="D656" s="110" t="s">
        <v>1189</v>
      </c>
      <c r="E656" s="110"/>
      <c r="F656" s="110"/>
      <c r="G656" s="110" t="str">
        <f t="shared" si="10"/>
        <v>1</v>
      </c>
      <c r="H656" s="110"/>
      <c r="I656" s="110">
        <v>141.28780800000001</v>
      </c>
      <c r="J656" s="110">
        <v>40.666226000000002</v>
      </c>
      <c r="K656" s="110"/>
      <c r="L656" s="110"/>
      <c r="M656" s="110"/>
      <c r="N656" s="110"/>
      <c r="O656" s="110"/>
      <c r="P656" s="109"/>
      <c r="Q656" s="109"/>
      <c r="R656" s="109"/>
      <c r="S656" s="110"/>
      <c r="T656" s="135"/>
    </row>
    <row r="657" spans="1:20" x14ac:dyDescent="0.2">
      <c r="A657" s="5">
        <v>656</v>
      </c>
      <c r="B657" s="110">
        <v>3761</v>
      </c>
      <c r="C657" s="110" t="s">
        <v>1190</v>
      </c>
      <c r="D657" s="110" t="s">
        <v>1191</v>
      </c>
      <c r="E657" s="110"/>
      <c r="F657" s="110"/>
      <c r="G657" s="110" t="str">
        <f t="shared" si="10"/>
        <v>1</v>
      </c>
      <c r="H657" s="110"/>
      <c r="I657" s="110">
        <v>141.27232900000001</v>
      </c>
      <c r="J657" s="110">
        <v>40.657819000000003</v>
      </c>
      <c r="K657" s="110"/>
      <c r="L657" s="110"/>
      <c r="M657" s="110"/>
      <c r="N657" s="110"/>
      <c r="O657" s="110"/>
      <c r="P657" s="109"/>
      <c r="Q657" s="109"/>
      <c r="R657" s="109"/>
      <c r="S657" s="110"/>
      <c r="T657" s="135"/>
    </row>
    <row r="658" spans="1:20" x14ac:dyDescent="0.2">
      <c r="A658" s="5">
        <v>657</v>
      </c>
      <c r="B658" s="110">
        <v>943</v>
      </c>
      <c r="C658" s="110" t="s">
        <v>420</v>
      </c>
      <c r="D658" s="110" t="s">
        <v>421</v>
      </c>
      <c r="E658" s="110"/>
      <c r="F658" s="110"/>
      <c r="G658" s="110" t="str">
        <f t="shared" si="10"/>
        <v>3</v>
      </c>
      <c r="H658" s="110"/>
      <c r="I658" s="110">
        <v>141.28373400000001</v>
      </c>
      <c r="J658" s="110">
        <v>40.639068999999999</v>
      </c>
      <c r="K658" s="110"/>
      <c r="L658" s="110"/>
      <c r="M658" s="110"/>
      <c r="N658" s="110"/>
      <c r="O658" s="110"/>
      <c r="P658" s="109"/>
      <c r="Q658" s="109"/>
      <c r="R658" s="109"/>
      <c r="S658" s="110"/>
      <c r="T658" s="135"/>
    </row>
    <row r="659" spans="1:20" x14ac:dyDescent="0.2">
      <c r="A659" s="5">
        <v>658</v>
      </c>
      <c r="B659" s="110">
        <v>944</v>
      </c>
      <c r="C659" s="110" t="s">
        <v>420</v>
      </c>
      <c r="D659" s="110" t="s">
        <v>421</v>
      </c>
      <c r="E659" s="110"/>
      <c r="F659" s="110"/>
      <c r="G659" s="110" t="str">
        <f t="shared" si="10"/>
        <v>4</v>
      </c>
      <c r="H659" s="110"/>
      <c r="I659" s="110">
        <v>141.28356199999999</v>
      </c>
      <c r="J659" s="110">
        <v>40.639068999999999</v>
      </c>
      <c r="K659" s="110"/>
      <c r="L659" s="110"/>
      <c r="M659" s="110"/>
      <c r="N659" s="110"/>
      <c r="O659" s="110"/>
      <c r="P659" s="109"/>
      <c r="Q659" s="109"/>
      <c r="R659" s="109"/>
      <c r="S659" s="110"/>
      <c r="T659" s="135"/>
    </row>
    <row r="660" spans="1:20" x14ac:dyDescent="0.2">
      <c r="A660" s="5">
        <v>659</v>
      </c>
      <c r="B660" s="110">
        <v>3762</v>
      </c>
      <c r="C660" s="110" t="s">
        <v>1190</v>
      </c>
      <c r="D660" s="110" t="s">
        <v>1191</v>
      </c>
      <c r="E660" s="110"/>
      <c r="F660" s="110"/>
      <c r="G660" s="110" t="str">
        <f t="shared" si="10"/>
        <v>2</v>
      </c>
      <c r="H660" s="110"/>
      <c r="I660" s="110">
        <v>141.27229700000001</v>
      </c>
      <c r="J660" s="110">
        <v>40.657696000000001</v>
      </c>
      <c r="K660" s="110"/>
      <c r="L660" s="110"/>
      <c r="M660" s="110"/>
      <c r="N660" s="110"/>
      <c r="O660" s="110"/>
      <c r="P660" s="109"/>
      <c r="Q660" s="109"/>
      <c r="R660" s="109"/>
      <c r="S660" s="110"/>
      <c r="T660" s="135"/>
    </row>
    <row r="661" spans="1:20" x14ac:dyDescent="0.2">
      <c r="A661" s="5">
        <v>660</v>
      </c>
      <c r="B661" s="110">
        <v>3752</v>
      </c>
      <c r="C661" s="110" t="s">
        <v>1188</v>
      </c>
      <c r="D661" s="110" t="s">
        <v>1189</v>
      </c>
      <c r="E661" s="110"/>
      <c r="F661" s="110"/>
      <c r="G661" s="110" t="str">
        <f t="shared" si="10"/>
        <v>2</v>
      </c>
      <c r="H661" s="110"/>
      <c r="I661" s="110">
        <v>141.287856</v>
      </c>
      <c r="J661" s="110">
        <v>40.666274999999999</v>
      </c>
      <c r="K661" s="110"/>
      <c r="L661" s="110"/>
      <c r="M661" s="110"/>
      <c r="N661" s="110"/>
      <c r="O661" s="110"/>
      <c r="P661" s="109"/>
      <c r="Q661" s="109"/>
      <c r="R661" s="109"/>
      <c r="S661" s="110"/>
      <c r="T661" s="135"/>
    </row>
    <row r="662" spans="1:20" x14ac:dyDescent="0.2">
      <c r="A662" s="5">
        <v>661</v>
      </c>
      <c r="B662" s="110">
        <v>3742</v>
      </c>
      <c r="C662" s="110" t="s">
        <v>1186</v>
      </c>
      <c r="D662" s="110" t="s">
        <v>1187</v>
      </c>
      <c r="E662" s="110"/>
      <c r="F662" s="110"/>
      <c r="G662" s="110" t="str">
        <f t="shared" si="10"/>
        <v>2</v>
      </c>
      <c r="H662" s="110"/>
      <c r="I662" s="110">
        <v>141.27548300000001</v>
      </c>
      <c r="J662" s="110">
        <v>40.682104000000002</v>
      </c>
      <c r="K662" s="110"/>
      <c r="L662" s="110"/>
      <c r="M662" s="110"/>
      <c r="N662" s="110"/>
      <c r="O662" s="110"/>
      <c r="P662" s="109"/>
      <c r="Q662" s="109"/>
      <c r="R662" s="109"/>
      <c r="S662" s="110"/>
      <c r="T662" s="135"/>
    </row>
    <row r="663" spans="1:20" x14ac:dyDescent="0.2">
      <c r="A663" s="5">
        <v>662</v>
      </c>
      <c r="B663" s="110">
        <v>3732</v>
      </c>
      <c r="C663" s="110" t="s">
        <v>1184</v>
      </c>
      <c r="D663" s="110" t="s">
        <v>1185</v>
      </c>
      <c r="E663" s="110"/>
      <c r="F663" s="110"/>
      <c r="G663" s="110" t="str">
        <f t="shared" si="10"/>
        <v>2</v>
      </c>
      <c r="H663" s="110"/>
      <c r="I663" s="110">
        <v>141.27743599999999</v>
      </c>
      <c r="J663" s="110">
        <v>40.703180000000003</v>
      </c>
      <c r="K663" s="110"/>
      <c r="L663" s="110"/>
      <c r="M663" s="110"/>
      <c r="N663" s="110"/>
      <c r="O663" s="110"/>
      <c r="P663" s="109"/>
      <c r="Q663" s="109"/>
      <c r="R663" s="109"/>
      <c r="S663" s="110"/>
      <c r="T663" s="135"/>
    </row>
    <row r="664" spans="1:20" x14ac:dyDescent="0.2">
      <c r="A664" s="5">
        <v>663</v>
      </c>
      <c r="B664" s="110">
        <v>3722</v>
      </c>
      <c r="C664" s="110" t="s">
        <v>1182</v>
      </c>
      <c r="D664" s="192" t="s">
        <v>1183</v>
      </c>
      <c r="E664" s="110"/>
      <c r="F664" s="110"/>
      <c r="G664" s="110" t="str">
        <f t="shared" si="10"/>
        <v>2</v>
      </c>
      <c r="H664" s="110"/>
      <c r="I664" s="110">
        <v>141.26605599999999</v>
      </c>
      <c r="J664" s="110">
        <v>40.731349999999999</v>
      </c>
      <c r="K664" s="110"/>
      <c r="L664" s="110"/>
      <c r="M664" s="110"/>
      <c r="N664" s="110"/>
      <c r="O664" s="110"/>
      <c r="P664" s="109"/>
      <c r="Q664" s="109"/>
      <c r="R664" s="109"/>
      <c r="S664" s="110"/>
      <c r="T664" s="135"/>
    </row>
    <row r="665" spans="1:20" x14ac:dyDescent="0.2">
      <c r="A665" s="5">
        <v>664</v>
      </c>
      <c r="B665" s="110">
        <v>3712</v>
      </c>
      <c r="C665" s="110" t="s">
        <v>1180</v>
      </c>
      <c r="D665" s="110" t="s">
        <v>1181</v>
      </c>
      <c r="E665" s="110"/>
      <c r="F665" s="110"/>
      <c r="G665" s="110" t="str">
        <f t="shared" si="10"/>
        <v>2</v>
      </c>
      <c r="H665" s="110"/>
      <c r="I665" s="110">
        <v>141.26289</v>
      </c>
      <c r="J665" s="110">
        <v>40.737434</v>
      </c>
      <c r="K665" s="110"/>
      <c r="L665" s="110"/>
      <c r="M665" s="110"/>
      <c r="N665" s="110"/>
      <c r="O665" s="110"/>
      <c r="P665" s="109"/>
      <c r="Q665" s="109"/>
      <c r="R665" s="109"/>
      <c r="S665" s="110"/>
      <c r="T665" s="135"/>
    </row>
    <row r="666" spans="1:20" x14ac:dyDescent="0.2">
      <c r="A666" s="5">
        <v>665</v>
      </c>
      <c r="B666" s="110">
        <v>3702</v>
      </c>
      <c r="C666" s="110" t="s">
        <v>1178</v>
      </c>
      <c r="D666" s="110" t="s">
        <v>1179</v>
      </c>
      <c r="E666" s="110"/>
      <c r="F666" s="110"/>
      <c r="G666" s="110" t="str">
        <f t="shared" si="10"/>
        <v>2</v>
      </c>
      <c r="H666" s="110"/>
      <c r="I666" s="110">
        <v>141.25761199999999</v>
      </c>
      <c r="J666" s="110">
        <v>40.741829000000003</v>
      </c>
      <c r="K666" s="110"/>
      <c r="L666" s="110"/>
      <c r="M666" s="110"/>
      <c r="N666" s="110"/>
      <c r="O666" s="110"/>
      <c r="P666" s="109"/>
      <c r="Q666" s="109"/>
      <c r="R666" s="109"/>
      <c r="S666" s="110"/>
      <c r="T666" s="135"/>
    </row>
    <row r="667" spans="1:20" x14ac:dyDescent="0.2">
      <c r="A667" s="5">
        <v>666</v>
      </c>
      <c r="B667" s="110">
        <v>3682</v>
      </c>
      <c r="C667" s="110" t="s">
        <v>1174</v>
      </c>
      <c r="D667" s="110" t="s">
        <v>1175</v>
      </c>
      <c r="E667" s="110"/>
      <c r="F667" s="110"/>
      <c r="G667" s="110" t="str">
        <f t="shared" si="10"/>
        <v>2</v>
      </c>
      <c r="H667" s="110"/>
      <c r="I667" s="110">
        <v>141.268711</v>
      </c>
      <c r="J667" s="110">
        <v>40.765448999999997</v>
      </c>
      <c r="K667" s="110"/>
      <c r="L667" s="110"/>
      <c r="M667" s="110"/>
      <c r="N667" s="110"/>
      <c r="O667" s="110"/>
      <c r="P667" s="109"/>
      <c r="Q667" s="109"/>
      <c r="R667" s="109"/>
      <c r="S667" s="110"/>
      <c r="T667" s="135"/>
    </row>
    <row r="668" spans="1:20" x14ac:dyDescent="0.2">
      <c r="A668" s="5">
        <v>667</v>
      </c>
      <c r="B668" s="197">
        <v>3692</v>
      </c>
      <c r="C668" s="197" t="s">
        <v>1192</v>
      </c>
      <c r="D668" s="192" t="s">
        <v>1193</v>
      </c>
      <c r="E668" s="192"/>
      <c r="F668" s="192"/>
      <c r="G668" s="192" t="str">
        <f t="shared" si="10"/>
        <v>2</v>
      </c>
      <c r="H668" s="192"/>
      <c r="I668" s="192">
        <v>141.26080099999999</v>
      </c>
      <c r="J668" s="192">
        <v>40.759245999999997</v>
      </c>
      <c r="K668" s="110"/>
      <c r="L668" s="110"/>
      <c r="M668" s="110"/>
      <c r="N668" s="110"/>
      <c r="O668" s="110"/>
      <c r="P668" s="109"/>
      <c r="Q668" s="109"/>
      <c r="R668" s="109"/>
      <c r="S668" s="110"/>
      <c r="T668" s="135"/>
    </row>
    <row r="669" spans="1:20" x14ac:dyDescent="0.2">
      <c r="A669" s="5">
        <v>668</v>
      </c>
      <c r="B669" s="110">
        <v>3672</v>
      </c>
      <c r="C669" s="110" t="s">
        <v>1172</v>
      </c>
      <c r="D669" s="110" t="s">
        <v>1173</v>
      </c>
      <c r="E669" s="110"/>
      <c r="F669" s="110"/>
      <c r="G669" s="110" t="str">
        <f t="shared" si="10"/>
        <v>2</v>
      </c>
      <c r="H669" s="110"/>
      <c r="I669" s="110">
        <v>141.274542</v>
      </c>
      <c r="J669" s="110">
        <v>40.771389999999997</v>
      </c>
      <c r="K669" s="110"/>
      <c r="L669" s="110"/>
      <c r="M669" s="110"/>
      <c r="N669" s="110"/>
      <c r="O669" s="110"/>
      <c r="P669" s="109"/>
      <c r="Q669" s="109"/>
      <c r="R669" s="109"/>
      <c r="S669" s="110"/>
      <c r="T669" s="135"/>
    </row>
    <row r="670" spans="1:20" x14ac:dyDescent="0.2">
      <c r="A670" s="5">
        <v>669</v>
      </c>
      <c r="B670" s="110">
        <v>3662</v>
      </c>
      <c r="C670" s="110" t="s">
        <v>1169</v>
      </c>
      <c r="D670" s="110" t="s">
        <v>1170</v>
      </c>
      <c r="E670" s="110"/>
      <c r="F670" s="110"/>
      <c r="G670" s="110" t="str">
        <f t="shared" si="10"/>
        <v>2</v>
      </c>
      <c r="H670" s="110"/>
      <c r="I670" s="110">
        <v>141.27810400000001</v>
      </c>
      <c r="J670" s="110">
        <v>40.775160999999997</v>
      </c>
      <c r="K670" s="110"/>
      <c r="L670" s="110"/>
      <c r="M670" s="110"/>
      <c r="N670" s="110"/>
      <c r="O670" s="110"/>
      <c r="P670" s="109"/>
      <c r="Q670" s="109"/>
      <c r="R670" s="109"/>
      <c r="S670" s="110" t="s">
        <v>1171</v>
      </c>
      <c r="T670" s="135"/>
    </row>
    <row r="671" spans="1:20" x14ac:dyDescent="0.2">
      <c r="A671" s="5">
        <v>670</v>
      </c>
      <c r="B671" s="110">
        <v>3652</v>
      </c>
      <c r="C671" s="110" t="s">
        <v>1166</v>
      </c>
      <c r="D671" s="110" t="s">
        <v>1167</v>
      </c>
      <c r="E671" s="110"/>
      <c r="F671" s="110"/>
      <c r="G671" s="110" t="str">
        <f t="shared" si="10"/>
        <v>2</v>
      </c>
      <c r="H671" s="110"/>
      <c r="I671" s="110">
        <v>141.278415</v>
      </c>
      <c r="J671" s="110">
        <v>40.779625000000003</v>
      </c>
      <c r="K671" s="110"/>
      <c r="L671" s="110"/>
      <c r="M671" s="110"/>
      <c r="N671" s="110"/>
      <c r="O671" s="110"/>
      <c r="P671" s="109"/>
      <c r="Q671" s="109"/>
      <c r="R671" s="109"/>
      <c r="S671" s="110" t="s">
        <v>1168</v>
      </c>
      <c r="T671" s="135"/>
    </row>
    <row r="672" spans="1:20" x14ac:dyDescent="0.2">
      <c r="A672" s="5">
        <v>671</v>
      </c>
      <c r="B672" s="110">
        <v>3642</v>
      </c>
      <c r="C672" s="110" t="s">
        <v>1163</v>
      </c>
      <c r="D672" s="110" t="s">
        <v>1194</v>
      </c>
      <c r="E672" s="110"/>
      <c r="F672" s="110"/>
      <c r="G672" s="110" t="str">
        <f t="shared" si="10"/>
        <v>2</v>
      </c>
      <c r="H672" s="110"/>
      <c r="I672" s="110">
        <v>141.277728</v>
      </c>
      <c r="J672" s="110">
        <v>40.782778</v>
      </c>
      <c r="K672" s="110"/>
      <c r="L672" s="110"/>
      <c r="M672" s="110"/>
      <c r="N672" s="110"/>
      <c r="O672" s="110"/>
      <c r="P672" s="109"/>
      <c r="Q672" s="109"/>
      <c r="R672" s="109"/>
      <c r="S672" s="110" t="s">
        <v>1165</v>
      </c>
      <c r="T672" s="135"/>
    </row>
    <row r="673" spans="1:20" x14ac:dyDescent="0.2">
      <c r="A673" s="5">
        <v>672</v>
      </c>
      <c r="B673" s="110">
        <v>3632</v>
      </c>
      <c r="C673" s="110" t="s">
        <v>1160</v>
      </c>
      <c r="D673" s="110" t="s">
        <v>1195</v>
      </c>
      <c r="E673" s="110"/>
      <c r="F673" s="110"/>
      <c r="G673" s="110" t="str">
        <f t="shared" si="10"/>
        <v>2</v>
      </c>
      <c r="H673" s="110"/>
      <c r="I673" s="110">
        <v>141.27683300000001</v>
      </c>
      <c r="J673" s="110">
        <v>40.788164000000002</v>
      </c>
      <c r="K673" s="110"/>
      <c r="L673" s="110"/>
      <c r="M673" s="110"/>
      <c r="N673" s="110"/>
      <c r="O673" s="110"/>
      <c r="P673" s="109"/>
      <c r="Q673" s="109"/>
      <c r="R673" s="109"/>
      <c r="S673" s="110" t="s">
        <v>1162</v>
      </c>
      <c r="T673" s="135"/>
    </row>
    <row r="674" spans="1:20" x14ac:dyDescent="0.2">
      <c r="A674" s="5">
        <v>673</v>
      </c>
      <c r="B674" s="110">
        <v>3622</v>
      </c>
      <c r="C674" s="110" t="s">
        <v>1157</v>
      </c>
      <c r="D674" s="110" t="s">
        <v>1196</v>
      </c>
      <c r="E674" s="110"/>
      <c r="F674" s="110"/>
      <c r="G674" s="110" t="str">
        <f t="shared" si="10"/>
        <v>2</v>
      </c>
      <c r="H674" s="110"/>
      <c r="I674" s="110">
        <v>141.27758900000001</v>
      </c>
      <c r="J674" s="110">
        <v>40.796962000000001</v>
      </c>
      <c r="K674" s="110"/>
      <c r="L674" s="110"/>
      <c r="M674" s="110"/>
      <c r="N674" s="110"/>
      <c r="O674" s="110"/>
      <c r="P674" s="109"/>
      <c r="Q674" s="109"/>
      <c r="R674" s="109"/>
      <c r="S674" s="110" t="s">
        <v>1159</v>
      </c>
      <c r="T674" s="135"/>
    </row>
    <row r="675" spans="1:20" x14ac:dyDescent="0.2">
      <c r="A675" s="5">
        <v>674</v>
      </c>
      <c r="B675" s="110">
        <v>3612</v>
      </c>
      <c r="C675" s="110" t="s">
        <v>1154</v>
      </c>
      <c r="D675" s="110" t="s">
        <v>1155</v>
      </c>
      <c r="E675" s="110"/>
      <c r="F675" s="110"/>
      <c r="G675" s="110" t="str">
        <f t="shared" si="10"/>
        <v>2</v>
      </c>
      <c r="H675" s="110"/>
      <c r="I675" s="110">
        <v>141.27737400000001</v>
      </c>
      <c r="J675" s="110">
        <v>40.802563999999997</v>
      </c>
      <c r="K675" s="110"/>
      <c r="L675" s="110"/>
      <c r="M675" s="110"/>
      <c r="N675" s="110"/>
      <c r="O675" s="110"/>
      <c r="P675" s="109"/>
      <c r="Q675" s="109"/>
      <c r="R675" s="109"/>
      <c r="S675" s="110" t="s">
        <v>1156</v>
      </c>
      <c r="T675" s="135"/>
    </row>
    <row r="676" spans="1:20" x14ac:dyDescent="0.2">
      <c r="A676" s="5">
        <v>675</v>
      </c>
      <c r="B676" s="110">
        <v>3602</v>
      </c>
      <c r="C676" s="110" t="s">
        <v>1151</v>
      </c>
      <c r="D676" s="110" t="s">
        <v>1152</v>
      </c>
      <c r="E676" s="110"/>
      <c r="F676" s="110"/>
      <c r="G676" s="110" t="str">
        <f t="shared" si="10"/>
        <v>2</v>
      </c>
      <c r="H676" s="110"/>
      <c r="I676" s="110">
        <v>141.27371600000001</v>
      </c>
      <c r="J676" s="110">
        <v>40.810693000000001</v>
      </c>
      <c r="K676" s="110"/>
      <c r="L676" s="110"/>
      <c r="M676" s="110"/>
      <c r="N676" s="110"/>
      <c r="O676" s="110"/>
      <c r="P676" s="109"/>
      <c r="Q676" s="109"/>
      <c r="R676" s="109"/>
      <c r="S676" s="110" t="s">
        <v>1153</v>
      </c>
      <c r="T676" s="135"/>
    </row>
    <row r="677" spans="1:20" x14ac:dyDescent="0.2">
      <c r="A677" s="5">
        <v>676</v>
      </c>
      <c r="B677" s="110">
        <v>3592</v>
      </c>
      <c r="C677" s="110" t="s">
        <v>1148</v>
      </c>
      <c r="D677" s="110" t="s">
        <v>1149</v>
      </c>
      <c r="E677" s="110"/>
      <c r="F677" s="110"/>
      <c r="G677" s="110" t="str">
        <f t="shared" si="10"/>
        <v>2</v>
      </c>
      <c r="H677" s="110"/>
      <c r="I677" s="110">
        <v>141.27132900000001</v>
      </c>
      <c r="J677" s="110">
        <v>40.820191000000001</v>
      </c>
      <c r="K677" s="110"/>
      <c r="L677" s="110"/>
      <c r="M677" s="110"/>
      <c r="N677" s="110"/>
      <c r="O677" s="110"/>
      <c r="P677" s="109"/>
      <c r="Q677" s="109"/>
      <c r="R677" s="109"/>
      <c r="S677" s="110" t="s">
        <v>1150</v>
      </c>
      <c r="T677" s="135"/>
    </row>
    <row r="678" spans="1:20" x14ac:dyDescent="0.2">
      <c r="A678" s="5">
        <v>677</v>
      </c>
      <c r="B678" s="110">
        <v>3582</v>
      </c>
      <c r="C678" s="110" t="s">
        <v>1145</v>
      </c>
      <c r="D678" s="192" t="s">
        <v>1146</v>
      </c>
      <c r="E678" s="110"/>
      <c r="F678" s="110"/>
      <c r="G678" s="110" t="str">
        <f t="shared" si="10"/>
        <v>2</v>
      </c>
      <c r="H678" s="110"/>
      <c r="I678" s="110">
        <v>141.27202600000001</v>
      </c>
      <c r="J678" s="110">
        <v>40.826560000000001</v>
      </c>
      <c r="K678" s="110"/>
      <c r="L678" s="110"/>
      <c r="M678" s="110"/>
      <c r="N678" s="110"/>
      <c r="O678" s="110"/>
      <c r="P678" s="109"/>
      <c r="Q678" s="109"/>
      <c r="R678" s="109"/>
      <c r="S678" s="110" t="s">
        <v>1147</v>
      </c>
      <c r="T678" s="135"/>
    </row>
    <row r="679" spans="1:20" x14ac:dyDescent="0.2">
      <c r="A679" s="5">
        <v>678</v>
      </c>
      <c r="B679" s="110">
        <v>3572</v>
      </c>
      <c r="C679" s="110" t="s">
        <v>1142</v>
      </c>
      <c r="D679" s="192" t="s">
        <v>1143</v>
      </c>
      <c r="E679" s="110"/>
      <c r="F679" s="110"/>
      <c r="G679" s="110" t="str">
        <f t="shared" si="10"/>
        <v>2</v>
      </c>
      <c r="H679" s="110"/>
      <c r="I679" s="110">
        <v>141.27267499999999</v>
      </c>
      <c r="J679" s="110">
        <v>40.830260000000003</v>
      </c>
      <c r="K679" s="110"/>
      <c r="L679" s="110"/>
      <c r="M679" s="110"/>
      <c r="N679" s="110"/>
      <c r="O679" s="110"/>
      <c r="P679" s="109"/>
      <c r="Q679" s="109"/>
      <c r="R679" s="109"/>
      <c r="S679" s="110" t="s">
        <v>1144</v>
      </c>
      <c r="T679" s="135"/>
    </row>
    <row r="680" spans="1:20" x14ac:dyDescent="0.2">
      <c r="A680" s="5">
        <v>679</v>
      </c>
      <c r="B680" s="110">
        <v>3562</v>
      </c>
      <c r="C680" s="110" t="s">
        <v>1139</v>
      </c>
      <c r="D680" s="110" t="s">
        <v>1140</v>
      </c>
      <c r="E680" s="110"/>
      <c r="F680" s="110"/>
      <c r="G680" s="110" t="str">
        <f t="shared" si="10"/>
        <v>2</v>
      </c>
      <c r="H680" s="110"/>
      <c r="I680" s="110">
        <v>141.28295299999999</v>
      </c>
      <c r="J680" s="110">
        <v>40.831049</v>
      </c>
      <c r="K680" s="110"/>
      <c r="L680" s="110"/>
      <c r="M680" s="110"/>
      <c r="N680" s="110"/>
      <c r="O680" s="110"/>
      <c r="P680" s="109"/>
      <c r="Q680" s="109"/>
      <c r="R680" s="109"/>
      <c r="S680" s="110" t="s">
        <v>1141</v>
      </c>
      <c r="T680" s="135"/>
    </row>
    <row r="681" spans="1:20" x14ac:dyDescent="0.2">
      <c r="A681" s="5">
        <v>680</v>
      </c>
      <c r="B681" s="110">
        <v>3771</v>
      </c>
      <c r="C681" s="110" t="s">
        <v>1197</v>
      </c>
      <c r="D681" s="192" t="s">
        <v>1198</v>
      </c>
      <c r="E681" s="110"/>
      <c r="F681" s="110"/>
      <c r="G681" s="110" t="str">
        <f t="shared" si="10"/>
        <v>1</v>
      </c>
      <c r="H681" s="110"/>
      <c r="I681" s="192">
        <v>141.23791499999999</v>
      </c>
      <c r="J681" s="192">
        <v>40.590352000000003</v>
      </c>
      <c r="K681" s="110"/>
      <c r="L681" s="110"/>
      <c r="M681" s="110"/>
      <c r="N681" s="110"/>
      <c r="O681" s="110"/>
      <c r="P681" s="109"/>
      <c r="Q681" s="109"/>
      <c r="R681" s="109"/>
      <c r="S681" s="110"/>
      <c r="T681" s="135"/>
    </row>
    <row r="682" spans="1:20" x14ac:dyDescent="0.2">
      <c r="A682" s="5">
        <v>681</v>
      </c>
      <c r="B682" s="110">
        <v>3781</v>
      </c>
      <c r="C682" s="110" t="s">
        <v>1199</v>
      </c>
      <c r="D682" s="110" t="s">
        <v>1200</v>
      </c>
      <c r="E682" s="110"/>
      <c r="F682" s="110"/>
      <c r="G682" s="110" t="str">
        <f t="shared" si="10"/>
        <v>1</v>
      </c>
      <c r="H682" s="110"/>
      <c r="I682" s="192">
        <v>141.23755700000001</v>
      </c>
      <c r="J682" s="192">
        <v>40.583540999999997</v>
      </c>
      <c r="K682" s="110"/>
      <c r="L682" s="110"/>
      <c r="M682" s="110"/>
      <c r="N682" s="110"/>
      <c r="O682" s="110"/>
      <c r="P682" s="109"/>
      <c r="Q682" s="109"/>
      <c r="R682" s="109"/>
      <c r="S682" s="110"/>
      <c r="T682" s="135"/>
    </row>
    <row r="683" spans="1:20" x14ac:dyDescent="0.2">
      <c r="A683" s="5">
        <v>682</v>
      </c>
      <c r="B683" s="110">
        <v>3791</v>
      </c>
      <c r="C683" s="110" t="s">
        <v>1201</v>
      </c>
      <c r="D683" s="110" t="s">
        <v>1202</v>
      </c>
      <c r="E683" s="110"/>
      <c r="F683" s="110"/>
      <c r="G683" s="110" t="str">
        <f t="shared" si="10"/>
        <v>1</v>
      </c>
      <c r="H683" s="110"/>
      <c r="I683" s="192">
        <v>141.239766</v>
      </c>
      <c r="J683" s="192">
        <v>40.579186999999997</v>
      </c>
      <c r="K683" s="110"/>
      <c r="L683" s="110"/>
      <c r="M683" s="110"/>
      <c r="N683" s="110"/>
      <c r="O683" s="110"/>
      <c r="P683" s="109"/>
      <c r="Q683" s="109"/>
      <c r="R683" s="109"/>
      <c r="S683" s="110"/>
      <c r="T683" s="135"/>
    </row>
    <row r="684" spans="1:20" x14ac:dyDescent="0.2">
      <c r="A684" s="5">
        <v>683</v>
      </c>
      <c r="B684" s="110">
        <v>3801</v>
      </c>
      <c r="C684" s="110" t="s">
        <v>1203</v>
      </c>
      <c r="D684" s="110" t="s">
        <v>1204</v>
      </c>
      <c r="E684" s="110"/>
      <c r="F684" s="110"/>
      <c r="G684" s="110" t="str">
        <f t="shared" si="10"/>
        <v>1</v>
      </c>
      <c r="H684" s="110"/>
      <c r="I684" s="110">
        <v>141.241591</v>
      </c>
      <c r="J684" s="110">
        <v>40.577984000000001</v>
      </c>
      <c r="K684" s="110"/>
      <c r="L684" s="110"/>
      <c r="M684" s="110"/>
      <c r="N684" s="110"/>
      <c r="O684" s="110"/>
      <c r="P684" s="109"/>
      <c r="Q684" s="109"/>
      <c r="R684" s="109"/>
      <c r="S684" s="110"/>
      <c r="T684" s="135"/>
    </row>
    <row r="685" spans="1:20" x14ac:dyDescent="0.2">
      <c r="A685" s="5">
        <v>684</v>
      </c>
      <c r="B685" s="110">
        <v>3811</v>
      </c>
      <c r="C685" s="110" t="s">
        <v>1205</v>
      </c>
      <c r="D685" s="110" t="s">
        <v>1206</v>
      </c>
      <c r="E685" s="110"/>
      <c r="F685" s="110"/>
      <c r="G685" s="110" t="str">
        <f t="shared" si="10"/>
        <v>1</v>
      </c>
      <c r="H685" s="110"/>
      <c r="I685" s="192">
        <v>141.236255</v>
      </c>
      <c r="J685" s="192">
        <v>40.557650000000002</v>
      </c>
      <c r="K685" s="110"/>
      <c r="L685" s="110"/>
      <c r="M685" s="110"/>
      <c r="N685" s="110"/>
      <c r="O685" s="110"/>
      <c r="P685" s="109"/>
      <c r="Q685" s="109"/>
      <c r="R685" s="109"/>
      <c r="S685" s="110"/>
      <c r="T685" s="135"/>
    </row>
    <row r="686" spans="1:20" x14ac:dyDescent="0.2">
      <c r="A686" s="5">
        <v>685</v>
      </c>
      <c r="B686" s="110">
        <v>3821</v>
      </c>
      <c r="C686" s="110" t="s">
        <v>1207</v>
      </c>
      <c r="D686" s="192" t="s">
        <v>1208</v>
      </c>
      <c r="E686" s="110"/>
      <c r="F686" s="110"/>
      <c r="G686" s="110" t="str">
        <f t="shared" si="10"/>
        <v>1</v>
      </c>
      <c r="H686" s="110"/>
      <c r="I686" s="192">
        <v>141.230966</v>
      </c>
      <c r="J686" s="192">
        <v>40.549855000000001</v>
      </c>
      <c r="K686" s="110"/>
      <c r="L686" s="110"/>
      <c r="M686" s="110"/>
      <c r="N686" s="110"/>
      <c r="O686" s="110"/>
      <c r="P686" s="109"/>
      <c r="Q686" s="109"/>
      <c r="R686" s="109"/>
      <c r="S686" s="110"/>
      <c r="T686" s="135"/>
    </row>
    <row r="687" spans="1:20" x14ac:dyDescent="0.2">
      <c r="A687" s="5">
        <v>686</v>
      </c>
      <c r="B687" s="110">
        <v>3831</v>
      </c>
      <c r="C687" s="110" t="s">
        <v>1209</v>
      </c>
      <c r="D687" s="110" t="s">
        <v>1210</v>
      </c>
      <c r="E687" s="110"/>
      <c r="F687" s="110"/>
      <c r="G687" s="110" t="str">
        <f t="shared" si="10"/>
        <v>1</v>
      </c>
      <c r="H687" s="110"/>
      <c r="I687" s="110">
        <v>141.234735</v>
      </c>
      <c r="J687" s="110">
        <v>40.547794000000003</v>
      </c>
      <c r="K687" s="110"/>
      <c r="L687" s="110"/>
      <c r="M687" s="110"/>
      <c r="N687" s="110"/>
      <c r="O687" s="110"/>
      <c r="P687" s="109"/>
      <c r="Q687" s="109"/>
      <c r="R687" s="109"/>
      <c r="S687" s="110"/>
      <c r="T687" s="135"/>
    </row>
    <row r="688" spans="1:20" x14ac:dyDescent="0.2">
      <c r="A688" s="5">
        <v>687</v>
      </c>
      <c r="B688" s="110">
        <v>3841</v>
      </c>
      <c r="C688" s="110" t="s">
        <v>1211</v>
      </c>
      <c r="D688" s="192" t="s">
        <v>1212</v>
      </c>
      <c r="E688" s="110"/>
      <c r="F688" s="110"/>
      <c r="G688" s="110" t="str">
        <f t="shared" si="10"/>
        <v>1</v>
      </c>
      <c r="H688" s="110"/>
      <c r="I688" s="110">
        <v>141.22914299999999</v>
      </c>
      <c r="J688" s="110">
        <v>40.547060999999999</v>
      </c>
      <c r="K688" s="110"/>
      <c r="L688" s="110"/>
      <c r="M688" s="110"/>
      <c r="N688" s="110"/>
      <c r="O688" s="110"/>
      <c r="P688" s="109"/>
      <c r="Q688" s="109"/>
      <c r="R688" s="109"/>
      <c r="S688" s="110"/>
      <c r="T688" s="135"/>
    </row>
    <row r="689" spans="1:20" x14ac:dyDescent="0.2">
      <c r="A689" s="5">
        <v>688</v>
      </c>
      <c r="B689" s="110">
        <v>3851</v>
      </c>
      <c r="C689" s="110" t="s">
        <v>1213</v>
      </c>
      <c r="D689" s="110" t="s">
        <v>666</v>
      </c>
      <c r="E689" s="110"/>
      <c r="F689" s="110"/>
      <c r="G689" s="110" t="str">
        <f t="shared" si="10"/>
        <v>1</v>
      </c>
      <c r="H689" s="110"/>
      <c r="I689" s="192">
        <v>141.22702100000001</v>
      </c>
      <c r="J689" s="192">
        <v>40.550552000000003</v>
      </c>
      <c r="K689" s="110"/>
      <c r="L689" s="110"/>
      <c r="M689" s="110"/>
      <c r="N689" s="110"/>
      <c r="O689" s="110"/>
      <c r="P689" s="109"/>
      <c r="Q689" s="109"/>
      <c r="R689" s="109"/>
      <c r="S689" s="110"/>
      <c r="T689" s="135"/>
    </row>
    <row r="690" spans="1:20" x14ac:dyDescent="0.2">
      <c r="A690" s="5">
        <v>689</v>
      </c>
      <c r="B690" s="110">
        <v>3861</v>
      </c>
      <c r="C690" s="110" t="s">
        <v>1214</v>
      </c>
      <c r="D690" s="192" t="s">
        <v>1215</v>
      </c>
      <c r="E690" s="110"/>
      <c r="F690" s="110"/>
      <c r="G690" s="110" t="str">
        <f t="shared" si="10"/>
        <v>1</v>
      </c>
      <c r="H690" s="110"/>
      <c r="I690" s="192">
        <v>141.21578</v>
      </c>
      <c r="J690" s="192">
        <v>40.556542</v>
      </c>
      <c r="K690" s="110"/>
      <c r="L690" s="110"/>
      <c r="M690" s="110"/>
      <c r="N690" s="110"/>
      <c r="O690" s="110"/>
      <c r="P690" s="109"/>
      <c r="Q690" s="109"/>
      <c r="R690" s="109"/>
      <c r="S690" s="110"/>
      <c r="T690" s="135"/>
    </row>
    <row r="691" spans="1:20" x14ac:dyDescent="0.2">
      <c r="A691" s="5">
        <v>690</v>
      </c>
      <c r="B691" s="110">
        <v>3871</v>
      </c>
      <c r="C691" s="110" t="s">
        <v>1216</v>
      </c>
      <c r="D691" s="192" t="s">
        <v>1217</v>
      </c>
      <c r="E691" s="110"/>
      <c r="F691" s="110"/>
      <c r="G691" s="110" t="str">
        <f t="shared" si="10"/>
        <v>1</v>
      </c>
      <c r="H691" s="110"/>
      <c r="I691" s="110">
        <v>141.20514499999999</v>
      </c>
      <c r="J691" s="110">
        <v>40.556641999999997</v>
      </c>
      <c r="K691" s="110"/>
      <c r="L691" s="110"/>
      <c r="M691" s="110"/>
      <c r="N691" s="110"/>
      <c r="O691" s="110"/>
      <c r="P691" s="109"/>
      <c r="Q691" s="109"/>
      <c r="R691" s="109"/>
      <c r="S691" s="110"/>
      <c r="T691" s="135"/>
    </row>
    <row r="692" spans="1:20" x14ac:dyDescent="0.2">
      <c r="A692" s="5">
        <v>691</v>
      </c>
      <c r="B692" s="110">
        <v>3881</v>
      </c>
      <c r="C692" s="110" t="s">
        <v>1218</v>
      </c>
      <c r="D692" s="110" t="s">
        <v>1219</v>
      </c>
      <c r="E692" s="110"/>
      <c r="F692" s="110"/>
      <c r="G692" s="110" t="str">
        <f t="shared" si="10"/>
        <v>1</v>
      </c>
      <c r="H692" s="110"/>
      <c r="I692" s="110">
        <v>141.20172299999999</v>
      </c>
      <c r="J692" s="110">
        <v>40.552841000000001</v>
      </c>
      <c r="K692" s="110"/>
      <c r="L692" s="110"/>
      <c r="M692" s="110"/>
      <c r="N692" s="110"/>
      <c r="O692" s="110"/>
      <c r="P692" s="109"/>
      <c r="Q692" s="109"/>
      <c r="R692" s="109"/>
      <c r="S692" s="110"/>
      <c r="T692" s="135"/>
    </row>
    <row r="693" spans="1:20" x14ac:dyDescent="0.2">
      <c r="A693" s="5">
        <v>692</v>
      </c>
      <c r="B693" s="110">
        <v>3891</v>
      </c>
      <c r="C693" s="110" t="s">
        <v>1220</v>
      </c>
      <c r="D693" s="110" t="s">
        <v>1221</v>
      </c>
      <c r="E693" s="110"/>
      <c r="F693" s="110"/>
      <c r="G693" s="110" t="str">
        <f t="shared" si="10"/>
        <v>1</v>
      </c>
      <c r="H693" s="110"/>
      <c r="I693" s="192">
        <v>141.19672800000001</v>
      </c>
      <c r="J693" s="192">
        <v>40.548271999999997</v>
      </c>
      <c r="K693" s="110"/>
      <c r="L693" s="110"/>
      <c r="M693" s="110"/>
      <c r="N693" s="110"/>
      <c r="O693" s="110"/>
      <c r="P693" s="109"/>
      <c r="Q693" s="109"/>
      <c r="R693" s="109"/>
      <c r="S693" s="110"/>
      <c r="T693" s="135"/>
    </row>
    <row r="694" spans="1:20" x14ac:dyDescent="0.2">
      <c r="A694" s="5">
        <v>693</v>
      </c>
      <c r="B694" s="110">
        <v>3901</v>
      </c>
      <c r="C694" s="110" t="s">
        <v>1222</v>
      </c>
      <c r="D694" s="192" t="s">
        <v>1223</v>
      </c>
      <c r="E694" s="110"/>
      <c r="F694" s="110"/>
      <c r="G694" s="110" t="str">
        <f t="shared" si="10"/>
        <v>1</v>
      </c>
      <c r="H694" s="110"/>
      <c r="I694" s="192">
        <v>141.194489</v>
      </c>
      <c r="J694" s="192">
        <v>40.536034000000001</v>
      </c>
      <c r="K694" s="110"/>
      <c r="L694" s="110"/>
      <c r="M694" s="110"/>
      <c r="N694" s="110"/>
      <c r="O694" s="110"/>
      <c r="P694" s="109"/>
      <c r="Q694" s="109"/>
      <c r="R694" s="109"/>
      <c r="S694" s="110"/>
      <c r="T694" s="135"/>
    </row>
    <row r="695" spans="1:20" x14ac:dyDescent="0.2">
      <c r="A695" s="5">
        <v>694</v>
      </c>
      <c r="B695" s="110">
        <v>3911</v>
      </c>
      <c r="C695" s="110" t="s">
        <v>1224</v>
      </c>
      <c r="D695" s="110" t="s">
        <v>1225</v>
      </c>
      <c r="E695" s="110"/>
      <c r="F695" s="110"/>
      <c r="G695" s="110" t="str">
        <f t="shared" si="10"/>
        <v>1</v>
      </c>
      <c r="H695" s="110"/>
      <c r="I695" s="192">
        <v>141.188031</v>
      </c>
      <c r="J695" s="192">
        <v>40.543154000000001</v>
      </c>
      <c r="K695" s="110"/>
      <c r="L695" s="110"/>
      <c r="M695" s="110"/>
      <c r="N695" s="110"/>
      <c r="O695" s="110"/>
      <c r="P695" s="109"/>
      <c r="Q695" s="109"/>
      <c r="R695" s="109"/>
      <c r="S695" s="110"/>
      <c r="T695" s="135"/>
    </row>
    <row r="696" spans="1:20" x14ac:dyDescent="0.2">
      <c r="A696" s="5">
        <v>695</v>
      </c>
      <c r="B696" s="110">
        <v>3921</v>
      </c>
      <c r="C696" s="110" t="s">
        <v>1226</v>
      </c>
      <c r="D696" s="110" t="s">
        <v>1227</v>
      </c>
      <c r="E696" s="110"/>
      <c r="F696" s="110"/>
      <c r="G696" s="110" t="str">
        <f t="shared" si="10"/>
        <v>1</v>
      </c>
      <c r="H696" s="110"/>
      <c r="I696" s="192">
        <v>141.18355299999999</v>
      </c>
      <c r="J696" s="192">
        <v>40.539661000000002</v>
      </c>
      <c r="K696" s="110"/>
      <c r="L696" s="110"/>
      <c r="M696" s="110"/>
      <c r="N696" s="110"/>
      <c r="O696" s="110"/>
      <c r="P696" s="109"/>
      <c r="Q696" s="109"/>
      <c r="R696" s="109"/>
      <c r="S696" s="110"/>
      <c r="T696" s="135"/>
    </row>
    <row r="697" spans="1:20" x14ac:dyDescent="0.2">
      <c r="A697" s="5">
        <v>696</v>
      </c>
      <c r="B697" s="110">
        <v>3931</v>
      </c>
      <c r="C697" s="110" t="s">
        <v>1228</v>
      </c>
      <c r="D697" s="110" t="s">
        <v>1229</v>
      </c>
      <c r="E697" s="110"/>
      <c r="F697" s="110"/>
      <c r="G697" s="110" t="str">
        <f t="shared" si="10"/>
        <v>1</v>
      </c>
      <c r="H697" s="110"/>
      <c r="I697" s="192">
        <v>141.169591</v>
      </c>
      <c r="J697" s="192">
        <v>40.535062000000003</v>
      </c>
      <c r="K697" s="110"/>
      <c r="L697" s="110"/>
      <c r="M697" s="110"/>
      <c r="N697" s="110"/>
      <c r="O697" s="110"/>
      <c r="P697" s="109"/>
      <c r="Q697" s="109"/>
      <c r="R697" s="109"/>
      <c r="S697" s="110"/>
      <c r="T697" s="135"/>
    </row>
    <row r="698" spans="1:20" x14ac:dyDescent="0.2">
      <c r="A698" s="5">
        <v>697</v>
      </c>
      <c r="B698" s="110">
        <v>3941</v>
      </c>
      <c r="C698" s="110" t="s">
        <v>1230</v>
      </c>
      <c r="D698" s="192" t="s">
        <v>1231</v>
      </c>
      <c r="E698" s="110"/>
      <c r="F698" s="110"/>
      <c r="G698" s="110" t="str">
        <f t="shared" si="10"/>
        <v>1</v>
      </c>
      <c r="H698" s="110"/>
      <c r="I698" s="192">
        <v>141.16858099999999</v>
      </c>
      <c r="J698" s="192">
        <v>40.534408999999997</v>
      </c>
      <c r="K698" s="110"/>
      <c r="L698" s="110"/>
      <c r="M698" s="110"/>
      <c r="N698" s="110"/>
      <c r="O698" s="110"/>
      <c r="P698" s="109"/>
      <c r="Q698" s="109"/>
      <c r="R698" s="109"/>
      <c r="S698" s="110"/>
      <c r="T698" s="135"/>
    </row>
    <row r="699" spans="1:20" x14ac:dyDescent="0.2">
      <c r="A699" s="5">
        <v>698</v>
      </c>
      <c r="B699" s="110">
        <v>3951</v>
      </c>
      <c r="C699" s="110" t="s">
        <v>1232</v>
      </c>
      <c r="D699" s="110" t="s">
        <v>1233</v>
      </c>
      <c r="E699" s="110"/>
      <c r="F699" s="110"/>
      <c r="G699" s="110" t="str">
        <f t="shared" si="10"/>
        <v>1</v>
      </c>
      <c r="H699" s="110"/>
      <c r="I699" s="192">
        <v>141.15864099999999</v>
      </c>
      <c r="J699" s="192">
        <v>40.526966000000002</v>
      </c>
      <c r="K699" s="110"/>
      <c r="L699" s="110"/>
      <c r="M699" s="110"/>
      <c r="N699" s="110"/>
      <c r="O699" s="110"/>
      <c r="P699" s="109"/>
      <c r="Q699" s="109"/>
      <c r="R699" s="109"/>
      <c r="S699" s="110"/>
      <c r="T699" s="135"/>
    </row>
    <row r="700" spans="1:20" x14ac:dyDescent="0.2">
      <c r="A700" s="5">
        <v>699</v>
      </c>
      <c r="B700" s="110">
        <v>3961</v>
      </c>
      <c r="C700" s="110" t="s">
        <v>1234</v>
      </c>
      <c r="D700" s="110" t="s">
        <v>1235</v>
      </c>
      <c r="E700" s="110"/>
      <c r="F700" s="110"/>
      <c r="G700" s="110" t="str">
        <f t="shared" si="10"/>
        <v>1</v>
      </c>
      <c r="H700" s="110"/>
      <c r="I700" s="192">
        <v>141.14798300000001</v>
      </c>
      <c r="J700" s="192">
        <v>40.522427999999998</v>
      </c>
      <c r="K700" s="110"/>
      <c r="L700" s="110"/>
      <c r="M700" s="110"/>
      <c r="N700" s="110"/>
      <c r="O700" s="110"/>
      <c r="P700" s="109"/>
      <c r="Q700" s="109"/>
      <c r="R700" s="109"/>
      <c r="S700" s="110"/>
      <c r="T700" s="135"/>
    </row>
    <row r="701" spans="1:20" x14ac:dyDescent="0.2">
      <c r="A701" s="5">
        <v>700</v>
      </c>
      <c r="B701" s="110">
        <v>3971</v>
      </c>
      <c r="C701" s="110" t="s">
        <v>1236</v>
      </c>
      <c r="D701" s="192" t="s">
        <v>1237</v>
      </c>
      <c r="E701" s="110"/>
      <c r="F701" s="110"/>
      <c r="G701" s="110" t="str">
        <f t="shared" si="10"/>
        <v>1</v>
      </c>
      <c r="H701" s="110"/>
      <c r="I701" s="192">
        <v>141.14559700000001</v>
      </c>
      <c r="J701" s="192">
        <v>40.516368999999997</v>
      </c>
      <c r="K701" s="110"/>
      <c r="L701" s="110"/>
      <c r="M701" s="110"/>
      <c r="N701" s="110"/>
      <c r="O701" s="110"/>
      <c r="P701" s="109"/>
      <c r="Q701" s="109"/>
      <c r="R701" s="109"/>
      <c r="S701" s="110"/>
      <c r="T701" s="135"/>
    </row>
    <row r="702" spans="1:20" x14ac:dyDescent="0.2">
      <c r="A702" s="5">
        <v>701</v>
      </c>
      <c r="B702" s="110">
        <v>3981</v>
      </c>
      <c r="C702" s="110" t="s">
        <v>1238</v>
      </c>
      <c r="D702" s="110" t="s">
        <v>1239</v>
      </c>
      <c r="E702" s="110"/>
      <c r="F702" s="110"/>
      <c r="G702" s="110" t="str">
        <f t="shared" si="10"/>
        <v>1</v>
      </c>
      <c r="H702" s="191"/>
      <c r="I702" s="192">
        <v>141.13899699999999</v>
      </c>
      <c r="J702" s="192">
        <v>40.515008999999999</v>
      </c>
      <c r="K702" s="110"/>
      <c r="L702" s="110"/>
      <c r="M702" s="110"/>
      <c r="N702" s="110"/>
      <c r="O702" s="110"/>
      <c r="P702" s="109"/>
      <c r="Q702" s="109"/>
      <c r="R702" s="109"/>
      <c r="S702" s="110"/>
      <c r="T702" s="135"/>
    </row>
    <row r="703" spans="1:20" x14ac:dyDescent="0.2">
      <c r="A703" s="5">
        <v>702</v>
      </c>
      <c r="B703" s="110">
        <v>3991</v>
      </c>
      <c r="C703" s="110" t="s">
        <v>1240</v>
      </c>
      <c r="D703" s="110" t="s">
        <v>1241</v>
      </c>
      <c r="E703" s="110"/>
      <c r="F703" s="110"/>
      <c r="G703" s="110" t="str">
        <f t="shared" si="10"/>
        <v>1</v>
      </c>
      <c r="H703" s="110"/>
      <c r="I703" s="192">
        <v>141.130235</v>
      </c>
      <c r="J703" s="192">
        <v>40.511054999999999</v>
      </c>
      <c r="K703" s="110"/>
      <c r="L703" s="110"/>
      <c r="M703" s="110"/>
      <c r="N703" s="110"/>
      <c r="O703" s="110"/>
      <c r="P703" s="109"/>
      <c r="Q703" s="109"/>
      <c r="R703" s="109"/>
      <c r="S703" s="110"/>
      <c r="T703" s="135"/>
    </row>
    <row r="704" spans="1:20" x14ac:dyDescent="0.2">
      <c r="A704" s="5">
        <v>703</v>
      </c>
      <c r="B704" s="110">
        <v>4001</v>
      </c>
      <c r="C704" s="110" t="s">
        <v>1242</v>
      </c>
      <c r="D704" s="192" t="s">
        <v>1243</v>
      </c>
      <c r="E704" s="110"/>
      <c r="F704" s="110"/>
      <c r="G704" s="110" t="str">
        <f t="shared" si="10"/>
        <v>1</v>
      </c>
      <c r="H704" s="110"/>
      <c r="I704" s="192">
        <v>141.13843</v>
      </c>
      <c r="J704" s="192">
        <v>40.507942999999997</v>
      </c>
      <c r="K704" s="110"/>
      <c r="L704" s="110"/>
      <c r="M704" s="110"/>
      <c r="N704" s="110"/>
      <c r="O704" s="110"/>
      <c r="P704" s="109"/>
      <c r="Q704" s="109"/>
      <c r="R704" s="109"/>
      <c r="S704" s="110"/>
      <c r="T704" s="135"/>
    </row>
    <row r="705" spans="1:20" x14ac:dyDescent="0.2">
      <c r="A705" s="5">
        <v>704</v>
      </c>
      <c r="B705" s="110">
        <v>4011</v>
      </c>
      <c r="C705" s="110" t="s">
        <v>1244</v>
      </c>
      <c r="D705" s="192" t="s">
        <v>1245</v>
      </c>
      <c r="E705" s="110"/>
      <c r="F705" s="110"/>
      <c r="G705" s="110" t="str">
        <f t="shared" si="10"/>
        <v>1</v>
      </c>
      <c r="H705" s="110"/>
      <c r="I705" s="192">
        <v>141.14796000000001</v>
      </c>
      <c r="J705" s="192">
        <v>40.506345000000003</v>
      </c>
      <c r="K705" s="110"/>
      <c r="L705" s="110"/>
      <c r="M705" s="110"/>
      <c r="N705" s="110"/>
      <c r="O705" s="110"/>
      <c r="P705" s="109"/>
      <c r="Q705" s="109"/>
      <c r="R705" s="109"/>
      <c r="S705" s="110"/>
      <c r="T705" s="135"/>
    </row>
    <row r="706" spans="1:20" x14ac:dyDescent="0.2">
      <c r="A706" s="5">
        <v>705</v>
      </c>
      <c r="B706" s="110">
        <v>4021</v>
      </c>
      <c r="C706" s="110" t="s">
        <v>1246</v>
      </c>
      <c r="D706" s="110" t="s">
        <v>1247</v>
      </c>
      <c r="E706" s="110"/>
      <c r="F706" s="110"/>
      <c r="G706" s="110" t="str">
        <f t="shared" si="10"/>
        <v>1</v>
      </c>
      <c r="H706" s="110"/>
      <c r="I706" s="110">
        <v>141.14848599999999</v>
      </c>
      <c r="J706" s="110">
        <v>40.503684</v>
      </c>
      <c r="K706" s="110"/>
      <c r="L706" s="110"/>
      <c r="M706" s="110"/>
      <c r="N706" s="110"/>
      <c r="O706" s="110"/>
      <c r="P706" s="109"/>
      <c r="Q706" s="109"/>
      <c r="R706" s="109"/>
      <c r="S706" s="110"/>
      <c r="T706" s="135"/>
    </row>
    <row r="707" spans="1:20" x14ac:dyDescent="0.2">
      <c r="A707" s="5">
        <v>706</v>
      </c>
      <c r="B707" s="110">
        <v>4022</v>
      </c>
      <c r="C707" s="110" t="s">
        <v>1246</v>
      </c>
      <c r="D707" s="110" t="s">
        <v>1247</v>
      </c>
      <c r="E707" s="110"/>
      <c r="F707" s="110"/>
      <c r="G707" s="110" t="str">
        <f t="shared" si="10"/>
        <v>2</v>
      </c>
      <c r="H707" s="110"/>
      <c r="I707" s="110">
        <v>141.14837900000001</v>
      </c>
      <c r="J707" s="110">
        <v>40.503684</v>
      </c>
      <c r="K707" s="110"/>
      <c r="L707" s="110"/>
      <c r="M707" s="110"/>
      <c r="N707" s="110"/>
      <c r="O707" s="110"/>
      <c r="P707" s="109"/>
      <c r="Q707" s="109"/>
      <c r="R707" s="109"/>
      <c r="S707" s="110"/>
      <c r="T707" s="135"/>
    </row>
    <row r="708" spans="1:20" x14ac:dyDescent="0.2">
      <c r="A708" s="5">
        <v>707</v>
      </c>
      <c r="B708" s="110">
        <v>4012</v>
      </c>
      <c r="C708" s="110" t="s">
        <v>1244</v>
      </c>
      <c r="D708" s="192" t="s">
        <v>1245</v>
      </c>
      <c r="E708" s="110"/>
      <c r="F708" s="110"/>
      <c r="G708" s="110" t="str">
        <f t="shared" si="10"/>
        <v>2</v>
      </c>
      <c r="H708" s="110"/>
      <c r="I708" s="192">
        <v>141.14792399999999</v>
      </c>
      <c r="J708" s="192">
        <v>40.506231999999997</v>
      </c>
      <c r="K708" s="110"/>
      <c r="L708" s="110"/>
      <c r="M708" s="110"/>
      <c r="N708" s="110"/>
      <c r="O708" s="110"/>
      <c r="P708" s="109"/>
      <c r="Q708" s="109"/>
      <c r="R708" s="109"/>
      <c r="S708" s="110"/>
      <c r="T708" s="135"/>
    </row>
    <row r="709" spans="1:20" x14ac:dyDescent="0.2">
      <c r="A709" s="5">
        <v>708</v>
      </c>
      <c r="B709" s="110">
        <v>4002</v>
      </c>
      <c r="C709" s="110" t="s">
        <v>1242</v>
      </c>
      <c r="D709" s="192" t="s">
        <v>1243</v>
      </c>
      <c r="E709" s="110"/>
      <c r="F709" s="110"/>
      <c r="G709" s="110" t="str">
        <f t="shared" ref="G709:G772" si="11">RIGHT(B709,1)</f>
        <v>2</v>
      </c>
      <c r="H709" s="110"/>
      <c r="I709" s="192">
        <v>141.138386</v>
      </c>
      <c r="J709" s="192">
        <v>40.507897</v>
      </c>
      <c r="K709" s="110"/>
      <c r="L709" s="110"/>
      <c r="M709" s="110"/>
      <c r="N709" s="110"/>
      <c r="O709" s="110"/>
      <c r="P709" s="109"/>
      <c r="Q709" s="109"/>
      <c r="R709" s="109"/>
      <c r="S709" s="110"/>
      <c r="T709" s="135"/>
    </row>
    <row r="710" spans="1:20" x14ac:dyDescent="0.2">
      <c r="A710" s="5">
        <v>709</v>
      </c>
      <c r="B710" s="110">
        <v>3982</v>
      </c>
      <c r="C710" s="110" t="s">
        <v>1238</v>
      </c>
      <c r="D710" s="110" t="s">
        <v>1239</v>
      </c>
      <c r="E710" s="110"/>
      <c r="F710" s="110"/>
      <c r="G710" s="110" t="str">
        <f t="shared" si="11"/>
        <v>2</v>
      </c>
      <c r="H710" s="110"/>
      <c r="I710" s="110">
        <v>141.13864799999999</v>
      </c>
      <c r="J710" s="110">
        <v>40.514955999999998</v>
      </c>
      <c r="K710" s="110"/>
      <c r="L710" s="110"/>
      <c r="M710" s="110"/>
      <c r="N710" s="110"/>
      <c r="O710" s="110"/>
      <c r="P710" s="109"/>
      <c r="Q710" s="109"/>
      <c r="R710" s="109"/>
      <c r="S710" s="110"/>
      <c r="T710" s="135"/>
    </row>
    <row r="711" spans="1:20" x14ac:dyDescent="0.2">
      <c r="A711" s="5">
        <v>710</v>
      </c>
      <c r="B711" s="110">
        <v>3972</v>
      </c>
      <c r="C711" s="110" t="s">
        <v>1236</v>
      </c>
      <c r="D711" s="192" t="s">
        <v>1237</v>
      </c>
      <c r="E711" s="110"/>
      <c r="F711" s="110"/>
      <c r="G711" s="110" t="str">
        <f t="shared" si="11"/>
        <v>2</v>
      </c>
      <c r="H711" s="110"/>
      <c r="I711" s="192">
        <v>141.14563000000001</v>
      </c>
      <c r="J711" s="192">
        <v>40.516463000000002</v>
      </c>
      <c r="K711" s="110"/>
      <c r="L711" s="110"/>
      <c r="M711" s="110"/>
      <c r="N711" s="110"/>
      <c r="O711" s="110"/>
      <c r="P711" s="109"/>
      <c r="Q711" s="109"/>
      <c r="R711" s="109"/>
      <c r="S711" s="110"/>
      <c r="T711" s="135"/>
    </row>
    <row r="712" spans="1:20" x14ac:dyDescent="0.2">
      <c r="A712" s="5">
        <v>711</v>
      </c>
      <c r="B712" s="110">
        <v>3962</v>
      </c>
      <c r="C712" s="110" t="s">
        <v>1234</v>
      </c>
      <c r="D712" s="110" t="s">
        <v>1235</v>
      </c>
      <c r="E712" s="110"/>
      <c r="F712" s="110"/>
      <c r="G712" s="110" t="str">
        <f t="shared" si="11"/>
        <v>2</v>
      </c>
      <c r="H712" s="110"/>
      <c r="I712" s="192">
        <v>141.147975</v>
      </c>
      <c r="J712" s="192">
        <v>40.522502000000003</v>
      </c>
      <c r="K712" s="110"/>
      <c r="L712" s="110"/>
      <c r="M712" s="110"/>
      <c r="N712" s="110"/>
      <c r="O712" s="110"/>
      <c r="P712" s="109"/>
      <c r="Q712" s="109"/>
      <c r="R712" s="109"/>
      <c r="S712" s="110"/>
      <c r="T712" s="135"/>
    </row>
    <row r="713" spans="1:20" x14ac:dyDescent="0.2">
      <c r="A713" s="5">
        <v>712</v>
      </c>
      <c r="B713" s="110">
        <v>3952</v>
      </c>
      <c r="C713" s="110" t="s">
        <v>1232</v>
      </c>
      <c r="D713" s="110" t="s">
        <v>1233</v>
      </c>
      <c r="E713" s="110"/>
      <c r="F713" s="110"/>
      <c r="G713" s="110" t="str">
        <f t="shared" si="11"/>
        <v>2</v>
      </c>
      <c r="H713" s="110"/>
      <c r="I713" s="192">
        <v>141.15851499999999</v>
      </c>
      <c r="J713" s="192">
        <v>40.527002000000003</v>
      </c>
      <c r="K713" s="110"/>
      <c r="L713" s="110"/>
      <c r="M713" s="110"/>
      <c r="N713" s="110"/>
      <c r="O713" s="110"/>
      <c r="P713" s="109"/>
      <c r="Q713" s="109"/>
      <c r="R713" s="109"/>
      <c r="S713" s="110"/>
      <c r="T713" s="135"/>
    </row>
    <row r="714" spans="1:20" x14ac:dyDescent="0.2">
      <c r="A714" s="5">
        <v>713</v>
      </c>
      <c r="B714" s="110">
        <v>3942</v>
      </c>
      <c r="C714" s="110" t="s">
        <v>1230</v>
      </c>
      <c r="D714" s="192" t="s">
        <v>1231</v>
      </c>
      <c r="E714" s="110"/>
      <c r="F714" s="110"/>
      <c r="G714" s="110" t="str">
        <f t="shared" si="11"/>
        <v>2</v>
      </c>
      <c r="H714" s="110"/>
      <c r="I714" s="192">
        <v>141.168488</v>
      </c>
      <c r="J714" s="192">
        <v>40.534426000000003</v>
      </c>
      <c r="K714" s="110"/>
      <c r="L714" s="110"/>
      <c r="M714" s="110"/>
      <c r="N714" s="110"/>
      <c r="O714" s="110"/>
      <c r="P714" s="109"/>
      <c r="Q714" s="109"/>
      <c r="R714" s="109"/>
      <c r="S714" s="110"/>
      <c r="T714" s="135"/>
    </row>
    <row r="715" spans="1:20" x14ac:dyDescent="0.2">
      <c r="A715" s="5">
        <v>714</v>
      </c>
      <c r="B715" s="110">
        <v>3932</v>
      </c>
      <c r="C715" s="110" t="s">
        <v>1228</v>
      </c>
      <c r="D715" s="110" t="s">
        <v>1229</v>
      </c>
      <c r="E715" s="110"/>
      <c r="F715" s="110"/>
      <c r="G715" s="110" t="str">
        <f t="shared" si="11"/>
        <v>2</v>
      </c>
      <c r="H715" s="110"/>
      <c r="I715" s="192">
        <v>141.16955899999999</v>
      </c>
      <c r="J715" s="192">
        <v>40.535128999999998</v>
      </c>
      <c r="K715" s="110"/>
      <c r="L715" s="110"/>
      <c r="M715" s="110"/>
      <c r="N715" s="110"/>
      <c r="O715" s="110"/>
      <c r="P715" s="109"/>
      <c r="Q715" s="109"/>
      <c r="R715" s="109"/>
      <c r="S715" s="110"/>
      <c r="T715" s="135"/>
    </row>
    <row r="716" spans="1:20" x14ac:dyDescent="0.2">
      <c r="A716" s="5">
        <v>715</v>
      </c>
      <c r="B716" s="110">
        <v>3922</v>
      </c>
      <c r="C716" s="110" t="s">
        <v>1226</v>
      </c>
      <c r="D716" s="110" t="s">
        <v>1227</v>
      </c>
      <c r="E716" s="110"/>
      <c r="F716" s="110"/>
      <c r="G716" s="110" t="str">
        <f t="shared" si="11"/>
        <v>2</v>
      </c>
      <c r="H716" s="110"/>
      <c r="I716" s="192">
        <v>141.18341899999999</v>
      </c>
      <c r="J716" s="192">
        <v>40.539710999999997</v>
      </c>
      <c r="K716" s="110"/>
      <c r="L716" s="110"/>
      <c r="M716" s="110"/>
      <c r="N716" s="110"/>
      <c r="O716" s="110"/>
      <c r="P716" s="109"/>
      <c r="Q716" s="109"/>
      <c r="R716" s="109"/>
      <c r="S716" s="110"/>
      <c r="T716" s="135"/>
    </row>
    <row r="717" spans="1:20" x14ac:dyDescent="0.2">
      <c r="A717" s="5">
        <v>716</v>
      </c>
      <c r="B717" s="110">
        <v>3912</v>
      </c>
      <c r="C717" s="110" t="s">
        <v>1224</v>
      </c>
      <c r="D717" s="110" t="s">
        <v>1225</v>
      </c>
      <c r="E717" s="110"/>
      <c r="F717" s="110"/>
      <c r="G717" s="110" t="str">
        <f t="shared" si="11"/>
        <v>2</v>
      </c>
      <c r="H717" s="110"/>
      <c r="I717" s="192">
        <v>141.188074</v>
      </c>
      <c r="J717" s="192">
        <v>40.543241999999999</v>
      </c>
      <c r="K717" s="110"/>
      <c r="L717" s="110"/>
      <c r="M717" s="110"/>
      <c r="N717" s="110"/>
      <c r="O717" s="110"/>
      <c r="P717" s="109"/>
      <c r="Q717" s="109"/>
      <c r="R717" s="109"/>
      <c r="S717" s="110"/>
      <c r="T717" s="135"/>
    </row>
    <row r="718" spans="1:20" x14ac:dyDescent="0.2">
      <c r="A718" s="5">
        <v>717</v>
      </c>
      <c r="B718" s="110">
        <v>3892</v>
      </c>
      <c r="C718" s="110" t="s">
        <v>1220</v>
      </c>
      <c r="D718" s="110" t="s">
        <v>1221</v>
      </c>
      <c r="E718" s="110"/>
      <c r="F718" s="110"/>
      <c r="G718" s="110" t="str">
        <f t="shared" si="11"/>
        <v>2</v>
      </c>
      <c r="H718" s="191"/>
      <c r="I718" s="192">
        <v>141.196618</v>
      </c>
      <c r="J718" s="192">
        <v>40.548276000000001</v>
      </c>
      <c r="K718" s="110"/>
      <c r="L718" s="110"/>
      <c r="M718" s="110"/>
      <c r="N718" s="110"/>
      <c r="O718" s="110"/>
      <c r="P718" s="109"/>
      <c r="Q718" s="109"/>
      <c r="R718" s="109"/>
      <c r="S718" s="110"/>
      <c r="T718" s="135"/>
    </row>
    <row r="719" spans="1:20" x14ac:dyDescent="0.2">
      <c r="A719" s="5">
        <v>718</v>
      </c>
      <c r="B719" s="110">
        <v>3882</v>
      </c>
      <c r="C719" s="110" t="s">
        <v>1218</v>
      </c>
      <c r="D719" s="110" t="s">
        <v>1219</v>
      </c>
      <c r="E719" s="110"/>
      <c r="F719" s="110"/>
      <c r="G719" s="110" t="str">
        <f t="shared" si="11"/>
        <v>2</v>
      </c>
      <c r="H719" s="110"/>
      <c r="I719" s="110">
        <v>141.20163700000001</v>
      </c>
      <c r="J719" s="110">
        <v>40.552897999999999</v>
      </c>
      <c r="K719" s="110"/>
      <c r="L719" s="110"/>
      <c r="M719" s="110"/>
      <c r="N719" s="110"/>
      <c r="O719" s="110"/>
      <c r="P719" s="109"/>
      <c r="Q719" s="109"/>
      <c r="R719" s="109"/>
      <c r="S719" s="110"/>
      <c r="T719" s="135"/>
    </row>
    <row r="720" spans="1:20" x14ac:dyDescent="0.2">
      <c r="A720" s="5">
        <v>719</v>
      </c>
      <c r="B720" s="110">
        <v>3872</v>
      </c>
      <c r="C720" s="110" t="s">
        <v>1216</v>
      </c>
      <c r="D720" s="192" t="s">
        <v>1217</v>
      </c>
      <c r="E720" s="110"/>
      <c r="F720" s="110"/>
      <c r="G720" s="110" t="str">
        <f t="shared" si="11"/>
        <v>2</v>
      </c>
      <c r="H720" s="191"/>
      <c r="I720" s="192">
        <v>141.20501899999999</v>
      </c>
      <c r="J720" s="192">
        <v>40.556659000000003</v>
      </c>
      <c r="K720" s="110"/>
      <c r="L720" s="110"/>
      <c r="M720" s="110"/>
      <c r="N720" s="110"/>
      <c r="O720" s="110"/>
      <c r="P720" s="109"/>
      <c r="Q720" s="109"/>
      <c r="R720" s="109"/>
      <c r="S720" s="110"/>
      <c r="T720" s="135"/>
    </row>
    <row r="721" spans="1:20" x14ac:dyDescent="0.2">
      <c r="A721" s="5">
        <v>720</v>
      </c>
      <c r="B721" s="110">
        <v>3862</v>
      </c>
      <c r="C721" s="110" t="s">
        <v>1214</v>
      </c>
      <c r="D721" s="192" t="s">
        <v>1215</v>
      </c>
      <c r="E721" s="110"/>
      <c r="F721" s="110"/>
      <c r="G721" s="110" t="str">
        <f t="shared" si="11"/>
        <v>2</v>
      </c>
      <c r="H721" s="191"/>
      <c r="I721" s="192">
        <v>141.215912</v>
      </c>
      <c r="J721" s="192">
        <v>40.556468000000002</v>
      </c>
      <c r="K721" s="110"/>
      <c r="L721" s="110"/>
      <c r="M721" s="110"/>
      <c r="N721" s="110"/>
      <c r="O721" s="110"/>
      <c r="P721" s="109"/>
      <c r="Q721" s="109"/>
      <c r="R721" s="109"/>
      <c r="S721" s="110"/>
      <c r="T721" s="135"/>
    </row>
    <row r="722" spans="1:20" x14ac:dyDescent="0.2">
      <c r="A722" s="5">
        <v>721</v>
      </c>
      <c r="B722" s="110">
        <v>3852</v>
      </c>
      <c r="C722" s="110" t="s">
        <v>1213</v>
      </c>
      <c r="D722" s="110" t="s">
        <v>666</v>
      </c>
      <c r="E722" s="110"/>
      <c r="F722" s="110"/>
      <c r="G722" s="110" t="str">
        <f t="shared" si="11"/>
        <v>2</v>
      </c>
      <c r="H722" s="191"/>
      <c r="I722" s="192">
        <v>141.22707</v>
      </c>
      <c r="J722" s="192">
        <v>40.550581999999999</v>
      </c>
      <c r="K722" s="110"/>
      <c r="L722" s="110"/>
      <c r="M722" s="110"/>
      <c r="N722" s="110"/>
      <c r="O722" s="110"/>
      <c r="P722" s="109"/>
      <c r="Q722" s="109"/>
      <c r="R722" s="109"/>
      <c r="S722" s="110"/>
      <c r="T722" s="135"/>
    </row>
    <row r="723" spans="1:20" x14ac:dyDescent="0.2">
      <c r="A723" s="5">
        <v>722</v>
      </c>
      <c r="B723" s="110">
        <v>3822</v>
      </c>
      <c r="C723" s="110" t="s">
        <v>1207</v>
      </c>
      <c r="D723" s="192" t="s">
        <v>1208</v>
      </c>
      <c r="E723" s="110"/>
      <c r="F723" s="110"/>
      <c r="G723" s="110" t="str">
        <f t="shared" si="11"/>
        <v>2</v>
      </c>
      <c r="H723" s="110"/>
      <c r="I723" s="192">
        <v>141.230884</v>
      </c>
      <c r="J723" s="192">
        <v>40.549897999999999</v>
      </c>
      <c r="K723" s="110"/>
      <c r="L723" s="110"/>
      <c r="M723" s="110"/>
      <c r="N723" s="110"/>
      <c r="O723" s="110"/>
      <c r="P723" s="109"/>
      <c r="Q723" s="109"/>
      <c r="R723" s="109"/>
      <c r="S723" s="110"/>
      <c r="T723" s="135"/>
    </row>
    <row r="724" spans="1:20" x14ac:dyDescent="0.2">
      <c r="A724" s="5">
        <v>723</v>
      </c>
      <c r="B724" s="110">
        <v>3812</v>
      </c>
      <c r="C724" s="110" t="s">
        <v>1205</v>
      </c>
      <c r="D724" s="110" t="s">
        <v>1206</v>
      </c>
      <c r="E724" s="110"/>
      <c r="F724" s="110"/>
      <c r="G724" s="110" t="str">
        <f t="shared" si="11"/>
        <v>2</v>
      </c>
      <c r="H724" s="110"/>
      <c r="I724" s="192">
        <v>141.23620099999999</v>
      </c>
      <c r="J724" s="192">
        <v>40.557696</v>
      </c>
      <c r="K724" s="110"/>
      <c r="L724" s="110"/>
      <c r="M724" s="110"/>
      <c r="N724" s="110"/>
      <c r="O724" s="110"/>
      <c r="P724" s="109"/>
      <c r="Q724" s="109"/>
      <c r="R724" s="109"/>
      <c r="S724" s="110"/>
      <c r="T724" s="135"/>
    </row>
    <row r="725" spans="1:20" x14ac:dyDescent="0.2">
      <c r="A725" s="5">
        <v>724</v>
      </c>
      <c r="B725" s="110">
        <v>3802</v>
      </c>
      <c r="C725" s="110" t="s">
        <v>1203</v>
      </c>
      <c r="D725" s="110" t="s">
        <v>1204</v>
      </c>
      <c r="E725" s="110"/>
      <c r="F725" s="110"/>
      <c r="G725" s="110" t="str">
        <f t="shared" si="11"/>
        <v>2</v>
      </c>
      <c r="H725" s="110"/>
      <c r="I725" s="110">
        <v>141.24145200000001</v>
      </c>
      <c r="J725" s="110">
        <v>40.577984000000001</v>
      </c>
      <c r="K725" s="110"/>
      <c r="L725" s="110"/>
      <c r="M725" s="110"/>
      <c r="N725" s="110"/>
      <c r="O725" s="110"/>
      <c r="P725" s="109"/>
      <c r="Q725" s="109"/>
      <c r="R725" s="109"/>
      <c r="S725" s="110"/>
      <c r="T725" s="135"/>
    </row>
    <row r="726" spans="1:20" x14ac:dyDescent="0.2">
      <c r="A726" s="5">
        <v>725</v>
      </c>
      <c r="B726" s="110">
        <v>3792</v>
      </c>
      <c r="C726" s="110" t="s">
        <v>1201</v>
      </c>
      <c r="D726" s="192" t="s">
        <v>1248</v>
      </c>
      <c r="E726" s="110"/>
      <c r="F726" s="110"/>
      <c r="G726" s="110" t="str">
        <f t="shared" si="11"/>
        <v>2</v>
      </c>
      <c r="H726" s="110"/>
      <c r="I726" s="110">
        <v>141.239349</v>
      </c>
      <c r="J726" s="110">
        <v>40.579362000000003</v>
      </c>
      <c r="K726" s="110"/>
      <c r="L726" s="110"/>
      <c r="M726" s="110"/>
      <c r="N726" s="110"/>
      <c r="O726" s="110"/>
      <c r="P726" s="109"/>
      <c r="Q726" s="109"/>
      <c r="R726" s="109"/>
      <c r="S726" s="110"/>
      <c r="T726" s="135"/>
    </row>
    <row r="727" spans="1:20" x14ac:dyDescent="0.2">
      <c r="A727" s="5">
        <v>726</v>
      </c>
      <c r="B727" s="110">
        <v>3782</v>
      </c>
      <c r="C727" s="110" t="s">
        <v>1199</v>
      </c>
      <c r="D727" s="110" t="s">
        <v>1200</v>
      </c>
      <c r="E727" s="110"/>
      <c r="F727" s="110"/>
      <c r="G727" s="110" t="str">
        <f t="shared" si="11"/>
        <v>2</v>
      </c>
      <c r="H727" s="110"/>
      <c r="I727" s="192">
        <v>141.238992</v>
      </c>
      <c r="J727" s="192">
        <v>40.579631999999997</v>
      </c>
      <c r="K727" s="110"/>
      <c r="L727" s="110"/>
      <c r="M727" s="110"/>
      <c r="N727" s="110"/>
      <c r="O727" s="110"/>
      <c r="P727" s="109"/>
      <c r="Q727" s="109"/>
      <c r="R727" s="109"/>
      <c r="S727" s="110"/>
      <c r="T727" s="135"/>
    </row>
    <row r="728" spans="1:20" x14ac:dyDescent="0.2">
      <c r="A728" s="5">
        <v>727</v>
      </c>
      <c r="B728" s="110">
        <v>3772</v>
      </c>
      <c r="C728" s="110" t="s">
        <v>1197</v>
      </c>
      <c r="D728" s="192" t="s">
        <v>1249</v>
      </c>
      <c r="E728" s="110"/>
      <c r="F728" s="110"/>
      <c r="G728" s="110" t="str">
        <f t="shared" si="11"/>
        <v>2</v>
      </c>
      <c r="H728" s="110"/>
      <c r="I728" s="110">
        <v>141.23779300000001</v>
      </c>
      <c r="J728" s="110">
        <v>40.590409999999999</v>
      </c>
      <c r="K728" s="110"/>
      <c r="L728" s="110"/>
      <c r="M728" s="110"/>
      <c r="N728" s="110"/>
      <c r="O728" s="110"/>
      <c r="P728" s="109"/>
      <c r="Q728" s="109"/>
      <c r="R728" s="109"/>
      <c r="S728" s="110"/>
      <c r="T728" s="135"/>
    </row>
    <row r="729" spans="1:20" x14ac:dyDescent="0.2">
      <c r="A729" s="5">
        <v>728</v>
      </c>
      <c r="B729" s="110">
        <v>133</v>
      </c>
      <c r="C729" s="110" t="s">
        <v>258</v>
      </c>
      <c r="D729" s="192" t="s">
        <v>1250</v>
      </c>
      <c r="E729" s="110"/>
      <c r="F729" s="110"/>
      <c r="G729" s="110" t="str">
        <f t="shared" si="11"/>
        <v>3</v>
      </c>
      <c r="H729" s="110"/>
      <c r="I729" s="110">
        <v>141.25891300000001</v>
      </c>
      <c r="J729" s="110">
        <v>40.612372999999998</v>
      </c>
      <c r="K729" s="110"/>
      <c r="L729" s="110"/>
      <c r="M729" s="110"/>
      <c r="N729" s="110"/>
      <c r="O729" s="110"/>
      <c r="P729" s="109"/>
      <c r="Q729" s="109"/>
      <c r="R729" s="109"/>
      <c r="S729" s="110"/>
      <c r="T729" s="135"/>
    </row>
    <row r="730" spans="1:20" x14ac:dyDescent="0.2">
      <c r="A730" s="5">
        <v>729</v>
      </c>
      <c r="B730" s="110">
        <v>1282</v>
      </c>
      <c r="C730" s="110" t="s">
        <v>488</v>
      </c>
      <c r="D730" s="192" t="s">
        <v>1251</v>
      </c>
      <c r="E730" s="110"/>
      <c r="F730" s="110"/>
      <c r="G730" s="110" t="str">
        <f t="shared" si="11"/>
        <v>2</v>
      </c>
      <c r="H730" s="198"/>
      <c r="I730" s="192">
        <v>141.21649500000001</v>
      </c>
      <c r="J730" s="192">
        <v>40.608908999999997</v>
      </c>
      <c r="K730" s="110"/>
      <c r="L730" s="110"/>
      <c r="M730" s="110"/>
      <c r="N730" s="110"/>
      <c r="O730" s="110"/>
      <c r="P730" s="109"/>
      <c r="Q730" s="109"/>
      <c r="R730" s="109"/>
      <c r="S730" s="110"/>
      <c r="T730" s="135"/>
    </row>
    <row r="731" spans="1:20" x14ac:dyDescent="0.2">
      <c r="A731" s="5">
        <v>730</v>
      </c>
      <c r="B731" s="110">
        <v>1272</v>
      </c>
      <c r="C731" s="110" t="s">
        <v>486</v>
      </c>
      <c r="D731" s="110" t="s">
        <v>1252</v>
      </c>
      <c r="E731" s="110"/>
      <c r="F731" s="110"/>
      <c r="G731" s="110" t="str">
        <f t="shared" si="11"/>
        <v>2</v>
      </c>
      <c r="H731" s="198"/>
      <c r="I731" s="192">
        <v>141.218322</v>
      </c>
      <c r="J731" s="192">
        <v>40.606613000000003</v>
      </c>
      <c r="K731" s="110"/>
      <c r="L731" s="110"/>
      <c r="M731" s="110"/>
      <c r="N731" s="110"/>
      <c r="O731" s="110"/>
      <c r="P731" s="109"/>
      <c r="Q731" s="109"/>
      <c r="R731" s="109"/>
      <c r="S731" s="110"/>
      <c r="T731" s="135"/>
    </row>
    <row r="732" spans="1:20" x14ac:dyDescent="0.2">
      <c r="A732" s="5">
        <v>731</v>
      </c>
      <c r="B732" s="110">
        <v>1262</v>
      </c>
      <c r="C732" s="110" t="s">
        <v>484</v>
      </c>
      <c r="D732" s="110" t="s">
        <v>485</v>
      </c>
      <c r="E732" s="110"/>
      <c r="F732" s="110"/>
      <c r="G732" s="110" t="str">
        <f t="shared" si="11"/>
        <v>2</v>
      </c>
      <c r="H732" s="198"/>
      <c r="I732" s="192">
        <v>141.215372</v>
      </c>
      <c r="J732" s="192">
        <v>40.604495999999997</v>
      </c>
      <c r="K732" s="110"/>
      <c r="L732" s="110"/>
      <c r="M732" s="110"/>
      <c r="N732" s="110"/>
      <c r="O732" s="110"/>
      <c r="P732" s="109"/>
      <c r="Q732" s="109"/>
      <c r="R732" s="109"/>
      <c r="S732" s="110"/>
      <c r="T732" s="135"/>
    </row>
    <row r="733" spans="1:20" x14ac:dyDescent="0.2">
      <c r="A733" s="5">
        <v>732</v>
      </c>
      <c r="B733" s="110">
        <v>1252</v>
      </c>
      <c r="C733" s="110" t="s">
        <v>482</v>
      </c>
      <c r="D733" s="110" t="s">
        <v>1253</v>
      </c>
      <c r="E733" s="110"/>
      <c r="F733" s="110"/>
      <c r="G733" s="110" t="str">
        <f t="shared" si="11"/>
        <v>2</v>
      </c>
      <c r="H733" s="110"/>
      <c r="I733" s="110">
        <v>141.212728</v>
      </c>
      <c r="J733" s="110">
        <v>40.603307000000001</v>
      </c>
      <c r="K733" s="110"/>
      <c r="L733" s="110"/>
      <c r="M733" s="110"/>
      <c r="N733" s="110"/>
      <c r="O733" s="110"/>
      <c r="P733" s="109"/>
      <c r="Q733" s="109"/>
      <c r="R733" s="109"/>
      <c r="S733" s="110"/>
      <c r="T733" s="135"/>
    </row>
    <row r="734" spans="1:20" x14ac:dyDescent="0.2">
      <c r="A734" s="5">
        <v>733</v>
      </c>
      <c r="B734" s="110">
        <v>1242</v>
      </c>
      <c r="C734" s="110" t="s">
        <v>480</v>
      </c>
      <c r="D734" s="110" t="s">
        <v>481</v>
      </c>
      <c r="E734" s="110"/>
      <c r="F734" s="110"/>
      <c r="G734" s="110" t="str">
        <f t="shared" si="11"/>
        <v>2</v>
      </c>
      <c r="H734" s="110"/>
      <c r="I734" s="110">
        <v>141.21048500000001</v>
      </c>
      <c r="J734" s="110">
        <v>40.602311999999998</v>
      </c>
      <c r="K734" s="110"/>
      <c r="L734" s="110"/>
      <c r="M734" s="110"/>
      <c r="N734" s="110"/>
      <c r="O734" s="110"/>
      <c r="P734" s="109"/>
      <c r="Q734" s="109"/>
      <c r="R734" s="109"/>
      <c r="S734" s="110"/>
      <c r="T734" s="135"/>
    </row>
    <row r="735" spans="1:20" x14ac:dyDescent="0.2">
      <c r="A735" s="5">
        <v>734</v>
      </c>
      <c r="B735" s="110">
        <v>1232</v>
      </c>
      <c r="C735" s="110" t="s">
        <v>478</v>
      </c>
      <c r="D735" s="110" t="s">
        <v>479</v>
      </c>
      <c r="E735" s="110"/>
      <c r="F735" s="110"/>
      <c r="G735" s="110" t="str">
        <f t="shared" si="11"/>
        <v>2</v>
      </c>
      <c r="H735" s="110"/>
      <c r="I735" s="110">
        <v>141.207481</v>
      </c>
      <c r="J735" s="110">
        <v>40.600959000000003</v>
      </c>
      <c r="K735" s="110"/>
      <c r="L735" s="110"/>
      <c r="M735" s="110"/>
      <c r="N735" s="110"/>
      <c r="O735" s="110"/>
      <c r="P735" s="109"/>
      <c r="Q735" s="109"/>
      <c r="R735" s="109"/>
      <c r="S735" s="110"/>
      <c r="T735" s="135"/>
    </row>
    <row r="736" spans="1:20" x14ac:dyDescent="0.2">
      <c r="A736" s="5">
        <v>735</v>
      </c>
      <c r="B736" s="110">
        <v>4031</v>
      </c>
      <c r="C736" s="110" t="s">
        <v>1254</v>
      </c>
      <c r="D736" s="110" t="s">
        <v>1255</v>
      </c>
      <c r="E736" s="110"/>
      <c r="F736" s="110"/>
      <c r="G736" s="110" t="str">
        <f t="shared" si="11"/>
        <v>1</v>
      </c>
      <c r="H736" s="110"/>
      <c r="I736" s="110">
        <v>141.20334</v>
      </c>
      <c r="J736" s="110">
        <v>40.597940999999999</v>
      </c>
      <c r="K736" s="110"/>
      <c r="L736" s="110"/>
      <c r="M736" s="110"/>
      <c r="N736" s="110"/>
      <c r="O736" s="110"/>
      <c r="P736" s="109"/>
      <c r="Q736" s="109"/>
      <c r="R736" s="109"/>
      <c r="S736" s="110"/>
      <c r="T736" s="135"/>
    </row>
    <row r="737" spans="1:20" x14ac:dyDescent="0.2">
      <c r="A737" s="5">
        <v>736</v>
      </c>
      <c r="B737" s="110">
        <v>4041</v>
      </c>
      <c r="C737" s="110" t="s">
        <v>1256</v>
      </c>
      <c r="D737" s="110" t="s">
        <v>1257</v>
      </c>
      <c r="E737" s="110"/>
      <c r="F737" s="110"/>
      <c r="G737" s="110" t="str">
        <f t="shared" si="11"/>
        <v>1</v>
      </c>
      <c r="H737" s="110"/>
      <c r="I737" s="110">
        <v>141.18825000000001</v>
      </c>
      <c r="J737" s="110">
        <v>40.593938999999999</v>
      </c>
      <c r="K737" s="110"/>
      <c r="L737" s="110"/>
      <c r="M737" s="110"/>
      <c r="N737" s="110"/>
      <c r="O737" s="110"/>
      <c r="P737" s="109"/>
      <c r="Q737" s="109"/>
      <c r="R737" s="109"/>
      <c r="S737" s="110"/>
      <c r="T737" s="135"/>
    </row>
    <row r="738" spans="1:20" x14ac:dyDescent="0.2">
      <c r="A738" s="5">
        <v>737</v>
      </c>
      <c r="B738" s="110">
        <v>4051</v>
      </c>
      <c r="C738" s="110" t="s">
        <v>1258</v>
      </c>
      <c r="D738" s="192" t="s">
        <v>1259</v>
      </c>
      <c r="E738" s="110"/>
      <c r="F738" s="110"/>
      <c r="G738" s="110" t="str">
        <f t="shared" si="11"/>
        <v>1</v>
      </c>
      <c r="H738" s="198"/>
      <c r="I738" s="192">
        <v>141.18340900000001</v>
      </c>
      <c r="J738" s="192">
        <v>40.596080999999998</v>
      </c>
      <c r="K738" s="110"/>
      <c r="L738" s="110"/>
      <c r="M738" s="110"/>
      <c r="N738" s="110"/>
      <c r="O738" s="110"/>
      <c r="P738" s="109"/>
      <c r="Q738" s="109"/>
      <c r="R738" s="109"/>
      <c r="S738" s="110"/>
      <c r="T738" s="135"/>
    </row>
    <row r="739" spans="1:20" x14ac:dyDescent="0.2">
      <c r="A739" s="5">
        <v>738</v>
      </c>
      <c r="B739" s="110">
        <v>4061</v>
      </c>
      <c r="C739" s="110" t="s">
        <v>1260</v>
      </c>
      <c r="D739" s="192" t="s">
        <v>1261</v>
      </c>
      <c r="E739" s="110"/>
      <c r="F739" s="110"/>
      <c r="G739" s="110" t="str">
        <f t="shared" si="11"/>
        <v>1</v>
      </c>
      <c r="H739" s="198"/>
      <c r="I739" s="192">
        <v>141.17945399999999</v>
      </c>
      <c r="J739" s="192">
        <v>40.596449999999997</v>
      </c>
      <c r="K739" s="110"/>
      <c r="L739" s="110"/>
      <c r="M739" s="110"/>
      <c r="N739" s="110"/>
      <c r="O739" s="110"/>
      <c r="P739" s="109"/>
      <c r="Q739" s="109"/>
      <c r="R739" s="109"/>
      <c r="S739" s="110"/>
      <c r="T739" s="135"/>
    </row>
    <row r="740" spans="1:20" x14ac:dyDescent="0.2">
      <c r="A740" s="5">
        <v>739</v>
      </c>
      <c r="B740" s="110">
        <v>4071</v>
      </c>
      <c r="C740" s="110" t="s">
        <v>1262</v>
      </c>
      <c r="D740" s="192" t="s">
        <v>1263</v>
      </c>
      <c r="E740" s="110"/>
      <c r="F740" s="110"/>
      <c r="G740" s="110" t="str">
        <f t="shared" si="11"/>
        <v>1</v>
      </c>
      <c r="H740" s="198"/>
      <c r="I740" s="192">
        <v>141.176434</v>
      </c>
      <c r="J740" s="192">
        <v>40.592685000000003</v>
      </c>
      <c r="K740" s="110"/>
      <c r="L740" s="110"/>
      <c r="M740" s="110"/>
      <c r="N740" s="110"/>
      <c r="O740" s="110"/>
      <c r="P740" s="109"/>
      <c r="Q740" s="109"/>
      <c r="R740" s="109"/>
      <c r="S740" s="110"/>
      <c r="T740" s="135"/>
    </row>
    <row r="741" spans="1:20" x14ac:dyDescent="0.2">
      <c r="A741" s="5">
        <v>740</v>
      </c>
      <c r="B741" s="110">
        <v>4081</v>
      </c>
      <c r="C741" s="110" t="s">
        <v>1264</v>
      </c>
      <c r="D741" s="110" t="s">
        <v>1265</v>
      </c>
      <c r="E741" s="110"/>
      <c r="F741" s="110"/>
      <c r="G741" s="110" t="str">
        <f t="shared" si="11"/>
        <v>1</v>
      </c>
      <c r="H741" s="110"/>
      <c r="I741" s="110">
        <v>141.175016</v>
      </c>
      <c r="J741" s="110">
        <v>40.589204000000002</v>
      </c>
      <c r="K741" s="110"/>
      <c r="L741" s="110"/>
      <c r="M741" s="110"/>
      <c r="N741" s="110"/>
      <c r="O741" s="110"/>
      <c r="P741" s="109"/>
      <c r="Q741" s="109"/>
      <c r="R741" s="109"/>
      <c r="S741" s="110"/>
      <c r="T741" s="135"/>
    </row>
    <row r="742" spans="1:20" x14ac:dyDescent="0.2">
      <c r="A742" s="5">
        <v>741</v>
      </c>
      <c r="B742" s="110">
        <v>4091</v>
      </c>
      <c r="C742" s="110" t="s">
        <v>1266</v>
      </c>
      <c r="D742" s="110" t="s">
        <v>1267</v>
      </c>
      <c r="E742" s="110"/>
      <c r="F742" s="110"/>
      <c r="G742" s="110" t="str">
        <f t="shared" si="11"/>
        <v>1</v>
      </c>
      <c r="H742" s="198"/>
      <c r="I742" s="192">
        <v>141.16871499999999</v>
      </c>
      <c r="J742" s="192">
        <v>40.58681</v>
      </c>
      <c r="K742" s="110"/>
      <c r="L742" s="110"/>
      <c r="M742" s="110"/>
      <c r="N742" s="110"/>
      <c r="O742" s="110"/>
      <c r="P742" s="109"/>
      <c r="Q742" s="109"/>
      <c r="R742" s="109"/>
      <c r="S742" s="110"/>
      <c r="T742" s="135"/>
    </row>
    <row r="743" spans="1:20" x14ac:dyDescent="0.2">
      <c r="A743" s="5">
        <v>742</v>
      </c>
      <c r="B743" s="110">
        <v>4101</v>
      </c>
      <c r="C743" s="110" t="s">
        <v>1268</v>
      </c>
      <c r="D743" s="110" t="s">
        <v>1269</v>
      </c>
      <c r="E743" s="110"/>
      <c r="F743" s="110"/>
      <c r="G743" s="110" t="str">
        <f t="shared" si="11"/>
        <v>1</v>
      </c>
      <c r="H743" s="198"/>
      <c r="I743" s="192">
        <v>141.15931399999999</v>
      </c>
      <c r="J743" s="192">
        <v>40.584648999999999</v>
      </c>
      <c r="K743" s="110"/>
      <c r="L743" s="110"/>
      <c r="M743" s="110"/>
      <c r="N743" s="110"/>
      <c r="O743" s="110"/>
      <c r="P743" s="109"/>
      <c r="Q743" s="109"/>
      <c r="R743" s="109"/>
      <c r="S743" s="110"/>
      <c r="T743" s="135"/>
    </row>
    <row r="744" spans="1:20" x14ac:dyDescent="0.2">
      <c r="A744" s="5">
        <v>743</v>
      </c>
      <c r="B744" s="110">
        <v>4111</v>
      </c>
      <c r="C744" s="110" t="s">
        <v>1270</v>
      </c>
      <c r="D744" s="192" t="s">
        <v>1271</v>
      </c>
      <c r="E744" s="110"/>
      <c r="F744" s="110"/>
      <c r="G744" s="110" t="str">
        <f t="shared" si="11"/>
        <v>1</v>
      </c>
      <c r="H744" s="198"/>
      <c r="I744" s="192">
        <v>141.15518800000001</v>
      </c>
      <c r="J744" s="192">
        <v>40.583300999999999</v>
      </c>
      <c r="K744" s="110"/>
      <c r="L744" s="110"/>
      <c r="M744" s="110"/>
      <c r="N744" s="110"/>
      <c r="O744" s="110"/>
      <c r="P744" s="109"/>
      <c r="Q744" s="109"/>
      <c r="R744" s="109"/>
      <c r="S744" s="110"/>
      <c r="T744" s="135"/>
    </row>
    <row r="745" spans="1:20" x14ac:dyDescent="0.2">
      <c r="A745" s="5">
        <v>744</v>
      </c>
      <c r="B745" s="110">
        <v>2593</v>
      </c>
      <c r="C745" s="110" t="s">
        <v>877</v>
      </c>
      <c r="D745" s="192" t="s">
        <v>1272</v>
      </c>
      <c r="E745" s="110"/>
      <c r="F745" s="110"/>
      <c r="G745" s="110" t="str">
        <f t="shared" si="11"/>
        <v>3</v>
      </c>
      <c r="H745" s="110"/>
      <c r="I745" s="110">
        <v>141.134547</v>
      </c>
      <c r="J745" s="110">
        <v>40.587712000000003</v>
      </c>
      <c r="K745" s="110"/>
      <c r="L745" s="110"/>
      <c r="M745" s="110"/>
      <c r="N745" s="110"/>
      <c r="O745" s="110"/>
      <c r="P745" s="109"/>
      <c r="Q745" s="109"/>
      <c r="R745" s="109"/>
      <c r="S745" s="110" t="s">
        <v>879</v>
      </c>
      <c r="T745" s="135"/>
    </row>
    <row r="746" spans="1:20" x14ac:dyDescent="0.2">
      <c r="A746" s="5">
        <v>745</v>
      </c>
      <c r="B746" s="110">
        <v>2594</v>
      </c>
      <c r="C746" s="110" t="s">
        <v>877</v>
      </c>
      <c r="D746" s="192" t="s">
        <v>1272</v>
      </c>
      <c r="E746" s="110"/>
      <c r="F746" s="110"/>
      <c r="G746" s="110" t="str">
        <f t="shared" si="11"/>
        <v>4</v>
      </c>
      <c r="H746" s="110"/>
      <c r="I746" s="110">
        <v>141.13437500000001</v>
      </c>
      <c r="J746" s="110">
        <v>40.587854999999998</v>
      </c>
      <c r="K746" s="110"/>
      <c r="L746" s="110"/>
      <c r="M746" s="110"/>
      <c r="N746" s="110"/>
      <c r="O746" s="110"/>
      <c r="P746" s="109"/>
      <c r="Q746" s="109"/>
      <c r="R746" s="109"/>
      <c r="S746" s="110" t="s">
        <v>879</v>
      </c>
      <c r="T746" s="135"/>
    </row>
    <row r="747" spans="1:20" x14ac:dyDescent="0.2">
      <c r="A747" s="5">
        <v>746</v>
      </c>
      <c r="B747" s="110">
        <v>4112</v>
      </c>
      <c r="C747" s="110" t="s">
        <v>1270</v>
      </c>
      <c r="D747" s="192" t="s">
        <v>1271</v>
      </c>
      <c r="E747" s="110"/>
      <c r="F747" s="110"/>
      <c r="G747" s="110" t="str">
        <f t="shared" si="11"/>
        <v>2</v>
      </c>
      <c r="H747" s="110"/>
      <c r="I747" s="110">
        <v>141.15506600000001</v>
      </c>
      <c r="J747" s="110">
        <v>40.583376999999999</v>
      </c>
      <c r="K747" s="110"/>
      <c r="L747" s="110"/>
      <c r="M747" s="110"/>
      <c r="N747" s="110"/>
      <c r="O747" s="110"/>
      <c r="P747" s="109"/>
      <c r="Q747" s="109"/>
      <c r="R747" s="109"/>
      <c r="S747" s="110"/>
      <c r="T747" s="135"/>
    </row>
    <row r="748" spans="1:20" x14ac:dyDescent="0.2">
      <c r="A748" s="5">
        <v>747</v>
      </c>
      <c r="B748" s="110">
        <v>4102</v>
      </c>
      <c r="C748" s="110" t="s">
        <v>1268</v>
      </c>
      <c r="D748" s="110" t="s">
        <v>1269</v>
      </c>
      <c r="E748" s="110"/>
      <c r="F748" s="110"/>
      <c r="G748" s="110" t="str">
        <f t="shared" si="11"/>
        <v>2</v>
      </c>
      <c r="H748" s="198"/>
      <c r="I748" s="192">
        <v>141.159336</v>
      </c>
      <c r="J748" s="192">
        <v>40.58475</v>
      </c>
      <c r="K748" s="110"/>
      <c r="L748" s="110"/>
      <c r="M748" s="110"/>
      <c r="N748" s="110"/>
      <c r="O748" s="110"/>
      <c r="P748" s="109"/>
      <c r="Q748" s="109"/>
      <c r="R748" s="109"/>
      <c r="S748" s="110"/>
      <c r="T748" s="135"/>
    </row>
    <row r="749" spans="1:20" x14ac:dyDescent="0.2">
      <c r="A749" s="5">
        <v>748</v>
      </c>
      <c r="B749" s="110">
        <v>4092</v>
      </c>
      <c r="C749" s="110" t="s">
        <v>1266</v>
      </c>
      <c r="D749" s="110" t="s">
        <v>1267</v>
      </c>
      <c r="E749" s="110"/>
      <c r="F749" s="110"/>
      <c r="G749" s="110" t="str">
        <f t="shared" si="11"/>
        <v>2</v>
      </c>
      <c r="H749" s="110"/>
      <c r="I749" s="110">
        <v>141.16867500000001</v>
      </c>
      <c r="J749" s="110">
        <v>40.586880000000001</v>
      </c>
      <c r="K749" s="110"/>
      <c r="L749" s="110"/>
      <c r="M749" s="110"/>
      <c r="N749" s="110"/>
      <c r="O749" s="110"/>
      <c r="P749" s="109"/>
      <c r="Q749" s="109"/>
      <c r="R749" s="109"/>
      <c r="S749" s="110"/>
      <c r="T749" s="135"/>
    </row>
    <row r="750" spans="1:20" x14ac:dyDescent="0.2">
      <c r="A750" s="5">
        <v>749</v>
      </c>
      <c r="B750" s="110">
        <v>4082</v>
      </c>
      <c r="C750" s="110" t="s">
        <v>1264</v>
      </c>
      <c r="D750" s="110" t="s">
        <v>1265</v>
      </c>
      <c r="E750" s="110"/>
      <c r="F750" s="110"/>
      <c r="G750" s="110" t="str">
        <f t="shared" si="11"/>
        <v>2</v>
      </c>
      <c r="H750" s="110"/>
      <c r="I750" s="110">
        <v>141.17494099999999</v>
      </c>
      <c r="J750" s="110">
        <v>40.589239999999997</v>
      </c>
      <c r="K750" s="110"/>
      <c r="L750" s="110"/>
      <c r="M750" s="110"/>
      <c r="N750" s="110"/>
      <c r="O750" s="110"/>
      <c r="P750" s="109"/>
      <c r="Q750" s="109"/>
      <c r="R750" s="109"/>
      <c r="S750" s="110"/>
      <c r="T750" s="135"/>
    </row>
    <row r="751" spans="1:20" x14ac:dyDescent="0.2">
      <c r="A751" s="5">
        <v>750</v>
      </c>
      <c r="B751" s="110">
        <v>4072</v>
      </c>
      <c r="C751" s="110" t="s">
        <v>1262</v>
      </c>
      <c r="D751" s="110" t="s">
        <v>1263</v>
      </c>
      <c r="E751" s="110"/>
      <c r="F751" s="110"/>
      <c r="G751" s="110" t="str">
        <f t="shared" si="11"/>
        <v>2</v>
      </c>
      <c r="H751" s="198"/>
      <c r="I751" s="192">
        <v>141.176208</v>
      </c>
      <c r="J751" s="192">
        <v>40.592604000000001</v>
      </c>
      <c r="K751" s="110"/>
      <c r="L751" s="110"/>
      <c r="M751" s="110"/>
      <c r="N751" s="110"/>
      <c r="O751" s="110"/>
      <c r="P751" s="109"/>
      <c r="Q751" s="109"/>
      <c r="R751" s="109"/>
      <c r="S751" s="110"/>
      <c r="T751" s="135"/>
    </row>
    <row r="752" spans="1:20" x14ac:dyDescent="0.2">
      <c r="A752" s="5">
        <v>751</v>
      </c>
      <c r="B752" s="110">
        <v>4062</v>
      </c>
      <c r="C752" s="110" t="s">
        <v>1260</v>
      </c>
      <c r="D752" s="192" t="s">
        <v>1261</v>
      </c>
      <c r="E752" s="110"/>
      <c r="F752" s="110"/>
      <c r="G752" s="110" t="str">
        <f t="shared" si="11"/>
        <v>2</v>
      </c>
      <c r="H752" s="198"/>
      <c r="I752" s="192">
        <v>141.17952099999999</v>
      </c>
      <c r="J752" s="192">
        <v>40.596532000000003</v>
      </c>
      <c r="K752" s="110"/>
      <c r="L752" s="110"/>
      <c r="M752" s="110"/>
      <c r="N752" s="110"/>
      <c r="O752" s="110"/>
      <c r="P752" s="109"/>
      <c r="Q752" s="109"/>
      <c r="R752" s="109"/>
      <c r="S752" s="110"/>
      <c r="T752" s="135"/>
    </row>
    <row r="753" spans="1:20" x14ac:dyDescent="0.2">
      <c r="A753" s="5">
        <v>752</v>
      </c>
      <c r="B753" s="110">
        <v>4052</v>
      </c>
      <c r="C753" s="110" t="s">
        <v>1258</v>
      </c>
      <c r="D753" s="192" t="s">
        <v>1259</v>
      </c>
      <c r="E753" s="110"/>
      <c r="F753" s="110"/>
      <c r="G753" s="110" t="str">
        <f t="shared" si="11"/>
        <v>2</v>
      </c>
      <c r="H753" s="110"/>
      <c r="I753" s="110">
        <v>141.18344300000001</v>
      </c>
      <c r="J753" s="110">
        <v>40.596144000000002</v>
      </c>
      <c r="K753" s="110"/>
      <c r="L753" s="110"/>
      <c r="M753" s="110"/>
      <c r="N753" s="110"/>
      <c r="O753" s="110"/>
      <c r="P753" s="109"/>
      <c r="Q753" s="109"/>
      <c r="R753" s="109"/>
      <c r="S753" s="110"/>
      <c r="T753" s="135"/>
    </row>
    <row r="754" spans="1:20" x14ac:dyDescent="0.2">
      <c r="A754" s="5">
        <v>753</v>
      </c>
      <c r="B754" s="110">
        <v>4042</v>
      </c>
      <c r="C754" s="110" t="s">
        <v>1256</v>
      </c>
      <c r="D754" s="110" t="s">
        <v>1257</v>
      </c>
      <c r="E754" s="110"/>
      <c r="F754" s="110"/>
      <c r="G754" s="110" t="str">
        <f t="shared" si="11"/>
        <v>2</v>
      </c>
      <c r="H754" s="110"/>
      <c r="I754" s="110">
        <v>141.18815900000001</v>
      </c>
      <c r="J754" s="110">
        <v>40.594065000000001</v>
      </c>
      <c r="K754" s="110"/>
      <c r="L754" s="110"/>
      <c r="M754" s="110"/>
      <c r="N754" s="110"/>
      <c r="O754" s="110"/>
      <c r="P754" s="109"/>
      <c r="Q754" s="109"/>
      <c r="R754" s="109"/>
      <c r="S754" s="110"/>
      <c r="T754" s="135"/>
    </row>
    <row r="755" spans="1:20" x14ac:dyDescent="0.2">
      <c r="A755" s="5">
        <v>754</v>
      </c>
      <c r="B755" s="110">
        <v>4032</v>
      </c>
      <c r="C755" s="110" t="s">
        <v>1254</v>
      </c>
      <c r="D755" s="110" t="s">
        <v>1255</v>
      </c>
      <c r="E755" s="110"/>
      <c r="F755" s="110"/>
      <c r="G755" s="110" t="str">
        <f t="shared" si="11"/>
        <v>2</v>
      </c>
      <c r="H755" s="110"/>
      <c r="I755" s="110">
        <v>141.203394</v>
      </c>
      <c r="J755" s="110">
        <v>40.598070999999997</v>
      </c>
      <c r="K755" s="110"/>
      <c r="L755" s="110"/>
      <c r="M755" s="110"/>
      <c r="N755" s="110"/>
      <c r="O755" s="110"/>
      <c r="P755" s="109"/>
      <c r="Q755" s="109"/>
      <c r="R755" s="109"/>
      <c r="S755" s="110"/>
      <c r="T755" s="135"/>
    </row>
    <row r="756" spans="1:20" x14ac:dyDescent="0.2">
      <c r="A756" s="5">
        <v>755</v>
      </c>
      <c r="B756" s="110">
        <v>1714</v>
      </c>
      <c r="C756" s="110" t="s">
        <v>611</v>
      </c>
      <c r="D756" s="110" t="s">
        <v>612</v>
      </c>
      <c r="E756" s="110"/>
      <c r="F756" s="110"/>
      <c r="G756" s="110" t="str">
        <f t="shared" si="11"/>
        <v>4</v>
      </c>
      <c r="H756" s="110"/>
      <c r="I756" s="110">
        <v>141.15744699999999</v>
      </c>
      <c r="J756" s="110">
        <v>40.745885000000001</v>
      </c>
      <c r="K756" s="110"/>
      <c r="L756" s="110"/>
      <c r="M756" s="110"/>
      <c r="N756" s="110"/>
      <c r="O756" s="110"/>
      <c r="P756" s="109"/>
      <c r="Q756" s="109"/>
      <c r="R756" s="109"/>
      <c r="S756" s="110" t="s">
        <v>613</v>
      </c>
      <c r="T756" s="135"/>
    </row>
    <row r="757" spans="1:20" x14ac:dyDescent="0.2">
      <c r="A757" s="5">
        <v>756</v>
      </c>
      <c r="B757" s="110">
        <v>3102</v>
      </c>
      <c r="C757" s="110" t="s">
        <v>1033</v>
      </c>
      <c r="D757" s="110" t="s">
        <v>1273</v>
      </c>
      <c r="E757" s="110"/>
      <c r="F757" s="110"/>
      <c r="G757" s="110" t="str">
        <f t="shared" si="11"/>
        <v>2</v>
      </c>
      <c r="H757" s="110"/>
      <c r="I757" s="110">
        <v>141.162227</v>
      </c>
      <c r="J757" s="110">
        <v>40.746304000000002</v>
      </c>
      <c r="K757" s="110"/>
      <c r="L757" s="110"/>
      <c r="M757" s="110"/>
      <c r="N757" s="110"/>
      <c r="O757" s="110"/>
      <c r="P757" s="109"/>
      <c r="Q757" s="109"/>
      <c r="R757" s="109"/>
      <c r="S757" s="110" t="s">
        <v>1035</v>
      </c>
      <c r="T757" s="135"/>
    </row>
    <row r="758" spans="1:20" x14ac:dyDescent="0.2">
      <c r="A758" s="5">
        <v>757</v>
      </c>
      <c r="B758" s="110">
        <v>3092</v>
      </c>
      <c r="C758" s="110" t="s">
        <v>1030</v>
      </c>
      <c r="D758" s="110" t="s">
        <v>1031</v>
      </c>
      <c r="E758" s="110"/>
      <c r="F758" s="110"/>
      <c r="G758" s="110" t="str">
        <f t="shared" si="11"/>
        <v>2</v>
      </c>
      <c r="H758" s="110"/>
      <c r="I758" s="110">
        <v>141.163724</v>
      </c>
      <c r="J758" s="110">
        <v>40.742991000000004</v>
      </c>
      <c r="K758" s="110"/>
      <c r="L758" s="110"/>
      <c r="M758" s="110"/>
      <c r="N758" s="110"/>
      <c r="O758" s="110"/>
      <c r="P758" s="109"/>
      <c r="Q758" s="109"/>
      <c r="R758" s="109"/>
      <c r="S758" s="110" t="s">
        <v>1032</v>
      </c>
      <c r="T758" s="135"/>
    </row>
    <row r="759" spans="1:20" x14ac:dyDescent="0.2">
      <c r="A759" s="5">
        <v>758</v>
      </c>
      <c r="B759" s="110">
        <v>3082</v>
      </c>
      <c r="C759" s="110" t="s">
        <v>1027</v>
      </c>
      <c r="D759" s="192" t="s">
        <v>1028</v>
      </c>
      <c r="E759" s="110"/>
      <c r="F759" s="110"/>
      <c r="G759" s="110" t="str">
        <f t="shared" si="11"/>
        <v>2</v>
      </c>
      <c r="H759" s="110"/>
      <c r="I759" s="110">
        <v>141.16858099999999</v>
      </c>
      <c r="J759" s="110">
        <v>40.742204999999998</v>
      </c>
      <c r="K759" s="110"/>
      <c r="L759" s="110"/>
      <c r="M759" s="110"/>
      <c r="N759" s="110"/>
      <c r="O759" s="110"/>
      <c r="P759" s="109"/>
      <c r="Q759" s="109"/>
      <c r="R759" s="109"/>
      <c r="S759" s="110" t="s">
        <v>1029</v>
      </c>
      <c r="T759" s="135"/>
    </row>
    <row r="760" spans="1:20" x14ac:dyDescent="0.2">
      <c r="A760" s="5">
        <v>759</v>
      </c>
      <c r="B760" s="110">
        <v>3072</v>
      </c>
      <c r="C760" s="110" t="s">
        <v>1024</v>
      </c>
      <c r="D760" s="110" t="s">
        <v>1025</v>
      </c>
      <c r="E760" s="110"/>
      <c r="F760" s="110"/>
      <c r="G760" s="110" t="str">
        <f t="shared" si="11"/>
        <v>2</v>
      </c>
      <c r="H760" s="110"/>
      <c r="I760" s="110">
        <v>141.17117500000001</v>
      </c>
      <c r="J760" s="110">
        <v>40.741771999999997</v>
      </c>
      <c r="K760" s="110"/>
      <c r="L760" s="110"/>
      <c r="M760" s="110"/>
      <c r="N760" s="110"/>
      <c r="O760" s="110"/>
      <c r="P760" s="109"/>
      <c r="Q760" s="109"/>
      <c r="R760" s="109"/>
      <c r="S760" s="110" t="s">
        <v>1026</v>
      </c>
      <c r="T760" s="135"/>
    </row>
    <row r="761" spans="1:20" x14ac:dyDescent="0.2">
      <c r="A761" s="5">
        <v>760</v>
      </c>
      <c r="B761" s="110">
        <v>3062</v>
      </c>
      <c r="C761" s="110" t="s">
        <v>1021</v>
      </c>
      <c r="D761" s="110" t="s">
        <v>1022</v>
      </c>
      <c r="E761" s="110"/>
      <c r="F761" s="110"/>
      <c r="G761" s="110" t="str">
        <f t="shared" si="11"/>
        <v>2</v>
      </c>
      <c r="H761" s="110"/>
      <c r="I761" s="110">
        <v>141.175434</v>
      </c>
      <c r="J761" s="110">
        <v>40.747407000000003</v>
      </c>
      <c r="K761" s="110"/>
      <c r="L761" s="110"/>
      <c r="M761" s="110"/>
      <c r="N761" s="110"/>
      <c r="O761" s="110"/>
      <c r="P761" s="109"/>
      <c r="Q761" s="109"/>
      <c r="R761" s="109"/>
      <c r="S761" s="110" t="s">
        <v>1023</v>
      </c>
      <c r="T761" s="135"/>
    </row>
    <row r="762" spans="1:20" x14ac:dyDescent="0.2">
      <c r="A762" s="5">
        <v>761</v>
      </c>
      <c r="B762" s="110">
        <v>3052</v>
      </c>
      <c r="C762" s="110" t="s">
        <v>1018</v>
      </c>
      <c r="D762" s="110" t="s">
        <v>1019</v>
      </c>
      <c r="E762" s="110"/>
      <c r="F762" s="110"/>
      <c r="G762" s="110" t="str">
        <f t="shared" si="11"/>
        <v>2</v>
      </c>
      <c r="H762" s="110"/>
      <c r="I762" s="110">
        <v>141.178481</v>
      </c>
      <c r="J762" s="110">
        <v>40.747045</v>
      </c>
      <c r="K762" s="110"/>
      <c r="L762" s="110"/>
      <c r="M762" s="110"/>
      <c r="N762" s="110"/>
      <c r="O762" s="110"/>
      <c r="P762" s="109"/>
      <c r="Q762" s="109"/>
      <c r="R762" s="109"/>
      <c r="S762" s="110" t="s">
        <v>1020</v>
      </c>
      <c r="T762" s="135"/>
    </row>
    <row r="763" spans="1:20" x14ac:dyDescent="0.2">
      <c r="A763" s="5">
        <v>762</v>
      </c>
      <c r="B763" s="110">
        <v>3042</v>
      </c>
      <c r="C763" s="110" t="s">
        <v>1015</v>
      </c>
      <c r="D763" s="110" t="s">
        <v>1016</v>
      </c>
      <c r="E763" s="110"/>
      <c r="F763" s="110"/>
      <c r="G763" s="110" t="str">
        <f t="shared" si="11"/>
        <v>2</v>
      </c>
      <c r="H763" s="110"/>
      <c r="I763" s="110">
        <v>141.18078299999999</v>
      </c>
      <c r="J763" s="110">
        <v>40.747971</v>
      </c>
      <c r="K763" s="110"/>
      <c r="L763" s="110"/>
      <c r="M763" s="110"/>
      <c r="N763" s="110"/>
      <c r="O763" s="110"/>
      <c r="P763" s="109"/>
      <c r="Q763" s="109"/>
      <c r="R763" s="109"/>
      <c r="S763" s="110" t="s">
        <v>1017</v>
      </c>
      <c r="T763" s="135"/>
    </row>
    <row r="764" spans="1:20" x14ac:dyDescent="0.2">
      <c r="A764" s="5">
        <v>763</v>
      </c>
      <c r="B764" s="110">
        <v>3032</v>
      </c>
      <c r="C764" s="110" t="s">
        <v>1012</v>
      </c>
      <c r="D764" s="110" t="s">
        <v>1013</v>
      </c>
      <c r="E764" s="110"/>
      <c r="F764" s="110"/>
      <c r="G764" s="110" t="str">
        <f t="shared" si="11"/>
        <v>2</v>
      </c>
      <c r="H764" s="110"/>
      <c r="I764" s="110">
        <v>141.183717</v>
      </c>
      <c r="J764" s="110">
        <v>40.753397999999997</v>
      </c>
      <c r="K764" s="110"/>
      <c r="L764" s="110"/>
      <c r="M764" s="110"/>
      <c r="N764" s="110"/>
      <c r="O764" s="110"/>
      <c r="P764" s="109"/>
      <c r="Q764" s="109"/>
      <c r="R764" s="109"/>
      <c r="S764" s="110" t="s">
        <v>1014</v>
      </c>
      <c r="T764" s="135"/>
    </row>
    <row r="765" spans="1:20" x14ac:dyDescent="0.2">
      <c r="A765" s="5">
        <v>764</v>
      </c>
      <c r="B765" s="110">
        <v>3022</v>
      </c>
      <c r="C765" s="110" t="s">
        <v>1009</v>
      </c>
      <c r="D765" s="110" t="s">
        <v>1010</v>
      </c>
      <c r="E765" s="110"/>
      <c r="F765" s="110"/>
      <c r="G765" s="110" t="str">
        <f t="shared" si="11"/>
        <v>2</v>
      </c>
      <c r="H765" s="110"/>
      <c r="I765" s="110">
        <v>141.18318600000001</v>
      </c>
      <c r="J765" s="110">
        <v>40.756546</v>
      </c>
      <c r="K765" s="110"/>
      <c r="L765" s="110"/>
      <c r="M765" s="110"/>
      <c r="N765" s="110"/>
      <c r="O765" s="110"/>
      <c r="P765" s="109"/>
      <c r="Q765" s="109"/>
      <c r="R765" s="109"/>
      <c r="S765" s="110" t="s">
        <v>1011</v>
      </c>
      <c r="T765" s="135"/>
    </row>
    <row r="766" spans="1:20" x14ac:dyDescent="0.2">
      <c r="A766" s="5">
        <v>765</v>
      </c>
      <c r="B766" s="110">
        <v>3012</v>
      </c>
      <c r="C766" s="110" t="s">
        <v>1006</v>
      </c>
      <c r="D766" s="110" t="s">
        <v>1274</v>
      </c>
      <c r="E766" s="110"/>
      <c r="F766" s="110"/>
      <c r="G766" s="110" t="str">
        <f t="shared" si="11"/>
        <v>2</v>
      </c>
      <c r="H766" s="110"/>
      <c r="I766" s="110">
        <v>141.182424</v>
      </c>
      <c r="J766" s="110">
        <v>40.760396999999998</v>
      </c>
      <c r="K766" s="110"/>
      <c r="L766" s="110"/>
      <c r="M766" s="110"/>
      <c r="N766" s="110"/>
      <c r="O766" s="110"/>
      <c r="P766" s="109"/>
      <c r="Q766" s="109"/>
      <c r="R766" s="109"/>
      <c r="S766" s="110" t="s">
        <v>1008</v>
      </c>
      <c r="T766" s="135"/>
    </row>
    <row r="767" spans="1:20" x14ac:dyDescent="0.2">
      <c r="A767" s="5">
        <v>766</v>
      </c>
      <c r="B767" s="110">
        <v>3002</v>
      </c>
      <c r="C767" s="110" t="s">
        <v>1003</v>
      </c>
      <c r="D767" s="110" t="s">
        <v>1004</v>
      </c>
      <c r="E767" s="110"/>
      <c r="F767" s="110"/>
      <c r="G767" s="110" t="str">
        <f t="shared" si="11"/>
        <v>2</v>
      </c>
      <c r="H767" s="110"/>
      <c r="I767" s="110">
        <v>141.18516</v>
      </c>
      <c r="J767" s="110">
        <v>40.761254000000001</v>
      </c>
      <c r="K767" s="110"/>
      <c r="L767" s="110"/>
      <c r="M767" s="110"/>
      <c r="N767" s="110"/>
      <c r="O767" s="110"/>
      <c r="P767" s="109"/>
      <c r="Q767" s="109"/>
      <c r="R767" s="109"/>
      <c r="S767" s="110" t="s">
        <v>1005</v>
      </c>
      <c r="T767" s="135"/>
    </row>
    <row r="768" spans="1:20" x14ac:dyDescent="0.2">
      <c r="A768" s="5">
        <v>767</v>
      </c>
      <c r="B768" s="110">
        <v>2992</v>
      </c>
      <c r="C768" s="110" t="s">
        <v>1000</v>
      </c>
      <c r="D768" s="110" t="s">
        <v>1001</v>
      </c>
      <c r="E768" s="110"/>
      <c r="F768" s="110"/>
      <c r="G768" s="110" t="str">
        <f t="shared" si="11"/>
        <v>2</v>
      </c>
      <c r="H768" s="110"/>
      <c r="I768" s="110">
        <v>141.19387699999999</v>
      </c>
      <c r="J768" s="110">
        <v>40.769263000000002</v>
      </c>
      <c r="K768" s="110"/>
      <c r="L768" s="110"/>
      <c r="M768" s="110"/>
      <c r="N768" s="110"/>
      <c r="O768" s="110"/>
      <c r="P768" s="109"/>
      <c r="Q768" s="109"/>
      <c r="R768" s="109"/>
      <c r="S768" s="110" t="s">
        <v>1002</v>
      </c>
      <c r="T768" s="135"/>
    </row>
    <row r="769" spans="1:20" x14ac:dyDescent="0.2">
      <c r="A769" s="5">
        <v>768</v>
      </c>
      <c r="B769" s="110">
        <v>2982</v>
      </c>
      <c r="C769" s="110" t="s">
        <v>997</v>
      </c>
      <c r="D769" s="192" t="s">
        <v>1275</v>
      </c>
      <c r="E769" s="110"/>
      <c r="F769" s="110"/>
      <c r="G769" s="110" t="str">
        <f t="shared" si="11"/>
        <v>2</v>
      </c>
      <c r="H769" s="110"/>
      <c r="I769" s="110">
        <v>141.20361399999999</v>
      </c>
      <c r="J769" s="110">
        <v>40.772224999999999</v>
      </c>
      <c r="K769" s="110"/>
      <c r="L769" s="110"/>
      <c r="M769" s="110"/>
      <c r="N769" s="110"/>
      <c r="O769" s="110"/>
      <c r="P769" s="109"/>
      <c r="Q769" s="109"/>
      <c r="R769" s="109"/>
      <c r="S769" s="110" t="s">
        <v>999</v>
      </c>
      <c r="T769" s="135"/>
    </row>
    <row r="770" spans="1:20" x14ac:dyDescent="0.2">
      <c r="A770" s="5">
        <v>769</v>
      </c>
      <c r="B770" s="110">
        <v>2972</v>
      </c>
      <c r="C770" s="110" t="s">
        <v>994</v>
      </c>
      <c r="D770" s="110" t="s">
        <v>995</v>
      </c>
      <c r="E770" s="110"/>
      <c r="F770" s="110"/>
      <c r="G770" s="110" t="str">
        <f t="shared" si="11"/>
        <v>2</v>
      </c>
      <c r="H770" s="110"/>
      <c r="I770" s="110">
        <v>141.21028699999999</v>
      </c>
      <c r="J770" s="110">
        <v>40.777797999999997</v>
      </c>
      <c r="K770" s="110"/>
      <c r="L770" s="110"/>
      <c r="M770" s="110"/>
      <c r="N770" s="110"/>
      <c r="O770" s="110"/>
      <c r="P770" s="109"/>
      <c r="Q770" s="109"/>
      <c r="R770" s="109"/>
      <c r="S770" s="110" t="s">
        <v>996</v>
      </c>
      <c r="T770" s="135"/>
    </row>
    <row r="771" spans="1:20" x14ac:dyDescent="0.2">
      <c r="A771" s="5">
        <v>770</v>
      </c>
      <c r="B771" s="110">
        <v>2962</v>
      </c>
      <c r="C771" s="110" t="s">
        <v>991</v>
      </c>
      <c r="D771" s="110" t="s">
        <v>992</v>
      </c>
      <c r="E771" s="110"/>
      <c r="F771" s="110"/>
      <c r="G771" s="110" t="str">
        <f t="shared" si="11"/>
        <v>2</v>
      </c>
      <c r="H771" s="110"/>
      <c r="I771" s="110">
        <v>141.21279799999999</v>
      </c>
      <c r="J771" s="110">
        <v>40.780133999999997</v>
      </c>
      <c r="K771" s="110"/>
      <c r="L771" s="110"/>
      <c r="M771" s="110"/>
      <c r="N771" s="110"/>
      <c r="O771" s="110"/>
      <c r="P771" s="109"/>
      <c r="Q771" s="109"/>
      <c r="R771" s="109"/>
      <c r="S771" s="110" t="s">
        <v>993</v>
      </c>
      <c r="T771" s="135"/>
    </row>
    <row r="772" spans="1:20" x14ac:dyDescent="0.2">
      <c r="A772" s="5">
        <v>771</v>
      </c>
      <c r="B772" s="110">
        <v>4121</v>
      </c>
      <c r="C772" s="110" t="s">
        <v>1276</v>
      </c>
      <c r="D772" s="110" t="s">
        <v>1277</v>
      </c>
      <c r="E772" s="110"/>
      <c r="F772" s="110"/>
      <c r="G772" s="110" t="str">
        <f t="shared" si="11"/>
        <v>1</v>
      </c>
      <c r="H772" s="110"/>
      <c r="I772" s="110">
        <v>141.21627899999999</v>
      </c>
      <c r="J772" s="110">
        <v>40.779888</v>
      </c>
      <c r="K772" s="110"/>
      <c r="L772" s="110"/>
      <c r="M772" s="110"/>
      <c r="N772" s="110"/>
      <c r="O772" s="110"/>
      <c r="P772" s="109"/>
      <c r="Q772" s="109"/>
      <c r="R772" s="109"/>
      <c r="S772" s="110" t="s">
        <v>1278</v>
      </c>
      <c r="T772" s="135"/>
    </row>
    <row r="773" spans="1:20" x14ac:dyDescent="0.2">
      <c r="A773" s="5">
        <v>772</v>
      </c>
      <c r="B773" s="110">
        <v>4131</v>
      </c>
      <c r="C773" s="110" t="s">
        <v>1279</v>
      </c>
      <c r="D773" s="192" t="s">
        <v>1280</v>
      </c>
      <c r="E773" s="110"/>
      <c r="F773" s="110"/>
      <c r="G773" s="110" t="str">
        <f t="shared" ref="G773:G836" si="12">RIGHT(B773,1)</f>
        <v>1</v>
      </c>
      <c r="H773" s="110"/>
      <c r="I773" s="110">
        <v>141.21521200000001</v>
      </c>
      <c r="J773" s="110">
        <v>40.777126000000003</v>
      </c>
      <c r="K773" s="110"/>
      <c r="L773" s="110"/>
      <c r="M773" s="110"/>
      <c r="N773" s="110"/>
      <c r="O773" s="110"/>
      <c r="P773" s="109"/>
      <c r="Q773" s="109"/>
      <c r="R773" s="109"/>
      <c r="S773" s="110" t="s">
        <v>1281</v>
      </c>
      <c r="T773" s="135"/>
    </row>
    <row r="774" spans="1:20" x14ac:dyDescent="0.2">
      <c r="A774" s="5">
        <v>773</v>
      </c>
      <c r="B774" s="110">
        <v>4141</v>
      </c>
      <c r="C774" s="110" t="s">
        <v>1282</v>
      </c>
      <c r="D774" s="110" t="s">
        <v>1283</v>
      </c>
      <c r="E774" s="110"/>
      <c r="F774" s="110"/>
      <c r="G774" s="110" t="str">
        <f t="shared" si="12"/>
        <v>1</v>
      </c>
      <c r="H774" s="110"/>
      <c r="I774" s="110">
        <v>141.217668</v>
      </c>
      <c r="J774" s="110">
        <v>40.778872</v>
      </c>
      <c r="K774" s="110"/>
      <c r="L774" s="110"/>
      <c r="M774" s="110"/>
      <c r="N774" s="110"/>
      <c r="O774" s="110"/>
      <c r="P774" s="109"/>
      <c r="Q774" s="109"/>
      <c r="R774" s="109"/>
      <c r="S774" s="110" t="s">
        <v>1284</v>
      </c>
      <c r="T774" s="135"/>
    </row>
    <row r="775" spans="1:20" x14ac:dyDescent="0.2">
      <c r="A775" s="5">
        <v>774</v>
      </c>
      <c r="B775" s="110">
        <v>4151</v>
      </c>
      <c r="C775" s="110" t="s">
        <v>1285</v>
      </c>
      <c r="D775" s="110" t="s">
        <v>1286</v>
      </c>
      <c r="E775" s="110"/>
      <c r="F775" s="110"/>
      <c r="G775" s="110" t="str">
        <f t="shared" si="12"/>
        <v>1</v>
      </c>
      <c r="H775" s="110"/>
      <c r="I775" s="110">
        <v>141.22492700000001</v>
      </c>
      <c r="J775" s="110">
        <v>40.781087999999997</v>
      </c>
      <c r="K775" s="110"/>
      <c r="L775" s="110"/>
      <c r="M775" s="110"/>
      <c r="N775" s="110"/>
      <c r="O775" s="110"/>
      <c r="P775" s="109"/>
      <c r="Q775" s="109"/>
      <c r="R775" s="109"/>
      <c r="S775" s="110" t="s">
        <v>1287</v>
      </c>
      <c r="T775" s="135"/>
    </row>
    <row r="776" spans="1:20" x14ac:dyDescent="0.2">
      <c r="A776" s="5">
        <v>775</v>
      </c>
      <c r="B776" s="110">
        <v>4161</v>
      </c>
      <c r="C776" s="110" t="s">
        <v>1288</v>
      </c>
      <c r="D776" s="110" t="s">
        <v>1289</v>
      </c>
      <c r="E776" s="110"/>
      <c r="F776" s="110"/>
      <c r="G776" s="110" t="str">
        <f t="shared" si="12"/>
        <v>1</v>
      </c>
      <c r="H776" s="110"/>
      <c r="I776" s="110">
        <v>141.22674499999999</v>
      </c>
      <c r="J776" s="110">
        <v>40.782001999999999</v>
      </c>
      <c r="K776" s="110"/>
      <c r="L776" s="110"/>
      <c r="M776" s="110"/>
      <c r="N776" s="110"/>
      <c r="O776" s="110"/>
      <c r="P776" s="109"/>
      <c r="Q776" s="109"/>
      <c r="R776" s="109"/>
      <c r="S776" s="110" t="s">
        <v>1290</v>
      </c>
      <c r="T776" s="135"/>
    </row>
    <row r="777" spans="1:20" x14ac:dyDescent="0.2">
      <c r="A777" s="5">
        <v>776</v>
      </c>
      <c r="B777" s="110">
        <v>4171</v>
      </c>
      <c r="C777" s="110" t="s">
        <v>1291</v>
      </c>
      <c r="D777" s="192" t="s">
        <v>1292</v>
      </c>
      <c r="E777" s="110"/>
      <c r="F777" s="110"/>
      <c r="G777" s="110" t="str">
        <f t="shared" si="12"/>
        <v>1</v>
      </c>
      <c r="H777" s="110"/>
      <c r="I777" s="110">
        <v>141.235232</v>
      </c>
      <c r="J777" s="110">
        <v>40.780059000000001</v>
      </c>
      <c r="K777" s="110"/>
      <c r="L777" s="110"/>
      <c r="M777" s="110"/>
      <c r="N777" s="110"/>
      <c r="O777" s="110"/>
      <c r="P777" s="109"/>
      <c r="Q777" s="109"/>
      <c r="R777" s="109"/>
      <c r="S777" s="110" t="s">
        <v>1293</v>
      </c>
      <c r="T777" s="135"/>
    </row>
    <row r="778" spans="1:20" x14ac:dyDescent="0.2">
      <c r="A778" s="5">
        <v>777</v>
      </c>
      <c r="B778" s="110">
        <v>4181</v>
      </c>
      <c r="C778" s="110" t="s">
        <v>1294</v>
      </c>
      <c r="D778" s="110" t="s">
        <v>1295</v>
      </c>
      <c r="E778" s="110"/>
      <c r="F778" s="110"/>
      <c r="G778" s="110" t="str">
        <f t="shared" si="12"/>
        <v>1</v>
      </c>
      <c r="H778" s="110"/>
      <c r="I778" s="110">
        <v>141.238348</v>
      </c>
      <c r="J778" s="110">
        <v>40.779507000000002</v>
      </c>
      <c r="K778" s="110"/>
      <c r="L778" s="110"/>
      <c r="M778" s="110"/>
      <c r="N778" s="110"/>
      <c r="O778" s="110"/>
      <c r="P778" s="109"/>
      <c r="Q778" s="109"/>
      <c r="R778" s="109"/>
      <c r="S778" s="110" t="s">
        <v>1296</v>
      </c>
      <c r="T778" s="135"/>
    </row>
    <row r="779" spans="1:20" x14ac:dyDescent="0.2">
      <c r="A779" s="5">
        <v>778</v>
      </c>
      <c r="B779" s="110">
        <v>4191</v>
      </c>
      <c r="C779" s="110" t="s">
        <v>1297</v>
      </c>
      <c r="D779" s="110" t="s">
        <v>1298</v>
      </c>
      <c r="E779" s="110"/>
      <c r="F779" s="110"/>
      <c r="G779" s="110" t="str">
        <f t="shared" si="12"/>
        <v>1</v>
      </c>
      <c r="H779" s="110"/>
      <c r="I779" s="110">
        <v>141.25012899999999</v>
      </c>
      <c r="J779" s="110">
        <v>40.779226000000001</v>
      </c>
      <c r="K779" s="110"/>
      <c r="L779" s="110"/>
      <c r="M779" s="110"/>
      <c r="N779" s="110"/>
      <c r="O779" s="110"/>
      <c r="P779" s="109"/>
      <c r="Q779" s="109"/>
      <c r="R779" s="109"/>
      <c r="S779" s="110" t="s">
        <v>1299</v>
      </c>
      <c r="T779" s="135"/>
    </row>
    <row r="780" spans="1:20" x14ac:dyDescent="0.2">
      <c r="A780" s="5">
        <v>779</v>
      </c>
      <c r="B780" s="110">
        <v>4201</v>
      </c>
      <c r="C780" s="110" t="s">
        <v>1300</v>
      </c>
      <c r="D780" s="110" t="s">
        <v>1301</v>
      </c>
      <c r="E780" s="110"/>
      <c r="F780" s="110"/>
      <c r="G780" s="110" t="str">
        <f t="shared" si="12"/>
        <v>1</v>
      </c>
      <c r="H780" s="110"/>
      <c r="I780" s="110">
        <v>141.27489299999999</v>
      </c>
      <c r="J780" s="110">
        <v>40.776848999999999</v>
      </c>
      <c r="K780" s="110"/>
      <c r="L780" s="110"/>
      <c r="M780" s="110"/>
      <c r="N780" s="110"/>
      <c r="O780" s="110"/>
      <c r="P780" s="109"/>
      <c r="Q780" s="109"/>
      <c r="R780" s="109"/>
      <c r="S780" s="110" t="s">
        <v>1302</v>
      </c>
      <c r="T780" s="135"/>
    </row>
    <row r="781" spans="1:20" x14ac:dyDescent="0.2">
      <c r="A781" s="5">
        <v>780</v>
      </c>
      <c r="B781" s="110">
        <v>3663</v>
      </c>
      <c r="C781" s="110" t="s">
        <v>1169</v>
      </c>
      <c r="D781" s="110" t="s">
        <v>1170</v>
      </c>
      <c r="E781" s="110"/>
      <c r="F781" s="110"/>
      <c r="G781" s="110" t="str">
        <f t="shared" si="12"/>
        <v>3</v>
      </c>
      <c r="H781" s="110"/>
      <c r="I781" s="110">
        <v>141.27750900000001</v>
      </c>
      <c r="J781" s="110">
        <v>40.775858999999997</v>
      </c>
      <c r="K781" s="110"/>
      <c r="L781" s="110"/>
      <c r="M781" s="110"/>
      <c r="N781" s="110"/>
      <c r="O781" s="110"/>
      <c r="P781" s="109"/>
      <c r="Q781" s="109"/>
      <c r="R781" s="109"/>
      <c r="S781" s="110" t="s">
        <v>1171</v>
      </c>
      <c r="T781" s="135"/>
    </row>
    <row r="782" spans="1:20" x14ac:dyDescent="0.2">
      <c r="A782" s="5">
        <v>781</v>
      </c>
      <c r="B782" s="110">
        <v>3664</v>
      </c>
      <c r="C782" s="110" t="s">
        <v>1169</v>
      </c>
      <c r="D782" s="110" t="s">
        <v>1170</v>
      </c>
      <c r="E782" s="110"/>
      <c r="F782" s="110"/>
      <c r="G782" s="110" t="str">
        <f t="shared" si="12"/>
        <v>4</v>
      </c>
      <c r="H782" s="110"/>
      <c r="I782" s="110">
        <v>141.27748199999999</v>
      </c>
      <c r="J782" s="110">
        <v>40.775770000000001</v>
      </c>
      <c r="K782" s="110"/>
      <c r="L782" s="110"/>
      <c r="M782" s="110"/>
      <c r="N782" s="110"/>
      <c r="O782" s="110"/>
      <c r="P782" s="109"/>
      <c r="Q782" s="109"/>
      <c r="R782" s="109"/>
      <c r="S782" s="110" t="s">
        <v>1171</v>
      </c>
      <c r="T782" s="135"/>
    </row>
    <row r="783" spans="1:20" x14ac:dyDescent="0.2">
      <c r="A783" s="5">
        <v>782</v>
      </c>
      <c r="B783" s="110">
        <v>4202</v>
      </c>
      <c r="C783" s="110" t="s">
        <v>1300</v>
      </c>
      <c r="D783" s="110" t="s">
        <v>1301</v>
      </c>
      <c r="E783" s="110"/>
      <c r="F783" s="110"/>
      <c r="G783" s="110" t="str">
        <f t="shared" si="12"/>
        <v>2</v>
      </c>
      <c r="H783" s="110"/>
      <c r="I783" s="110">
        <v>141.274958</v>
      </c>
      <c r="J783" s="110">
        <v>40.776752000000002</v>
      </c>
      <c r="K783" s="110"/>
      <c r="L783" s="110"/>
      <c r="M783" s="110"/>
      <c r="N783" s="110"/>
      <c r="O783" s="110"/>
      <c r="P783" s="109"/>
      <c r="Q783" s="109"/>
      <c r="R783" s="109"/>
      <c r="S783" s="110" t="s">
        <v>1302</v>
      </c>
      <c r="T783" s="135"/>
    </row>
    <row r="784" spans="1:20" x14ac:dyDescent="0.2">
      <c r="A784" s="5">
        <v>783</v>
      </c>
      <c r="B784" s="110">
        <v>4192</v>
      </c>
      <c r="C784" s="110" t="s">
        <v>1297</v>
      </c>
      <c r="D784" s="192" t="s">
        <v>1303</v>
      </c>
      <c r="E784" s="110"/>
      <c r="F784" s="110"/>
      <c r="G784" s="110" t="str">
        <f t="shared" si="12"/>
        <v>2</v>
      </c>
      <c r="H784" s="110"/>
      <c r="I784" s="110">
        <v>141.25012899999999</v>
      </c>
      <c r="J784" s="110">
        <v>40.779119999999999</v>
      </c>
      <c r="K784" s="110"/>
      <c r="L784" s="110"/>
      <c r="M784" s="110"/>
      <c r="N784" s="110"/>
      <c r="O784" s="110"/>
      <c r="P784" s="109"/>
      <c r="Q784" s="109"/>
      <c r="R784" s="109"/>
      <c r="S784" s="110" t="s">
        <v>1299</v>
      </c>
      <c r="T784" s="135"/>
    </row>
    <row r="785" spans="1:20" x14ac:dyDescent="0.2">
      <c r="A785" s="5">
        <v>784</v>
      </c>
      <c r="B785" s="110">
        <v>4182</v>
      </c>
      <c r="C785" s="110" t="s">
        <v>1294</v>
      </c>
      <c r="D785" s="110" t="s">
        <v>1295</v>
      </c>
      <c r="E785" s="110"/>
      <c r="F785" s="110"/>
      <c r="G785" s="110" t="str">
        <f t="shared" si="12"/>
        <v>2</v>
      </c>
      <c r="H785" s="110"/>
      <c r="I785" s="110">
        <v>141.238933</v>
      </c>
      <c r="J785" s="110">
        <v>40.77919</v>
      </c>
      <c r="K785" s="110"/>
      <c r="L785" s="110"/>
      <c r="M785" s="110"/>
      <c r="N785" s="110"/>
      <c r="O785" s="110"/>
      <c r="P785" s="109"/>
      <c r="Q785" s="109"/>
      <c r="R785" s="109"/>
      <c r="S785" s="110" t="s">
        <v>1296</v>
      </c>
      <c r="T785" s="135"/>
    </row>
    <row r="786" spans="1:20" x14ac:dyDescent="0.2">
      <c r="A786" s="5">
        <v>785</v>
      </c>
      <c r="B786" s="110">
        <v>4172</v>
      </c>
      <c r="C786" s="110" t="s">
        <v>1291</v>
      </c>
      <c r="D786" s="192" t="s">
        <v>1292</v>
      </c>
      <c r="E786" s="110"/>
      <c r="F786" s="110"/>
      <c r="G786" s="110" t="str">
        <f t="shared" si="12"/>
        <v>2</v>
      </c>
      <c r="H786" s="110"/>
      <c r="I786" s="110">
        <v>141.23529099999999</v>
      </c>
      <c r="J786" s="110">
        <v>40.779969999999999</v>
      </c>
      <c r="K786" s="110"/>
      <c r="L786" s="110"/>
      <c r="M786" s="110"/>
      <c r="N786" s="110"/>
      <c r="O786" s="110"/>
      <c r="P786" s="109"/>
      <c r="Q786" s="109"/>
      <c r="R786" s="109"/>
      <c r="S786" s="110" t="s">
        <v>1293</v>
      </c>
      <c r="T786" s="135"/>
    </row>
    <row r="787" spans="1:20" x14ac:dyDescent="0.2">
      <c r="A787" s="5">
        <v>786</v>
      </c>
      <c r="B787" s="110">
        <v>4162</v>
      </c>
      <c r="C787" s="110" t="s">
        <v>1288</v>
      </c>
      <c r="D787" s="110" t="s">
        <v>1289</v>
      </c>
      <c r="E787" s="110"/>
      <c r="F787" s="110"/>
      <c r="G787" s="110" t="str">
        <f t="shared" si="12"/>
        <v>2</v>
      </c>
      <c r="H787" s="110"/>
      <c r="I787" s="110">
        <v>141.22699700000001</v>
      </c>
      <c r="J787" s="110">
        <v>40.782046000000001</v>
      </c>
      <c r="K787" s="110"/>
      <c r="L787" s="110"/>
      <c r="M787" s="110"/>
      <c r="N787" s="110"/>
      <c r="O787" s="110"/>
      <c r="P787" s="109"/>
      <c r="Q787" s="109"/>
      <c r="R787" s="109"/>
      <c r="S787" s="110" t="s">
        <v>1290</v>
      </c>
      <c r="T787" s="135"/>
    </row>
    <row r="788" spans="1:20" x14ac:dyDescent="0.2">
      <c r="A788" s="5">
        <v>787</v>
      </c>
      <c r="B788" s="110">
        <v>4152</v>
      </c>
      <c r="C788" s="110" t="s">
        <v>1285</v>
      </c>
      <c r="D788" s="110" t="s">
        <v>1286</v>
      </c>
      <c r="E788" s="110"/>
      <c r="F788" s="110"/>
      <c r="G788" s="110" t="str">
        <f t="shared" si="12"/>
        <v>2</v>
      </c>
      <c r="H788" s="110"/>
      <c r="I788" s="110">
        <v>141.22486699999999</v>
      </c>
      <c r="J788" s="110">
        <v>40.780897000000003</v>
      </c>
      <c r="K788" s="110"/>
      <c r="L788" s="110"/>
      <c r="M788" s="110"/>
      <c r="N788" s="110"/>
      <c r="O788" s="110"/>
      <c r="P788" s="109"/>
      <c r="Q788" s="109"/>
      <c r="R788" s="109"/>
      <c r="S788" s="110" t="s">
        <v>1287</v>
      </c>
      <c r="T788" s="135"/>
    </row>
    <row r="789" spans="1:20" x14ac:dyDescent="0.2">
      <c r="A789" s="5">
        <v>788</v>
      </c>
      <c r="B789" s="110">
        <v>4142</v>
      </c>
      <c r="C789" s="110" t="s">
        <v>1282</v>
      </c>
      <c r="D789" s="110" t="s">
        <v>1283</v>
      </c>
      <c r="E789" s="110"/>
      <c r="F789" s="110"/>
      <c r="G789" s="110" t="str">
        <f t="shared" si="12"/>
        <v>2</v>
      </c>
      <c r="H789" s="110"/>
      <c r="I789" s="110">
        <v>141.217803</v>
      </c>
      <c r="J789" s="110">
        <v>40.778830999999997</v>
      </c>
      <c r="K789" s="110"/>
      <c r="L789" s="110"/>
      <c r="M789" s="110"/>
      <c r="N789" s="110"/>
      <c r="O789" s="110"/>
      <c r="P789" s="109"/>
      <c r="Q789" s="109"/>
      <c r="R789" s="109"/>
      <c r="S789" s="110" t="s">
        <v>1284</v>
      </c>
      <c r="T789" s="135"/>
    </row>
    <row r="790" spans="1:20" x14ac:dyDescent="0.2">
      <c r="A790" s="5">
        <v>789</v>
      </c>
      <c r="B790" s="110">
        <v>4132</v>
      </c>
      <c r="C790" s="110" t="s">
        <v>1279</v>
      </c>
      <c r="D790" s="192" t="s">
        <v>1280</v>
      </c>
      <c r="E790" s="110"/>
      <c r="F790" s="110"/>
      <c r="G790" s="110" t="str">
        <f t="shared" si="12"/>
        <v>2</v>
      </c>
      <c r="H790" s="110"/>
      <c r="I790" s="110">
        <v>141.21508299999999</v>
      </c>
      <c r="J790" s="110">
        <v>40.77713</v>
      </c>
      <c r="K790" s="110"/>
      <c r="L790" s="110"/>
      <c r="M790" s="110"/>
      <c r="N790" s="110"/>
      <c r="O790" s="110"/>
      <c r="P790" s="109"/>
      <c r="Q790" s="109"/>
      <c r="R790" s="109"/>
      <c r="S790" s="110" t="s">
        <v>1281</v>
      </c>
      <c r="T790" s="135"/>
    </row>
    <row r="791" spans="1:20" x14ac:dyDescent="0.2">
      <c r="A791" s="5">
        <v>790</v>
      </c>
      <c r="B791" s="110">
        <v>4122</v>
      </c>
      <c r="C791" s="110" t="s">
        <v>1276</v>
      </c>
      <c r="D791" s="110" t="s">
        <v>1277</v>
      </c>
      <c r="E791" s="110"/>
      <c r="F791" s="110"/>
      <c r="G791" s="110" t="str">
        <f t="shared" si="12"/>
        <v>2</v>
      </c>
      <c r="H791" s="110"/>
      <c r="I791" s="110">
        <v>141.21619899999999</v>
      </c>
      <c r="J791" s="110">
        <v>40.779843</v>
      </c>
      <c r="K791" s="110"/>
      <c r="L791" s="110"/>
      <c r="M791" s="110"/>
      <c r="N791" s="110"/>
      <c r="O791" s="110"/>
      <c r="P791" s="109"/>
      <c r="Q791" s="109"/>
      <c r="R791" s="109"/>
      <c r="S791" s="110" t="s">
        <v>1278</v>
      </c>
      <c r="T791" s="135"/>
    </row>
    <row r="792" spans="1:20" x14ac:dyDescent="0.2">
      <c r="A792" s="5">
        <v>791</v>
      </c>
      <c r="B792" s="110">
        <v>1794</v>
      </c>
      <c r="C792" s="110" t="s">
        <v>990</v>
      </c>
      <c r="D792" s="110" t="s">
        <v>636</v>
      </c>
      <c r="E792" s="110"/>
      <c r="F792" s="110"/>
      <c r="G792" s="110" t="str">
        <f t="shared" si="12"/>
        <v>4</v>
      </c>
      <c r="H792" s="110"/>
      <c r="I792" s="110">
        <v>141.15758700000001</v>
      </c>
      <c r="J792" s="110">
        <v>40.706808000000002</v>
      </c>
      <c r="K792" s="110"/>
      <c r="L792" s="110"/>
      <c r="M792" s="110"/>
      <c r="N792" s="110"/>
      <c r="O792" s="110"/>
      <c r="P792" s="109"/>
      <c r="Q792" s="109"/>
      <c r="R792" s="109"/>
      <c r="S792" s="110" t="s">
        <v>1304</v>
      </c>
      <c r="T792" s="135"/>
    </row>
    <row r="793" spans="1:20" x14ac:dyDescent="0.2">
      <c r="A793" s="5">
        <v>792</v>
      </c>
      <c r="B793" s="110">
        <v>3192</v>
      </c>
      <c r="C793" s="110" t="s">
        <v>1060</v>
      </c>
      <c r="D793" s="110" t="s">
        <v>1061</v>
      </c>
      <c r="E793" s="110"/>
      <c r="F793" s="110"/>
      <c r="G793" s="110" t="str">
        <f t="shared" si="12"/>
        <v>2</v>
      </c>
      <c r="H793" s="110"/>
      <c r="I793" s="110">
        <v>141.167136</v>
      </c>
      <c r="J793" s="110">
        <v>40.712595999999998</v>
      </c>
      <c r="K793" s="110"/>
      <c r="L793" s="110"/>
      <c r="M793" s="110"/>
      <c r="N793" s="110"/>
      <c r="O793" s="110"/>
      <c r="P793" s="109"/>
      <c r="Q793" s="109"/>
      <c r="R793" s="109"/>
      <c r="S793" s="110" t="s">
        <v>1062</v>
      </c>
      <c r="T793" s="135"/>
    </row>
    <row r="794" spans="1:20" x14ac:dyDescent="0.2">
      <c r="A794" s="5">
        <v>793</v>
      </c>
      <c r="B794" s="110">
        <v>3182</v>
      </c>
      <c r="C794" s="110" t="s">
        <v>1057</v>
      </c>
      <c r="D794" s="110" t="s">
        <v>1058</v>
      </c>
      <c r="E794" s="110"/>
      <c r="F794" s="110"/>
      <c r="G794" s="110" t="str">
        <f t="shared" si="12"/>
        <v>2</v>
      </c>
      <c r="H794" s="110"/>
      <c r="I794" s="110">
        <v>141.170322</v>
      </c>
      <c r="J794" s="110">
        <v>40.714064999999998</v>
      </c>
      <c r="K794" s="110"/>
      <c r="L794" s="110"/>
      <c r="M794" s="110"/>
      <c r="N794" s="110"/>
      <c r="O794" s="110"/>
      <c r="P794" s="109"/>
      <c r="Q794" s="109"/>
      <c r="R794" s="109"/>
      <c r="S794" s="110" t="s">
        <v>1059</v>
      </c>
      <c r="T794" s="135"/>
    </row>
    <row r="795" spans="1:20" x14ac:dyDescent="0.2">
      <c r="A795" s="5">
        <v>794</v>
      </c>
      <c r="B795" s="110">
        <v>3172</v>
      </c>
      <c r="C795" s="196" t="s">
        <v>1305</v>
      </c>
      <c r="D795" s="196" t="s">
        <v>1055</v>
      </c>
      <c r="E795" s="110"/>
      <c r="F795" s="110"/>
      <c r="G795" s="110" t="str">
        <f t="shared" si="12"/>
        <v>2</v>
      </c>
      <c r="H795" s="110"/>
      <c r="I795" s="110">
        <v>141.17468299999999</v>
      </c>
      <c r="J795" s="110">
        <v>40.715921999999999</v>
      </c>
      <c r="K795" s="110"/>
      <c r="L795" s="110"/>
      <c r="M795" s="110"/>
      <c r="N795" s="110"/>
      <c r="O795" s="110"/>
      <c r="P795" s="109"/>
      <c r="Q795" s="109"/>
      <c r="R795" s="109"/>
      <c r="S795" s="110" t="s">
        <v>1056</v>
      </c>
      <c r="T795" s="135"/>
    </row>
    <row r="796" spans="1:20" x14ac:dyDescent="0.2">
      <c r="A796" s="5">
        <v>795</v>
      </c>
      <c r="B796" s="110">
        <v>3162</v>
      </c>
      <c r="C796" s="110" t="s">
        <v>1051</v>
      </c>
      <c r="D796" s="110" t="s">
        <v>1052</v>
      </c>
      <c r="E796" s="110"/>
      <c r="F796" s="110"/>
      <c r="G796" s="110" t="str">
        <f t="shared" si="12"/>
        <v>2</v>
      </c>
      <c r="H796" s="110"/>
      <c r="I796" s="110">
        <v>141.18440899999999</v>
      </c>
      <c r="J796" s="110">
        <v>40.717889</v>
      </c>
      <c r="K796" s="110"/>
      <c r="L796" s="110"/>
      <c r="M796" s="110"/>
      <c r="N796" s="110"/>
      <c r="O796" s="110"/>
      <c r="P796" s="109"/>
      <c r="Q796" s="109"/>
      <c r="R796" s="109"/>
      <c r="S796" s="110" t="s">
        <v>1053</v>
      </c>
      <c r="T796" s="135"/>
    </row>
    <row r="797" spans="1:20" x14ac:dyDescent="0.2">
      <c r="A797" s="5">
        <v>796</v>
      </c>
      <c r="B797" s="110">
        <v>3152</v>
      </c>
      <c r="C797" s="110" t="s">
        <v>1048</v>
      </c>
      <c r="D797" s="110" t="s">
        <v>1049</v>
      </c>
      <c r="E797" s="110"/>
      <c r="F797" s="110"/>
      <c r="G797" s="110" t="str">
        <f t="shared" si="12"/>
        <v>2</v>
      </c>
      <c r="H797" s="110"/>
      <c r="I797" s="110">
        <v>141.19905399999999</v>
      </c>
      <c r="J797" s="110">
        <v>40.722703000000003</v>
      </c>
      <c r="K797" s="110"/>
      <c r="L797" s="110"/>
      <c r="M797" s="110"/>
      <c r="N797" s="110"/>
      <c r="O797" s="110"/>
      <c r="P797" s="109"/>
      <c r="Q797" s="109"/>
      <c r="R797" s="109"/>
      <c r="S797" s="110" t="s">
        <v>1050</v>
      </c>
      <c r="T797" s="135"/>
    </row>
    <row r="798" spans="1:20" x14ac:dyDescent="0.2">
      <c r="A798" s="5">
        <v>797</v>
      </c>
      <c r="B798" s="110">
        <v>3142</v>
      </c>
      <c r="C798" s="110" t="s">
        <v>1045</v>
      </c>
      <c r="D798" s="192" t="s">
        <v>1306</v>
      </c>
      <c r="E798" s="110"/>
      <c r="F798" s="110"/>
      <c r="G798" s="110" t="str">
        <f t="shared" si="12"/>
        <v>2</v>
      </c>
      <c r="H798" s="110"/>
      <c r="I798" s="110">
        <v>141.20541600000001</v>
      </c>
      <c r="J798" s="110">
        <v>40.726235000000003</v>
      </c>
      <c r="K798" s="110"/>
      <c r="L798" s="110"/>
      <c r="M798" s="110"/>
      <c r="N798" s="110"/>
      <c r="O798" s="110"/>
      <c r="P798" s="109"/>
      <c r="Q798" s="109"/>
      <c r="R798" s="109"/>
      <c r="S798" s="110" t="s">
        <v>1047</v>
      </c>
      <c r="T798" s="135"/>
    </row>
    <row r="799" spans="1:20" x14ac:dyDescent="0.2">
      <c r="A799" s="5">
        <v>798</v>
      </c>
      <c r="B799" s="110">
        <v>3132</v>
      </c>
      <c r="C799" s="110" t="s">
        <v>1042</v>
      </c>
      <c r="D799" s="192" t="s">
        <v>1307</v>
      </c>
      <c r="E799" s="110"/>
      <c r="F799" s="110"/>
      <c r="G799" s="110" t="str">
        <f t="shared" si="12"/>
        <v>2</v>
      </c>
      <c r="H799" s="110"/>
      <c r="I799" s="110">
        <v>141.21247</v>
      </c>
      <c r="J799" s="110">
        <v>40.738678999999998</v>
      </c>
      <c r="K799" s="110"/>
      <c r="L799" s="110"/>
      <c r="M799" s="110"/>
      <c r="N799" s="110"/>
      <c r="O799" s="110"/>
      <c r="P799" s="109"/>
      <c r="Q799" s="109"/>
      <c r="R799" s="109"/>
      <c r="S799" s="110" t="s">
        <v>1044</v>
      </c>
      <c r="T799" s="135"/>
    </row>
    <row r="800" spans="1:20" x14ac:dyDescent="0.2">
      <c r="A800" s="5">
        <v>799</v>
      </c>
      <c r="B800" s="110">
        <v>3122</v>
      </c>
      <c r="C800" s="110" t="s">
        <v>1039</v>
      </c>
      <c r="D800" s="192" t="s">
        <v>1308</v>
      </c>
      <c r="E800" s="110"/>
      <c r="F800" s="110"/>
      <c r="G800" s="110" t="str">
        <f t="shared" si="12"/>
        <v>2</v>
      </c>
      <c r="H800" s="110"/>
      <c r="I800" s="110">
        <v>141.21806000000001</v>
      </c>
      <c r="J800" s="110">
        <v>40.738252000000003</v>
      </c>
      <c r="K800" s="110"/>
      <c r="L800" s="110"/>
      <c r="M800" s="110"/>
      <c r="N800" s="110"/>
      <c r="O800" s="110"/>
      <c r="P800" s="109"/>
      <c r="Q800" s="109"/>
      <c r="R800" s="109"/>
      <c r="S800" s="110" t="s">
        <v>1041</v>
      </c>
      <c r="T800" s="135"/>
    </row>
    <row r="801" spans="1:20" x14ac:dyDescent="0.2">
      <c r="A801" s="5">
        <v>800</v>
      </c>
      <c r="B801" s="110">
        <v>3112</v>
      </c>
      <c r="C801" s="110" t="s">
        <v>1036</v>
      </c>
      <c r="D801" s="192" t="s">
        <v>1309</v>
      </c>
      <c r="E801" s="110"/>
      <c r="F801" s="110"/>
      <c r="G801" s="110" t="str">
        <f t="shared" si="12"/>
        <v>2</v>
      </c>
      <c r="H801" s="110"/>
      <c r="I801" s="110">
        <v>141.221273</v>
      </c>
      <c r="J801" s="110">
        <v>40.738053000000001</v>
      </c>
      <c r="K801" s="110"/>
      <c r="L801" s="110"/>
      <c r="M801" s="110"/>
      <c r="N801" s="110"/>
      <c r="O801" s="110"/>
      <c r="P801" s="109"/>
      <c r="Q801" s="109"/>
      <c r="R801" s="109"/>
      <c r="S801" s="110" t="s">
        <v>1038</v>
      </c>
      <c r="T801" s="135"/>
    </row>
    <row r="802" spans="1:20" x14ac:dyDescent="0.2">
      <c r="A802" s="5">
        <v>801</v>
      </c>
      <c r="B802" s="110">
        <v>4211</v>
      </c>
      <c r="C802" s="110" t="s">
        <v>1310</v>
      </c>
      <c r="D802" s="110" t="s">
        <v>1311</v>
      </c>
      <c r="E802" s="110"/>
      <c r="F802" s="110"/>
      <c r="G802" s="110" t="str">
        <f t="shared" si="12"/>
        <v>1</v>
      </c>
      <c r="H802" s="110"/>
      <c r="I802" s="110">
        <v>141.21812399999999</v>
      </c>
      <c r="J802" s="110">
        <v>40.745444999999997</v>
      </c>
      <c r="K802" s="110"/>
      <c r="L802" s="110"/>
      <c r="M802" s="110"/>
      <c r="N802" s="110"/>
      <c r="O802" s="110"/>
      <c r="P802" s="109"/>
      <c r="Q802" s="109"/>
      <c r="R802" s="109"/>
      <c r="S802" s="110"/>
      <c r="T802" s="135"/>
    </row>
    <row r="803" spans="1:20" x14ac:dyDescent="0.2">
      <c r="A803" s="5">
        <v>802</v>
      </c>
      <c r="B803" s="110">
        <v>4221</v>
      </c>
      <c r="C803" s="110" t="s">
        <v>1312</v>
      </c>
      <c r="D803" s="110" t="s">
        <v>1313</v>
      </c>
      <c r="E803" s="110"/>
      <c r="F803" s="110"/>
      <c r="G803" s="110" t="str">
        <f t="shared" si="12"/>
        <v>1</v>
      </c>
      <c r="H803" s="110"/>
      <c r="I803" s="110">
        <v>141.23136400000001</v>
      </c>
      <c r="J803" s="110">
        <v>40.784669999999998</v>
      </c>
      <c r="K803" s="110"/>
      <c r="L803" s="110"/>
      <c r="M803" s="110"/>
      <c r="N803" s="110"/>
      <c r="O803" s="110"/>
      <c r="P803" s="109"/>
      <c r="Q803" s="109"/>
      <c r="R803" s="109"/>
      <c r="S803" s="110"/>
      <c r="T803" s="135"/>
    </row>
    <row r="804" spans="1:20" x14ac:dyDescent="0.2">
      <c r="A804" s="5">
        <v>803</v>
      </c>
      <c r="B804" s="110">
        <v>4231</v>
      </c>
      <c r="C804" s="110" t="s">
        <v>1314</v>
      </c>
      <c r="D804" s="110" t="s">
        <v>1315</v>
      </c>
      <c r="E804" s="110"/>
      <c r="F804" s="110"/>
      <c r="G804" s="110" t="str">
        <f t="shared" si="12"/>
        <v>1</v>
      </c>
      <c r="H804" s="110"/>
      <c r="I804" s="110">
        <v>141.246591</v>
      </c>
      <c r="J804" s="110">
        <v>40.786808999999998</v>
      </c>
      <c r="K804" s="110"/>
      <c r="L804" s="110"/>
      <c r="M804" s="110"/>
      <c r="N804" s="110"/>
      <c r="O804" s="110"/>
      <c r="P804" s="109"/>
      <c r="Q804" s="109"/>
      <c r="R804" s="109"/>
      <c r="S804" s="110"/>
      <c r="T804" s="135"/>
    </row>
    <row r="805" spans="1:20" x14ac:dyDescent="0.2">
      <c r="A805" s="5">
        <v>804</v>
      </c>
      <c r="B805" s="110">
        <v>4241</v>
      </c>
      <c r="C805" s="110" t="s">
        <v>1316</v>
      </c>
      <c r="D805" s="110" t="s">
        <v>1317</v>
      </c>
      <c r="E805" s="110"/>
      <c r="F805" s="110"/>
      <c r="G805" s="110" t="str">
        <f t="shared" si="12"/>
        <v>1</v>
      </c>
      <c r="H805" s="110"/>
      <c r="I805" s="110">
        <v>141.25083900000001</v>
      </c>
      <c r="J805" s="110">
        <v>40.788556</v>
      </c>
      <c r="K805" s="110"/>
      <c r="L805" s="110"/>
      <c r="M805" s="110"/>
      <c r="N805" s="110"/>
      <c r="O805" s="110"/>
      <c r="P805" s="109"/>
      <c r="Q805" s="109"/>
      <c r="R805" s="109"/>
      <c r="S805" s="110"/>
      <c r="T805" s="135"/>
    </row>
    <row r="806" spans="1:20" x14ac:dyDescent="0.2">
      <c r="A806" s="5">
        <v>805</v>
      </c>
      <c r="B806" s="110">
        <v>4251</v>
      </c>
      <c r="C806" s="110" t="s">
        <v>1318</v>
      </c>
      <c r="D806" s="110" t="s">
        <v>1319</v>
      </c>
      <c r="E806" s="110"/>
      <c r="F806" s="110"/>
      <c r="G806" s="110" t="str">
        <f t="shared" si="12"/>
        <v>1</v>
      </c>
      <c r="H806" s="110"/>
      <c r="I806" s="110">
        <v>141.251901</v>
      </c>
      <c r="J806" s="110">
        <v>40.802714000000002</v>
      </c>
      <c r="K806" s="110"/>
      <c r="L806" s="110"/>
      <c r="M806" s="110"/>
      <c r="N806" s="110"/>
      <c r="O806" s="110"/>
      <c r="P806" s="109"/>
      <c r="Q806" s="109"/>
      <c r="R806" s="109"/>
      <c r="S806" s="110"/>
      <c r="T806" s="135"/>
    </row>
    <row r="807" spans="1:20" x14ac:dyDescent="0.2">
      <c r="A807" s="5">
        <v>806</v>
      </c>
      <c r="B807" s="110">
        <v>4261</v>
      </c>
      <c r="C807" s="110" t="s">
        <v>1320</v>
      </c>
      <c r="D807" s="110" t="s">
        <v>1321</v>
      </c>
      <c r="E807" s="110"/>
      <c r="F807" s="110"/>
      <c r="G807" s="110" t="str">
        <f t="shared" si="12"/>
        <v>1</v>
      </c>
      <c r="H807" s="110"/>
      <c r="I807" s="110">
        <v>141.26901699999999</v>
      </c>
      <c r="J807" s="110">
        <v>40.819737000000003</v>
      </c>
      <c r="K807" s="110"/>
      <c r="L807" s="110"/>
      <c r="M807" s="110"/>
      <c r="N807" s="110"/>
      <c r="O807" s="110"/>
      <c r="P807" s="109"/>
      <c r="Q807" s="109"/>
      <c r="R807" s="109"/>
      <c r="S807" s="110"/>
      <c r="T807" s="135"/>
    </row>
    <row r="808" spans="1:20" x14ac:dyDescent="0.2">
      <c r="A808" s="5">
        <v>807</v>
      </c>
      <c r="B808" s="110">
        <v>4262</v>
      </c>
      <c r="C808" s="110" t="s">
        <v>1320</v>
      </c>
      <c r="D808" s="110" t="s">
        <v>1321</v>
      </c>
      <c r="E808" s="110"/>
      <c r="F808" s="110"/>
      <c r="G808" s="110" t="str">
        <f t="shared" si="12"/>
        <v>2</v>
      </c>
      <c r="H808" s="110"/>
      <c r="I808" s="110">
        <v>141.26911899999999</v>
      </c>
      <c r="J808" s="110">
        <v>40.819692000000003</v>
      </c>
      <c r="K808" s="110"/>
      <c r="L808" s="110"/>
      <c r="M808" s="110"/>
      <c r="N808" s="110"/>
      <c r="O808" s="110"/>
      <c r="P808" s="109"/>
      <c r="Q808" s="109"/>
      <c r="R808" s="109"/>
      <c r="S808" s="110"/>
      <c r="T808" s="135"/>
    </row>
    <row r="809" spans="1:20" x14ac:dyDescent="0.2">
      <c r="A809" s="5">
        <v>808</v>
      </c>
      <c r="B809" s="110">
        <v>4252</v>
      </c>
      <c r="C809" s="110" t="s">
        <v>1318</v>
      </c>
      <c r="D809" s="110" t="s">
        <v>1319</v>
      </c>
      <c r="E809" s="110"/>
      <c r="F809" s="110"/>
      <c r="G809" s="110" t="str">
        <f t="shared" si="12"/>
        <v>2</v>
      </c>
      <c r="H809" s="110"/>
      <c r="I809" s="110">
        <v>141.252062</v>
      </c>
      <c r="J809" s="110">
        <v>40.802689999999998</v>
      </c>
      <c r="K809" s="110"/>
      <c r="L809" s="110"/>
      <c r="M809" s="110"/>
      <c r="N809" s="110"/>
      <c r="O809" s="110"/>
      <c r="P809" s="109"/>
      <c r="Q809" s="109"/>
      <c r="R809" s="109"/>
      <c r="S809" s="110"/>
      <c r="T809" s="135"/>
    </row>
    <row r="810" spans="1:20" x14ac:dyDescent="0.2">
      <c r="A810" s="5">
        <v>809</v>
      </c>
      <c r="B810" s="110">
        <v>4242</v>
      </c>
      <c r="C810" s="110" t="s">
        <v>1316</v>
      </c>
      <c r="D810" s="110" t="s">
        <v>1317</v>
      </c>
      <c r="E810" s="110"/>
      <c r="F810" s="110"/>
      <c r="G810" s="110" t="str">
        <f t="shared" si="12"/>
        <v>2</v>
      </c>
      <c r="H810" s="110"/>
      <c r="I810" s="110">
        <v>141.250936</v>
      </c>
      <c r="J810" s="110">
        <v>40.788474999999998</v>
      </c>
      <c r="K810" s="110"/>
      <c r="L810" s="110"/>
      <c r="M810" s="110"/>
      <c r="N810" s="110"/>
      <c r="O810" s="110"/>
      <c r="P810" s="109"/>
      <c r="Q810" s="109"/>
      <c r="R810" s="109"/>
      <c r="S810" s="110"/>
      <c r="T810" s="135"/>
    </row>
    <row r="811" spans="1:20" x14ac:dyDescent="0.2">
      <c r="A811" s="5">
        <v>810</v>
      </c>
      <c r="B811" s="110">
        <v>4232</v>
      </c>
      <c r="C811" s="110" t="s">
        <v>1314</v>
      </c>
      <c r="D811" s="110" t="s">
        <v>1315</v>
      </c>
      <c r="E811" s="110"/>
      <c r="F811" s="110"/>
      <c r="G811" s="110" t="str">
        <f t="shared" si="12"/>
        <v>2</v>
      </c>
      <c r="H811" s="110"/>
      <c r="I811" s="110">
        <v>141.246644</v>
      </c>
      <c r="J811" s="110">
        <v>40.786687000000001</v>
      </c>
      <c r="K811" s="110"/>
      <c r="L811" s="110"/>
      <c r="M811" s="110"/>
      <c r="N811" s="110"/>
      <c r="O811" s="110"/>
      <c r="P811" s="109"/>
      <c r="Q811" s="109"/>
      <c r="R811" s="109"/>
      <c r="S811" s="110"/>
      <c r="T811" s="135"/>
    </row>
    <row r="812" spans="1:20" x14ac:dyDescent="0.2">
      <c r="A812" s="5">
        <v>811</v>
      </c>
      <c r="B812" s="110">
        <v>4222</v>
      </c>
      <c r="C812" s="110" t="s">
        <v>1312</v>
      </c>
      <c r="D812" s="110" t="s">
        <v>1313</v>
      </c>
      <c r="E812" s="110"/>
      <c r="F812" s="110"/>
      <c r="G812" s="110" t="str">
        <f t="shared" si="12"/>
        <v>2</v>
      </c>
      <c r="H812" s="110"/>
      <c r="I812" s="110">
        <v>141.23143400000001</v>
      </c>
      <c r="J812" s="110">
        <v>40.784621000000001</v>
      </c>
      <c r="K812" s="110"/>
      <c r="L812" s="110"/>
      <c r="M812" s="110"/>
      <c r="N812" s="110"/>
      <c r="O812" s="110"/>
      <c r="P812" s="109"/>
      <c r="Q812" s="109"/>
      <c r="R812" s="109"/>
      <c r="S812" s="110"/>
      <c r="T812" s="135"/>
    </row>
    <row r="813" spans="1:20" x14ac:dyDescent="0.2">
      <c r="A813" s="5">
        <v>812</v>
      </c>
      <c r="B813" s="110">
        <v>4212</v>
      </c>
      <c r="C813" s="110" t="s">
        <v>1310</v>
      </c>
      <c r="D813" s="110" t="s">
        <v>1311</v>
      </c>
      <c r="E813" s="110"/>
      <c r="F813" s="110"/>
      <c r="G813" s="110" t="str">
        <f t="shared" si="12"/>
        <v>2</v>
      </c>
      <c r="H813" s="110"/>
      <c r="I813" s="110">
        <v>141.21821</v>
      </c>
      <c r="J813" s="110">
        <v>40.745502000000002</v>
      </c>
      <c r="K813" s="110"/>
      <c r="L813" s="110"/>
      <c r="M813" s="110"/>
      <c r="N813" s="110"/>
      <c r="O813" s="110"/>
      <c r="P813" s="109"/>
      <c r="Q813" s="109"/>
      <c r="R813" s="109"/>
      <c r="S813" s="110"/>
      <c r="T813" s="135"/>
    </row>
    <row r="814" spans="1:20" x14ac:dyDescent="0.2">
      <c r="A814" s="5">
        <v>813</v>
      </c>
      <c r="B814" s="110">
        <v>4271</v>
      </c>
      <c r="C814" s="110" t="s">
        <v>1322</v>
      </c>
      <c r="D814" s="110" t="s">
        <v>1323</v>
      </c>
      <c r="E814" s="110"/>
      <c r="F814" s="110"/>
      <c r="G814" s="110" t="str">
        <f t="shared" si="12"/>
        <v>1</v>
      </c>
      <c r="H814" s="110"/>
      <c r="I814" s="110">
        <v>141.28450599999999</v>
      </c>
      <c r="J814" s="110">
        <v>40.773288999999998</v>
      </c>
      <c r="K814" s="110"/>
      <c r="L814" s="110"/>
      <c r="M814" s="110"/>
      <c r="N814" s="110"/>
      <c r="O814" s="110"/>
      <c r="P814" s="109"/>
      <c r="Q814" s="109"/>
      <c r="R814" s="109"/>
      <c r="S814" s="110"/>
      <c r="T814" s="135"/>
    </row>
    <row r="815" spans="1:20" x14ac:dyDescent="0.2">
      <c r="A815" s="5">
        <v>814</v>
      </c>
      <c r="B815" s="110">
        <v>4281</v>
      </c>
      <c r="C815" s="110" t="s">
        <v>1324</v>
      </c>
      <c r="D815" s="110" t="s">
        <v>1325</v>
      </c>
      <c r="E815" s="110"/>
      <c r="F815" s="110"/>
      <c r="G815" s="110" t="str">
        <f t="shared" si="12"/>
        <v>1</v>
      </c>
      <c r="H815" s="110"/>
      <c r="I815" s="110">
        <v>141.284402</v>
      </c>
      <c r="J815" s="110">
        <v>40.770209000000001</v>
      </c>
      <c r="K815" s="110"/>
      <c r="L815" s="110"/>
      <c r="M815" s="110"/>
      <c r="N815" s="110"/>
      <c r="O815" s="110"/>
      <c r="P815" s="109"/>
      <c r="Q815" s="109"/>
      <c r="R815" s="109"/>
      <c r="S815" s="110"/>
      <c r="T815" s="135"/>
    </row>
    <row r="816" spans="1:20" x14ac:dyDescent="0.2">
      <c r="A816" s="5">
        <v>815</v>
      </c>
      <c r="B816" s="110">
        <v>4291</v>
      </c>
      <c r="C816" s="110" t="s">
        <v>1326</v>
      </c>
      <c r="D816" s="110" t="s">
        <v>1327</v>
      </c>
      <c r="E816" s="110"/>
      <c r="F816" s="110"/>
      <c r="G816" s="110" t="str">
        <f t="shared" si="12"/>
        <v>1</v>
      </c>
      <c r="H816" s="110"/>
      <c r="I816" s="110">
        <v>141.286081</v>
      </c>
      <c r="J816" s="110">
        <v>40.762698999999998</v>
      </c>
      <c r="K816" s="110"/>
      <c r="L816" s="110"/>
      <c r="M816" s="110"/>
      <c r="N816" s="110"/>
      <c r="O816" s="110"/>
      <c r="P816" s="109"/>
      <c r="Q816" s="109"/>
      <c r="R816" s="109"/>
      <c r="S816" s="110"/>
      <c r="T816" s="135"/>
    </row>
    <row r="817" spans="1:20" x14ac:dyDescent="0.2">
      <c r="A817" s="5">
        <v>816</v>
      </c>
      <c r="B817" s="110">
        <v>4301</v>
      </c>
      <c r="C817" s="110" t="s">
        <v>1328</v>
      </c>
      <c r="D817" s="110" t="s">
        <v>1329</v>
      </c>
      <c r="E817" s="110"/>
      <c r="F817" s="110"/>
      <c r="G817" s="110" t="str">
        <f t="shared" si="12"/>
        <v>1</v>
      </c>
      <c r="H817" s="110"/>
      <c r="I817" s="110">
        <v>141.29255000000001</v>
      </c>
      <c r="J817" s="110">
        <v>40.764353999999997</v>
      </c>
      <c r="K817" s="110"/>
      <c r="L817" s="110"/>
      <c r="M817" s="110"/>
      <c r="N817" s="110"/>
      <c r="O817" s="110"/>
      <c r="P817" s="109"/>
      <c r="Q817" s="109"/>
      <c r="R817" s="109"/>
      <c r="S817" s="110"/>
      <c r="T817" s="135"/>
    </row>
    <row r="818" spans="1:20" x14ac:dyDescent="0.2">
      <c r="A818" s="5">
        <v>817</v>
      </c>
      <c r="B818" s="110">
        <v>4311</v>
      </c>
      <c r="C818" s="110" t="s">
        <v>1330</v>
      </c>
      <c r="D818" s="110" t="s">
        <v>1331</v>
      </c>
      <c r="E818" s="110"/>
      <c r="F818" s="110"/>
      <c r="G818" s="110" t="str">
        <f t="shared" si="12"/>
        <v>1</v>
      </c>
      <c r="H818" s="110"/>
      <c r="I818" s="110">
        <v>141.30981299999999</v>
      </c>
      <c r="J818" s="110">
        <v>40.765470999999998</v>
      </c>
      <c r="K818" s="110"/>
      <c r="L818" s="110"/>
      <c r="M818" s="110"/>
      <c r="N818" s="110"/>
      <c r="O818" s="110"/>
      <c r="P818" s="109"/>
      <c r="Q818" s="109"/>
      <c r="R818" s="109"/>
      <c r="S818" s="110"/>
      <c r="T818" s="135"/>
    </row>
    <row r="819" spans="1:20" x14ac:dyDescent="0.2">
      <c r="A819" s="5">
        <v>818</v>
      </c>
      <c r="B819" s="110">
        <v>4321</v>
      </c>
      <c r="C819" s="110" t="s">
        <v>1332</v>
      </c>
      <c r="D819" s="192" t="s">
        <v>1333</v>
      </c>
      <c r="E819" s="110"/>
      <c r="F819" s="110"/>
      <c r="G819" s="110" t="str">
        <f t="shared" si="12"/>
        <v>1</v>
      </c>
      <c r="H819" s="110"/>
      <c r="I819" s="110">
        <v>141.31802300000001</v>
      </c>
      <c r="J819" s="110">
        <v>40.763376000000001</v>
      </c>
      <c r="K819" s="110"/>
      <c r="L819" s="110"/>
      <c r="M819" s="110"/>
      <c r="N819" s="110"/>
      <c r="O819" s="110"/>
      <c r="P819" s="109"/>
      <c r="Q819" s="109"/>
      <c r="R819" s="109"/>
      <c r="S819" s="110"/>
      <c r="T819" s="135"/>
    </row>
    <row r="820" spans="1:20" x14ac:dyDescent="0.2">
      <c r="A820" s="5">
        <v>819</v>
      </c>
      <c r="B820" s="110">
        <v>4331</v>
      </c>
      <c r="C820" s="110" t="s">
        <v>1334</v>
      </c>
      <c r="D820" s="110" t="s">
        <v>1335</v>
      </c>
      <c r="E820" s="110"/>
      <c r="F820" s="110"/>
      <c r="G820" s="110" t="str">
        <f t="shared" si="12"/>
        <v>1</v>
      </c>
      <c r="H820" s="110"/>
      <c r="I820" s="110">
        <v>141.322822</v>
      </c>
      <c r="J820" s="110">
        <v>40.754564999999999</v>
      </c>
      <c r="K820" s="110"/>
      <c r="L820" s="110"/>
      <c r="M820" s="110"/>
      <c r="N820" s="110"/>
      <c r="O820" s="110"/>
      <c r="P820" s="109"/>
      <c r="Q820" s="109"/>
      <c r="R820" s="109"/>
      <c r="S820" s="110"/>
      <c r="T820" s="135"/>
    </row>
    <row r="821" spans="1:20" x14ac:dyDescent="0.2">
      <c r="A821" s="5">
        <v>820</v>
      </c>
      <c r="B821" s="110">
        <v>4322</v>
      </c>
      <c r="C821" s="110" t="s">
        <v>1332</v>
      </c>
      <c r="D821" s="192" t="s">
        <v>1333</v>
      </c>
      <c r="E821" s="110"/>
      <c r="F821" s="110"/>
      <c r="G821" s="110" t="str">
        <f t="shared" si="12"/>
        <v>2</v>
      </c>
      <c r="H821" s="110"/>
      <c r="I821" s="110">
        <v>141.31786199999999</v>
      </c>
      <c r="J821" s="110">
        <v>40.763303000000001</v>
      </c>
      <c r="K821" s="110"/>
      <c r="L821" s="110"/>
      <c r="M821" s="110"/>
      <c r="N821" s="110"/>
      <c r="O821" s="110"/>
      <c r="P821" s="109"/>
      <c r="Q821" s="109"/>
      <c r="R821" s="109"/>
      <c r="S821" s="110"/>
      <c r="T821" s="135"/>
    </row>
    <row r="822" spans="1:20" x14ac:dyDescent="0.2">
      <c r="A822" s="5">
        <v>821</v>
      </c>
      <c r="B822" s="110">
        <v>4312</v>
      </c>
      <c r="C822" s="110" t="s">
        <v>1330</v>
      </c>
      <c r="D822" s="110" t="s">
        <v>1331</v>
      </c>
      <c r="E822" s="110"/>
      <c r="F822" s="110"/>
      <c r="G822" s="110" t="str">
        <f t="shared" si="12"/>
        <v>2</v>
      </c>
      <c r="H822" s="110"/>
      <c r="I822" s="110">
        <v>141.30978099999999</v>
      </c>
      <c r="J822" s="110">
        <v>40.765405999999999</v>
      </c>
      <c r="K822" s="110"/>
      <c r="L822" s="110"/>
      <c r="M822" s="110"/>
      <c r="N822" s="110"/>
      <c r="O822" s="110"/>
      <c r="P822" s="109"/>
      <c r="Q822" s="109"/>
      <c r="R822" s="109"/>
      <c r="S822" s="110"/>
      <c r="T822" s="135"/>
    </row>
    <row r="823" spans="1:20" x14ac:dyDescent="0.2">
      <c r="A823" s="5">
        <v>822</v>
      </c>
      <c r="B823" s="110">
        <v>4302</v>
      </c>
      <c r="C823" s="110" t="s">
        <v>1328</v>
      </c>
      <c r="D823" s="110" t="s">
        <v>1329</v>
      </c>
      <c r="E823" s="110"/>
      <c r="F823" s="110"/>
      <c r="G823" s="110" t="str">
        <f t="shared" si="12"/>
        <v>2</v>
      </c>
      <c r="H823" s="110"/>
      <c r="I823" s="110">
        <v>141.292663</v>
      </c>
      <c r="J823" s="110">
        <v>40.764305</v>
      </c>
      <c r="K823" s="110"/>
      <c r="L823" s="110"/>
      <c r="M823" s="110"/>
      <c r="N823" s="110"/>
      <c r="O823" s="110"/>
      <c r="P823" s="109"/>
      <c r="Q823" s="109"/>
      <c r="R823" s="109"/>
      <c r="S823" s="110"/>
      <c r="T823" s="135"/>
    </row>
    <row r="824" spans="1:20" x14ac:dyDescent="0.2">
      <c r="A824" s="5">
        <v>823</v>
      </c>
      <c r="B824" s="110">
        <v>4292</v>
      </c>
      <c r="C824" s="110" t="s">
        <v>1326</v>
      </c>
      <c r="D824" s="110" t="s">
        <v>1327</v>
      </c>
      <c r="E824" s="110"/>
      <c r="F824" s="110"/>
      <c r="G824" s="110" t="str">
        <f t="shared" si="12"/>
        <v>2</v>
      </c>
      <c r="H824" s="110"/>
      <c r="I824" s="110">
        <v>141.28597400000001</v>
      </c>
      <c r="J824" s="110">
        <v>40.762673999999997</v>
      </c>
      <c r="K824" s="110"/>
      <c r="L824" s="110"/>
      <c r="M824" s="110"/>
      <c r="N824" s="110"/>
      <c r="O824" s="110"/>
      <c r="P824" s="109"/>
      <c r="Q824" s="109"/>
      <c r="R824" s="109"/>
      <c r="S824" s="110"/>
      <c r="T824" s="135"/>
    </row>
    <row r="825" spans="1:20" x14ac:dyDescent="0.2">
      <c r="A825" s="5">
        <v>824</v>
      </c>
      <c r="B825" s="110">
        <v>4282</v>
      </c>
      <c r="C825" s="110" t="s">
        <v>1324</v>
      </c>
      <c r="D825" s="110" t="s">
        <v>1325</v>
      </c>
      <c r="E825" s="110"/>
      <c r="F825" s="110"/>
      <c r="G825" s="110" t="str">
        <f t="shared" si="12"/>
        <v>2</v>
      </c>
      <c r="H825" s="110"/>
      <c r="I825" s="110">
        <v>141.284311</v>
      </c>
      <c r="J825" s="110">
        <v>40.770220999999999</v>
      </c>
      <c r="K825" s="110"/>
      <c r="L825" s="110"/>
      <c r="M825" s="110"/>
      <c r="N825" s="110"/>
      <c r="O825" s="110"/>
      <c r="P825" s="109"/>
      <c r="Q825" s="109"/>
      <c r="R825" s="109"/>
      <c r="S825" s="110"/>
      <c r="T825" s="135"/>
    </row>
    <row r="826" spans="1:20" x14ac:dyDescent="0.2">
      <c r="A826" s="5">
        <v>825</v>
      </c>
      <c r="B826" s="110">
        <v>4272</v>
      </c>
      <c r="C826" s="110" t="s">
        <v>1322</v>
      </c>
      <c r="D826" s="110" t="s">
        <v>1323</v>
      </c>
      <c r="E826" s="110"/>
      <c r="F826" s="110"/>
      <c r="G826" s="110" t="str">
        <f t="shared" si="12"/>
        <v>2</v>
      </c>
      <c r="H826" s="110"/>
      <c r="I826" s="110">
        <v>141.284335</v>
      </c>
      <c r="J826" s="110">
        <v>40.773223999999999</v>
      </c>
      <c r="K826" s="110"/>
      <c r="L826" s="110"/>
      <c r="M826" s="110"/>
      <c r="N826" s="110"/>
      <c r="O826" s="110"/>
      <c r="P826" s="109"/>
      <c r="Q826" s="109"/>
      <c r="R826" s="109"/>
      <c r="S826" s="110"/>
      <c r="T826" s="135"/>
    </row>
    <row r="827" spans="1:20" x14ac:dyDescent="0.2">
      <c r="A827" s="5">
        <v>826</v>
      </c>
      <c r="B827" s="110">
        <v>4341</v>
      </c>
      <c r="C827" s="110" t="s">
        <v>1336</v>
      </c>
      <c r="D827" s="110" t="s">
        <v>1337</v>
      </c>
      <c r="E827" s="110"/>
      <c r="F827" s="110"/>
      <c r="G827" s="110" t="str">
        <f t="shared" si="12"/>
        <v>1</v>
      </c>
      <c r="H827" s="110"/>
      <c r="I827" s="110">
        <v>141.33028400000001</v>
      </c>
      <c r="J827" s="110">
        <v>40.662759000000001</v>
      </c>
      <c r="K827" s="110"/>
      <c r="L827" s="110"/>
      <c r="M827" s="110"/>
      <c r="N827" s="110"/>
      <c r="O827" s="110"/>
      <c r="P827" s="109"/>
      <c r="Q827" s="109"/>
      <c r="R827" s="109"/>
      <c r="S827" s="110"/>
      <c r="T827" s="135"/>
    </row>
    <row r="828" spans="1:20" x14ac:dyDescent="0.2">
      <c r="A828" s="5">
        <v>827</v>
      </c>
      <c r="B828" s="110">
        <v>4351</v>
      </c>
      <c r="C828" s="110" t="s">
        <v>1338</v>
      </c>
      <c r="D828" s="110" t="s">
        <v>1339</v>
      </c>
      <c r="E828" s="110"/>
      <c r="F828" s="110"/>
      <c r="G828" s="110" t="str">
        <f t="shared" si="12"/>
        <v>1</v>
      </c>
      <c r="H828" s="110"/>
      <c r="I828" s="110">
        <v>141.33122499999999</v>
      </c>
      <c r="J828" s="110">
        <v>40.660269</v>
      </c>
      <c r="K828" s="110"/>
      <c r="L828" s="110"/>
      <c r="M828" s="110"/>
      <c r="N828" s="110"/>
      <c r="O828" s="110"/>
      <c r="P828" s="109"/>
      <c r="Q828" s="109"/>
      <c r="R828" s="109"/>
      <c r="S828" s="110"/>
      <c r="T828" s="135"/>
    </row>
    <row r="829" spans="1:20" x14ac:dyDescent="0.2">
      <c r="A829" s="5">
        <v>828</v>
      </c>
      <c r="B829" s="110">
        <v>4361</v>
      </c>
      <c r="C829" s="110" t="s">
        <v>1340</v>
      </c>
      <c r="D829" s="110" t="s">
        <v>1341</v>
      </c>
      <c r="E829" s="110"/>
      <c r="F829" s="110"/>
      <c r="G829" s="110" t="str">
        <f t="shared" si="12"/>
        <v>1</v>
      </c>
      <c r="H829" s="110"/>
      <c r="I829" s="110">
        <v>141.33507900000001</v>
      </c>
      <c r="J829" s="110">
        <v>40.659433</v>
      </c>
      <c r="K829" s="110"/>
      <c r="L829" s="110"/>
      <c r="M829" s="110"/>
      <c r="N829" s="110"/>
      <c r="O829" s="110"/>
      <c r="P829" s="109"/>
      <c r="Q829" s="109"/>
      <c r="R829" s="109"/>
      <c r="S829" s="110"/>
      <c r="T829" s="135"/>
    </row>
    <row r="830" spans="1:20" x14ac:dyDescent="0.2">
      <c r="A830" s="5">
        <v>829</v>
      </c>
      <c r="B830" s="110">
        <v>4371</v>
      </c>
      <c r="C830" s="110" t="s">
        <v>1342</v>
      </c>
      <c r="D830" s="110" t="s">
        <v>1343</v>
      </c>
      <c r="E830" s="110"/>
      <c r="F830" s="110"/>
      <c r="G830" s="110" t="str">
        <f t="shared" si="12"/>
        <v>1</v>
      </c>
      <c r="H830" s="110"/>
      <c r="I830" s="110">
        <v>141.33705900000001</v>
      </c>
      <c r="J830" s="110">
        <v>40.660252</v>
      </c>
      <c r="K830" s="110"/>
      <c r="L830" s="110"/>
      <c r="M830" s="110"/>
      <c r="N830" s="110"/>
      <c r="O830" s="110"/>
      <c r="P830" s="109"/>
      <c r="Q830" s="109"/>
      <c r="R830" s="109"/>
      <c r="S830" s="110"/>
      <c r="T830" s="135"/>
    </row>
    <row r="831" spans="1:20" x14ac:dyDescent="0.2">
      <c r="A831" s="5">
        <v>830</v>
      </c>
      <c r="B831" s="110">
        <v>4381</v>
      </c>
      <c r="C831" s="110" t="s">
        <v>1344</v>
      </c>
      <c r="D831" s="110" t="s">
        <v>1345</v>
      </c>
      <c r="E831" s="110"/>
      <c r="F831" s="110"/>
      <c r="G831" s="110" t="str">
        <f t="shared" si="12"/>
        <v>1</v>
      </c>
      <c r="H831" s="110"/>
      <c r="I831" s="110">
        <v>141.33883499999999</v>
      </c>
      <c r="J831" s="110">
        <v>40.658557999999999</v>
      </c>
      <c r="K831" s="110"/>
      <c r="L831" s="110"/>
      <c r="M831" s="110"/>
      <c r="N831" s="110"/>
      <c r="O831" s="110"/>
      <c r="P831" s="109"/>
      <c r="Q831" s="109"/>
      <c r="R831" s="109"/>
      <c r="S831" s="110"/>
      <c r="T831" s="135"/>
    </row>
    <row r="832" spans="1:20" x14ac:dyDescent="0.2">
      <c r="A832" s="5">
        <v>831</v>
      </c>
      <c r="B832" s="110">
        <v>4391</v>
      </c>
      <c r="C832" s="110" t="s">
        <v>1346</v>
      </c>
      <c r="D832" s="110" t="s">
        <v>1347</v>
      </c>
      <c r="E832" s="110"/>
      <c r="F832" s="110"/>
      <c r="G832" s="110" t="str">
        <f t="shared" si="12"/>
        <v>1</v>
      </c>
      <c r="H832" s="110"/>
      <c r="I832" s="110">
        <v>141.343931</v>
      </c>
      <c r="J832" s="110">
        <v>40.659644999999998</v>
      </c>
      <c r="K832" s="110"/>
      <c r="L832" s="110"/>
      <c r="M832" s="110"/>
      <c r="N832" s="110"/>
      <c r="O832" s="110"/>
      <c r="P832" s="109"/>
      <c r="Q832" s="109"/>
      <c r="R832" s="109"/>
      <c r="S832" s="110"/>
      <c r="T832" s="135"/>
    </row>
    <row r="833" spans="1:20" x14ac:dyDescent="0.2">
      <c r="A833" s="5">
        <v>832</v>
      </c>
      <c r="B833" s="110">
        <v>4401</v>
      </c>
      <c r="C833" s="110" t="s">
        <v>1348</v>
      </c>
      <c r="D833" s="110" t="s">
        <v>636</v>
      </c>
      <c r="E833" s="110"/>
      <c r="F833" s="110"/>
      <c r="G833" s="110" t="str">
        <f t="shared" si="12"/>
        <v>1</v>
      </c>
      <c r="H833" s="110"/>
      <c r="I833" s="110">
        <v>141.35915499999999</v>
      </c>
      <c r="J833" s="110">
        <v>40.680506000000001</v>
      </c>
      <c r="K833" s="110"/>
      <c r="L833" s="110"/>
      <c r="M833" s="110"/>
      <c r="N833" s="110"/>
      <c r="O833" s="110"/>
      <c r="P833" s="109"/>
      <c r="Q833" s="109"/>
      <c r="R833" s="109"/>
      <c r="S833" s="110" t="s">
        <v>637</v>
      </c>
      <c r="T833" s="135"/>
    </row>
    <row r="834" spans="1:20" x14ac:dyDescent="0.2">
      <c r="A834" s="5">
        <v>833</v>
      </c>
      <c r="B834" s="110">
        <v>4411</v>
      </c>
      <c r="C834" s="110" t="s">
        <v>1349</v>
      </c>
      <c r="D834" s="192" t="s">
        <v>1350</v>
      </c>
      <c r="E834" s="110"/>
      <c r="F834" s="110"/>
      <c r="G834" s="110" t="str">
        <f t="shared" si="12"/>
        <v>1</v>
      </c>
      <c r="H834" s="110"/>
      <c r="I834" s="110">
        <v>141.35110800000001</v>
      </c>
      <c r="J834" s="110">
        <v>40.685566999999999</v>
      </c>
      <c r="K834" s="110"/>
      <c r="L834" s="110"/>
      <c r="M834" s="110"/>
      <c r="N834" s="110"/>
      <c r="O834" s="110"/>
      <c r="P834" s="109"/>
      <c r="Q834" s="109"/>
      <c r="R834" s="109"/>
      <c r="S834" s="110"/>
      <c r="T834" s="135"/>
    </row>
    <row r="835" spans="1:20" x14ac:dyDescent="0.2">
      <c r="A835" s="5">
        <v>834</v>
      </c>
      <c r="B835" s="110">
        <v>4421</v>
      </c>
      <c r="C835" s="110" t="s">
        <v>1351</v>
      </c>
      <c r="D835" s="192" t="s">
        <v>1352</v>
      </c>
      <c r="E835" s="110"/>
      <c r="F835" s="110"/>
      <c r="G835" s="110" t="str">
        <f t="shared" si="12"/>
        <v>1</v>
      </c>
      <c r="H835" s="110"/>
      <c r="I835" s="110">
        <v>141.34942899999999</v>
      </c>
      <c r="J835" s="110">
        <v>40.689106000000002</v>
      </c>
      <c r="K835" s="110"/>
      <c r="L835" s="110"/>
      <c r="M835" s="110"/>
      <c r="N835" s="110"/>
      <c r="O835" s="110"/>
      <c r="P835" s="109"/>
      <c r="Q835" s="109"/>
      <c r="R835" s="109"/>
      <c r="S835" s="110"/>
      <c r="T835" s="135"/>
    </row>
    <row r="836" spans="1:20" x14ac:dyDescent="0.2">
      <c r="A836" s="5">
        <v>835</v>
      </c>
      <c r="B836" s="110">
        <v>4431</v>
      </c>
      <c r="C836" s="110" t="s">
        <v>1353</v>
      </c>
      <c r="D836" s="192" t="s">
        <v>1354</v>
      </c>
      <c r="E836" s="110"/>
      <c r="F836" s="110"/>
      <c r="G836" s="110" t="str">
        <f t="shared" si="12"/>
        <v>1</v>
      </c>
      <c r="H836" s="110"/>
      <c r="I836" s="110">
        <v>141.34549200000001</v>
      </c>
      <c r="J836" s="110">
        <v>40.690289999999997</v>
      </c>
      <c r="K836" s="110"/>
      <c r="L836" s="110"/>
      <c r="M836" s="110"/>
      <c r="N836" s="110"/>
      <c r="O836" s="110"/>
      <c r="P836" s="109"/>
      <c r="Q836" s="109"/>
      <c r="R836" s="109"/>
      <c r="S836" s="110"/>
      <c r="T836" s="135"/>
    </row>
    <row r="837" spans="1:20" x14ac:dyDescent="0.2">
      <c r="A837" s="5">
        <v>836</v>
      </c>
      <c r="B837" s="110">
        <v>4441</v>
      </c>
      <c r="C837" s="110" t="s">
        <v>1355</v>
      </c>
      <c r="D837" s="110" t="s">
        <v>1356</v>
      </c>
      <c r="E837" s="110"/>
      <c r="F837" s="110"/>
      <c r="G837" s="110" t="str">
        <f t="shared" ref="G837:G900" si="13">RIGHT(B837,1)</f>
        <v>1</v>
      </c>
      <c r="H837" s="110"/>
      <c r="I837" s="110">
        <v>141.33365800000001</v>
      </c>
      <c r="J837" s="110">
        <v>40.694448999999999</v>
      </c>
      <c r="K837" s="110"/>
      <c r="L837" s="110"/>
      <c r="M837" s="110"/>
      <c r="N837" s="110"/>
      <c r="O837" s="110"/>
      <c r="P837" s="109"/>
      <c r="Q837" s="109"/>
      <c r="R837" s="109"/>
      <c r="S837" s="110"/>
      <c r="T837" s="135"/>
    </row>
    <row r="838" spans="1:20" x14ac:dyDescent="0.2">
      <c r="A838" s="5">
        <v>837</v>
      </c>
      <c r="B838" s="110">
        <v>4451</v>
      </c>
      <c r="C838" s="110" t="s">
        <v>1357</v>
      </c>
      <c r="D838" s="110" t="s">
        <v>1358</v>
      </c>
      <c r="E838" s="110"/>
      <c r="F838" s="110"/>
      <c r="G838" s="110" t="str">
        <f t="shared" si="13"/>
        <v>1</v>
      </c>
      <c r="H838" s="110"/>
      <c r="I838" s="110">
        <v>141.324308</v>
      </c>
      <c r="J838" s="110">
        <v>40.697426999999998</v>
      </c>
      <c r="K838" s="110"/>
      <c r="L838" s="110"/>
      <c r="M838" s="110"/>
      <c r="N838" s="110"/>
      <c r="O838" s="110"/>
      <c r="P838" s="109"/>
      <c r="Q838" s="109"/>
      <c r="R838" s="109"/>
      <c r="S838" s="110"/>
      <c r="T838" s="135"/>
    </row>
    <row r="839" spans="1:20" x14ac:dyDescent="0.2">
      <c r="A839" s="5">
        <v>838</v>
      </c>
      <c r="B839" s="110">
        <v>4461</v>
      </c>
      <c r="C839" s="110" t="s">
        <v>1359</v>
      </c>
      <c r="D839" s="192" t="s">
        <v>1360</v>
      </c>
      <c r="E839" s="110"/>
      <c r="F839" s="110"/>
      <c r="G839" s="110" t="str">
        <f t="shared" si="13"/>
        <v>1</v>
      </c>
      <c r="H839" s="110"/>
      <c r="I839" s="110">
        <v>141.30257599999999</v>
      </c>
      <c r="J839" s="110">
        <v>40.708629000000002</v>
      </c>
      <c r="K839" s="110"/>
      <c r="L839" s="110"/>
      <c r="M839" s="110"/>
      <c r="N839" s="110"/>
      <c r="O839" s="110"/>
      <c r="P839" s="109"/>
      <c r="Q839" s="109"/>
      <c r="R839" s="109"/>
      <c r="S839" s="110"/>
      <c r="T839" s="135"/>
    </row>
    <row r="840" spans="1:20" x14ac:dyDescent="0.2">
      <c r="A840" s="5">
        <v>839</v>
      </c>
      <c r="B840" s="110">
        <v>4471</v>
      </c>
      <c r="C840" s="110" t="s">
        <v>1361</v>
      </c>
      <c r="D840" s="192" t="s">
        <v>1362</v>
      </c>
      <c r="E840" s="110"/>
      <c r="F840" s="110"/>
      <c r="G840" s="110" t="str">
        <f t="shared" si="13"/>
        <v>1</v>
      </c>
      <c r="H840" s="110"/>
      <c r="I840" s="110">
        <v>141.297743</v>
      </c>
      <c r="J840" s="110">
        <v>40.711252999999999</v>
      </c>
      <c r="K840" s="110"/>
      <c r="L840" s="110"/>
      <c r="M840" s="110"/>
      <c r="N840" s="110"/>
      <c r="O840" s="110"/>
      <c r="P840" s="109"/>
      <c r="Q840" s="109"/>
      <c r="R840" s="109"/>
      <c r="S840" s="110"/>
      <c r="T840" s="135"/>
    </row>
    <row r="841" spans="1:20" x14ac:dyDescent="0.2">
      <c r="A841" s="5">
        <v>840</v>
      </c>
      <c r="B841" s="110">
        <v>4481</v>
      </c>
      <c r="C841" s="110" t="s">
        <v>1363</v>
      </c>
      <c r="D841" s="192" t="s">
        <v>1364</v>
      </c>
      <c r="E841" s="110"/>
      <c r="F841" s="110"/>
      <c r="G841" s="110" t="str">
        <f t="shared" si="13"/>
        <v>1</v>
      </c>
      <c r="H841" s="110"/>
      <c r="I841" s="110">
        <v>141.286574</v>
      </c>
      <c r="J841" s="110">
        <v>40.719991999999998</v>
      </c>
      <c r="K841" s="110"/>
      <c r="L841" s="110"/>
      <c r="M841" s="110"/>
      <c r="N841" s="110"/>
      <c r="O841" s="110"/>
      <c r="P841" s="109"/>
      <c r="Q841" s="109"/>
      <c r="R841" s="109"/>
      <c r="S841" s="110"/>
      <c r="T841" s="135"/>
    </row>
    <row r="842" spans="1:20" x14ac:dyDescent="0.2">
      <c r="A842" s="5">
        <v>841</v>
      </c>
      <c r="B842" s="110">
        <v>4491</v>
      </c>
      <c r="C842" s="110" t="s">
        <v>1365</v>
      </c>
      <c r="D842" s="110" t="s">
        <v>1366</v>
      </c>
      <c r="E842" s="110"/>
      <c r="F842" s="110"/>
      <c r="G842" s="110" t="str">
        <f t="shared" si="13"/>
        <v>1</v>
      </c>
      <c r="H842" s="110"/>
      <c r="I842" s="110">
        <v>141.28067899999999</v>
      </c>
      <c r="J842" s="110">
        <v>40.722467000000002</v>
      </c>
      <c r="K842" s="110"/>
      <c r="L842" s="110"/>
      <c r="M842" s="110"/>
      <c r="N842" s="110"/>
      <c r="O842" s="110"/>
      <c r="P842" s="109"/>
      <c r="Q842" s="109"/>
      <c r="R842" s="109"/>
      <c r="S842" s="110"/>
      <c r="T842" s="135"/>
    </row>
    <row r="843" spans="1:20" x14ac:dyDescent="0.2">
      <c r="A843" s="5">
        <v>842</v>
      </c>
      <c r="B843" s="110">
        <v>4501</v>
      </c>
      <c r="C843" s="110" t="s">
        <v>1367</v>
      </c>
      <c r="D843" s="110" t="s">
        <v>1368</v>
      </c>
      <c r="E843" s="110"/>
      <c r="F843" s="110"/>
      <c r="G843" s="110" t="str">
        <f t="shared" si="13"/>
        <v>1</v>
      </c>
      <c r="H843" s="110"/>
      <c r="I843" s="110">
        <v>141.27480499999999</v>
      </c>
      <c r="J843" s="110">
        <v>40.728195999999997</v>
      </c>
      <c r="K843" s="110"/>
      <c r="L843" s="110"/>
      <c r="M843" s="110"/>
      <c r="N843" s="110"/>
      <c r="O843" s="110"/>
      <c r="P843" s="109"/>
      <c r="Q843" s="109"/>
      <c r="R843" s="109"/>
      <c r="S843" s="110"/>
      <c r="T843" s="135"/>
    </row>
    <row r="844" spans="1:20" x14ac:dyDescent="0.2">
      <c r="A844" s="5">
        <v>843</v>
      </c>
      <c r="B844" s="110">
        <v>4511</v>
      </c>
      <c r="C844" s="110" t="s">
        <v>1369</v>
      </c>
      <c r="D844" s="192" t="s">
        <v>1370</v>
      </c>
      <c r="E844" s="110"/>
      <c r="F844" s="110"/>
      <c r="G844" s="110" t="str">
        <f t="shared" si="13"/>
        <v>1</v>
      </c>
      <c r="H844" s="110"/>
      <c r="I844" s="110">
        <v>141.27084099999999</v>
      </c>
      <c r="J844" s="110">
        <v>40.732061999999999</v>
      </c>
      <c r="K844" s="110"/>
      <c r="L844" s="110"/>
      <c r="M844" s="110"/>
      <c r="N844" s="110"/>
      <c r="O844" s="110"/>
      <c r="P844" s="109"/>
      <c r="Q844" s="109"/>
      <c r="R844" s="109"/>
      <c r="S844" s="110"/>
      <c r="T844" s="135"/>
    </row>
    <row r="845" spans="1:20" x14ac:dyDescent="0.2">
      <c r="A845" s="5">
        <v>844</v>
      </c>
      <c r="B845" s="110">
        <v>4521</v>
      </c>
      <c r="C845" s="110" t="s">
        <v>1371</v>
      </c>
      <c r="D845" s="192" t="s">
        <v>1372</v>
      </c>
      <c r="E845" s="110"/>
      <c r="F845" s="110"/>
      <c r="G845" s="110" t="str">
        <f t="shared" si="13"/>
        <v>1</v>
      </c>
      <c r="H845" s="110"/>
      <c r="I845" s="110">
        <v>141.252612</v>
      </c>
      <c r="J845" s="110">
        <v>40.726967000000002</v>
      </c>
      <c r="K845" s="110"/>
      <c r="L845" s="110"/>
      <c r="M845" s="110"/>
      <c r="N845" s="110"/>
      <c r="O845" s="110"/>
      <c r="P845" s="109"/>
      <c r="Q845" s="109"/>
      <c r="R845" s="109"/>
      <c r="S845" s="110"/>
      <c r="T845" s="135"/>
    </row>
    <row r="846" spans="1:20" x14ac:dyDescent="0.2">
      <c r="A846" s="5">
        <v>845</v>
      </c>
      <c r="B846" s="110">
        <v>4531</v>
      </c>
      <c r="C846" s="110" t="s">
        <v>1373</v>
      </c>
      <c r="D846" s="192" t="s">
        <v>1374</v>
      </c>
      <c r="E846" s="110"/>
      <c r="F846" s="110"/>
      <c r="G846" s="110" t="str">
        <f t="shared" si="13"/>
        <v>1</v>
      </c>
      <c r="H846" s="110"/>
      <c r="I846" s="110">
        <v>141.247253</v>
      </c>
      <c r="J846" s="110">
        <v>40.726654000000003</v>
      </c>
      <c r="K846" s="110"/>
      <c r="L846" s="110"/>
      <c r="M846" s="110"/>
      <c r="N846" s="110"/>
      <c r="O846" s="110"/>
      <c r="P846" s="109"/>
      <c r="Q846" s="109"/>
      <c r="R846" s="109"/>
      <c r="S846" s="110"/>
      <c r="T846" s="135"/>
    </row>
    <row r="847" spans="1:20" x14ac:dyDescent="0.2">
      <c r="A847" s="5">
        <v>846</v>
      </c>
      <c r="B847" s="110">
        <v>4541</v>
      </c>
      <c r="C847" s="110" t="s">
        <v>1375</v>
      </c>
      <c r="D847" s="192" t="s">
        <v>1376</v>
      </c>
      <c r="E847" s="110"/>
      <c r="F847" s="110"/>
      <c r="G847" s="110" t="str">
        <f t="shared" si="13"/>
        <v>1</v>
      </c>
      <c r="H847" s="110"/>
      <c r="I847" s="110">
        <v>141.24468400000001</v>
      </c>
      <c r="J847" s="110">
        <v>40.725645999999998</v>
      </c>
      <c r="K847" s="110"/>
      <c r="L847" s="110"/>
      <c r="M847" s="110"/>
      <c r="N847" s="110"/>
      <c r="O847" s="110"/>
      <c r="P847" s="109"/>
      <c r="Q847" s="109"/>
      <c r="R847" s="109"/>
      <c r="S847" s="110"/>
      <c r="T847" s="135"/>
    </row>
    <row r="848" spans="1:20" x14ac:dyDescent="0.2">
      <c r="A848" s="5">
        <v>847</v>
      </c>
      <c r="B848" s="110">
        <v>4551</v>
      </c>
      <c r="C848" s="110" t="s">
        <v>1377</v>
      </c>
      <c r="D848" s="192" t="s">
        <v>1378</v>
      </c>
      <c r="E848" s="110"/>
      <c r="F848" s="110"/>
      <c r="G848" s="110" t="str">
        <f t="shared" si="13"/>
        <v>1</v>
      </c>
      <c r="H848" s="110"/>
      <c r="I848" s="110">
        <v>141.239609</v>
      </c>
      <c r="J848" s="110">
        <v>40.722929999999998</v>
      </c>
      <c r="K848" s="110"/>
      <c r="L848" s="110"/>
      <c r="M848" s="110"/>
      <c r="N848" s="110"/>
      <c r="O848" s="110"/>
      <c r="P848" s="109"/>
      <c r="Q848" s="109"/>
      <c r="R848" s="109"/>
      <c r="S848" s="110"/>
      <c r="T848" s="135"/>
    </row>
    <row r="849" spans="1:20" x14ac:dyDescent="0.2">
      <c r="A849" s="5">
        <v>848</v>
      </c>
      <c r="B849" s="110">
        <v>4561</v>
      </c>
      <c r="C849" s="110" t="s">
        <v>1379</v>
      </c>
      <c r="D849" s="110" t="s">
        <v>1380</v>
      </c>
      <c r="E849" s="110"/>
      <c r="F849" s="110"/>
      <c r="G849" s="110" t="str">
        <f t="shared" si="13"/>
        <v>1</v>
      </c>
      <c r="H849" s="110"/>
      <c r="I849" s="110">
        <v>141.23440500000001</v>
      </c>
      <c r="J849" s="110">
        <v>40.717343999999997</v>
      </c>
      <c r="K849" s="110"/>
      <c r="L849" s="110"/>
      <c r="M849" s="110"/>
      <c r="N849" s="110"/>
      <c r="O849" s="110"/>
      <c r="P849" s="109"/>
      <c r="Q849" s="109"/>
      <c r="R849" s="109"/>
      <c r="S849" s="110"/>
      <c r="T849" s="135"/>
    </row>
    <row r="850" spans="1:20" x14ac:dyDescent="0.2">
      <c r="A850" s="5">
        <v>849</v>
      </c>
      <c r="B850" s="110">
        <v>4571</v>
      </c>
      <c r="C850" s="110" t="s">
        <v>1381</v>
      </c>
      <c r="D850" s="110" t="s">
        <v>1382</v>
      </c>
      <c r="E850" s="110"/>
      <c r="F850" s="110"/>
      <c r="G850" s="110" t="str">
        <f t="shared" si="13"/>
        <v>1</v>
      </c>
      <c r="H850" s="110"/>
      <c r="I850" s="110">
        <v>141.22512</v>
      </c>
      <c r="J850" s="110">
        <v>40.717063000000003</v>
      </c>
      <c r="K850" s="110"/>
      <c r="L850" s="110"/>
      <c r="M850" s="110"/>
      <c r="N850" s="110"/>
      <c r="O850" s="110"/>
      <c r="P850" s="109"/>
      <c r="Q850" s="109"/>
      <c r="R850" s="109"/>
      <c r="S850" s="110"/>
      <c r="T850" s="135"/>
    </row>
    <row r="851" spans="1:20" x14ac:dyDescent="0.2">
      <c r="A851" s="5">
        <v>850</v>
      </c>
      <c r="B851" s="110">
        <v>4581</v>
      </c>
      <c r="C851" s="110" t="s">
        <v>1383</v>
      </c>
      <c r="D851" s="110" t="s">
        <v>1384</v>
      </c>
      <c r="E851" s="110"/>
      <c r="F851" s="110"/>
      <c r="G851" s="110" t="str">
        <f t="shared" si="13"/>
        <v>1</v>
      </c>
      <c r="H851" s="110"/>
      <c r="I851" s="110">
        <v>141.21889200000001</v>
      </c>
      <c r="J851" s="110">
        <v>40.713535999999998</v>
      </c>
      <c r="K851" s="110"/>
      <c r="L851" s="110"/>
      <c r="M851" s="110"/>
      <c r="N851" s="110"/>
      <c r="O851" s="110"/>
      <c r="P851" s="109"/>
      <c r="Q851" s="109"/>
      <c r="R851" s="109"/>
      <c r="S851" s="110"/>
      <c r="T851" s="135"/>
    </row>
    <row r="852" spans="1:20" x14ac:dyDescent="0.2">
      <c r="A852" s="5">
        <v>851</v>
      </c>
      <c r="B852" s="110">
        <v>4591</v>
      </c>
      <c r="C852" s="110" t="s">
        <v>1385</v>
      </c>
      <c r="D852" s="110" t="s">
        <v>1386</v>
      </c>
      <c r="E852" s="110"/>
      <c r="F852" s="110"/>
      <c r="G852" s="110" t="str">
        <f t="shared" si="13"/>
        <v>1</v>
      </c>
      <c r="H852" s="110"/>
      <c r="I852" s="110">
        <v>141.21673000000001</v>
      </c>
      <c r="J852" s="110">
        <v>40.713121000000001</v>
      </c>
      <c r="K852" s="110"/>
      <c r="L852" s="110"/>
      <c r="M852" s="110"/>
      <c r="N852" s="110"/>
      <c r="O852" s="110"/>
      <c r="P852" s="109"/>
      <c r="Q852" s="109"/>
      <c r="R852" s="109"/>
      <c r="S852" s="110"/>
      <c r="T852" s="135"/>
    </row>
    <row r="853" spans="1:20" x14ac:dyDescent="0.2">
      <c r="A853" s="5">
        <v>852</v>
      </c>
      <c r="B853" s="110">
        <v>4601</v>
      </c>
      <c r="C853" s="110" t="s">
        <v>1387</v>
      </c>
      <c r="D853" s="110" t="s">
        <v>1388</v>
      </c>
      <c r="E853" s="110"/>
      <c r="F853" s="110"/>
      <c r="G853" s="110" t="str">
        <f t="shared" si="13"/>
        <v>1</v>
      </c>
      <c r="H853" s="110"/>
      <c r="I853" s="110">
        <v>141.21202500000001</v>
      </c>
      <c r="J853" s="110">
        <v>40.711697999999998</v>
      </c>
      <c r="K853" s="110"/>
      <c r="L853" s="110"/>
      <c r="M853" s="110"/>
      <c r="N853" s="110"/>
      <c r="O853" s="110"/>
      <c r="P853" s="109"/>
      <c r="Q853" s="109"/>
      <c r="R853" s="109"/>
      <c r="S853" s="110"/>
      <c r="T853" s="135"/>
    </row>
    <row r="854" spans="1:20" x14ac:dyDescent="0.2">
      <c r="A854" s="5">
        <v>853</v>
      </c>
      <c r="B854" s="110">
        <v>4611</v>
      </c>
      <c r="C854" s="110" t="s">
        <v>1389</v>
      </c>
      <c r="D854" s="110" t="s">
        <v>1390</v>
      </c>
      <c r="E854" s="110"/>
      <c r="F854" s="110"/>
      <c r="G854" s="110" t="str">
        <f t="shared" si="13"/>
        <v>1</v>
      </c>
      <c r="H854" s="110"/>
      <c r="I854" s="110">
        <v>141.20740599999999</v>
      </c>
      <c r="J854" s="110">
        <v>40.709440000000001</v>
      </c>
      <c r="K854" s="110"/>
      <c r="L854" s="110"/>
      <c r="M854" s="110"/>
      <c r="N854" s="110"/>
      <c r="O854" s="110"/>
      <c r="P854" s="109"/>
      <c r="Q854" s="109"/>
      <c r="R854" s="109"/>
      <c r="S854" s="110"/>
      <c r="T854" s="135"/>
    </row>
    <row r="855" spans="1:20" x14ac:dyDescent="0.2">
      <c r="A855" s="5">
        <v>854</v>
      </c>
      <c r="B855" s="110">
        <v>4621</v>
      </c>
      <c r="C855" s="110" t="s">
        <v>1391</v>
      </c>
      <c r="D855" s="110" t="s">
        <v>1392</v>
      </c>
      <c r="E855" s="110"/>
      <c r="F855" s="110"/>
      <c r="G855" s="110" t="str">
        <f t="shared" si="13"/>
        <v>1</v>
      </c>
      <c r="H855" s="110"/>
      <c r="I855" s="110">
        <v>141.204601</v>
      </c>
      <c r="J855" s="110">
        <v>40.708889999999997</v>
      </c>
      <c r="K855" s="110"/>
      <c r="L855" s="110"/>
      <c r="M855" s="110"/>
      <c r="N855" s="110"/>
      <c r="O855" s="110"/>
      <c r="P855" s="109"/>
      <c r="Q855" s="109"/>
      <c r="R855" s="109"/>
      <c r="S855" s="110"/>
      <c r="T855" s="135"/>
    </row>
    <row r="856" spans="1:20" x14ac:dyDescent="0.2">
      <c r="A856" s="5">
        <v>855</v>
      </c>
      <c r="B856" s="110">
        <v>4631</v>
      </c>
      <c r="C856" s="110" t="s">
        <v>1393</v>
      </c>
      <c r="D856" s="110" t="s">
        <v>1394</v>
      </c>
      <c r="E856" s="110"/>
      <c r="F856" s="110"/>
      <c r="G856" s="110" t="str">
        <f t="shared" si="13"/>
        <v>1</v>
      </c>
      <c r="H856" s="110"/>
      <c r="I856" s="110">
        <v>141.20122699999999</v>
      </c>
      <c r="J856" s="110">
        <v>40.707906000000001</v>
      </c>
      <c r="K856" s="110"/>
      <c r="L856" s="110"/>
      <c r="M856" s="110"/>
      <c r="N856" s="110"/>
      <c r="O856" s="110"/>
      <c r="P856" s="109"/>
      <c r="Q856" s="109"/>
      <c r="R856" s="109"/>
      <c r="S856" s="110"/>
      <c r="T856" s="135"/>
    </row>
    <row r="857" spans="1:20" x14ac:dyDescent="0.2">
      <c r="A857" s="5">
        <v>856</v>
      </c>
      <c r="B857" s="110">
        <v>4641</v>
      </c>
      <c r="C857" s="110" t="s">
        <v>1395</v>
      </c>
      <c r="D857" s="110" t="s">
        <v>1396</v>
      </c>
      <c r="E857" s="110"/>
      <c r="F857" s="110"/>
      <c r="G857" s="110" t="str">
        <f t="shared" si="13"/>
        <v>1</v>
      </c>
      <c r="H857" s="110"/>
      <c r="I857" s="110">
        <v>141.19151199999999</v>
      </c>
      <c r="J857" s="110">
        <v>40.703335000000003</v>
      </c>
      <c r="K857" s="110"/>
      <c r="L857" s="110"/>
      <c r="M857" s="110"/>
      <c r="N857" s="110"/>
      <c r="O857" s="110"/>
      <c r="P857" s="109"/>
      <c r="Q857" s="109"/>
      <c r="R857" s="109"/>
      <c r="S857" s="110"/>
      <c r="T857" s="135"/>
    </row>
    <row r="858" spans="1:20" x14ac:dyDescent="0.2">
      <c r="A858" s="5">
        <v>857</v>
      </c>
      <c r="B858" s="110">
        <v>4651</v>
      </c>
      <c r="C858" s="110" t="s">
        <v>1397</v>
      </c>
      <c r="D858" s="192" t="s">
        <v>1398</v>
      </c>
      <c r="E858" s="110"/>
      <c r="F858" s="110"/>
      <c r="G858" s="110" t="str">
        <f t="shared" si="13"/>
        <v>1</v>
      </c>
      <c r="H858" s="110"/>
      <c r="I858" s="110">
        <v>141.189269</v>
      </c>
      <c r="J858" s="110">
        <v>40.700757000000003</v>
      </c>
      <c r="K858" s="110"/>
      <c r="L858" s="110"/>
      <c r="M858" s="110"/>
      <c r="N858" s="110"/>
      <c r="O858" s="110"/>
      <c r="P858" s="109"/>
      <c r="Q858" s="109"/>
      <c r="R858" s="109"/>
      <c r="S858" s="110"/>
      <c r="T858" s="135"/>
    </row>
    <row r="859" spans="1:20" x14ac:dyDescent="0.2">
      <c r="A859" s="5">
        <v>858</v>
      </c>
      <c r="B859" s="110">
        <v>4661</v>
      </c>
      <c r="C859" s="110" t="s">
        <v>1399</v>
      </c>
      <c r="D859" s="110" t="s">
        <v>1400</v>
      </c>
      <c r="E859" s="110"/>
      <c r="F859" s="110"/>
      <c r="G859" s="110" t="str">
        <f t="shared" si="13"/>
        <v>1</v>
      </c>
      <c r="H859" s="110"/>
      <c r="I859" s="199">
        <v>141.18580109999999</v>
      </c>
      <c r="J859" s="110">
        <v>40.698233899999998</v>
      </c>
      <c r="K859" s="110"/>
      <c r="L859" s="110"/>
      <c r="M859" s="110"/>
      <c r="N859" s="110"/>
      <c r="O859" s="110"/>
      <c r="P859" s="109"/>
      <c r="Q859" s="109"/>
      <c r="R859" s="109"/>
      <c r="S859" s="110"/>
      <c r="T859" s="135"/>
    </row>
    <row r="860" spans="1:20" x14ac:dyDescent="0.2">
      <c r="A860" s="5">
        <v>859</v>
      </c>
      <c r="B860" s="110">
        <v>4671</v>
      </c>
      <c r="C860" s="110" t="s">
        <v>1401</v>
      </c>
      <c r="D860" s="192" t="s">
        <v>1402</v>
      </c>
      <c r="E860" s="110"/>
      <c r="F860" s="110"/>
      <c r="G860" s="110" t="str">
        <f t="shared" si="13"/>
        <v>1</v>
      </c>
      <c r="H860" s="110"/>
      <c r="I860" s="110">
        <v>141.17739800000001</v>
      </c>
      <c r="J860" s="110">
        <v>40.699328999999999</v>
      </c>
      <c r="K860" s="110"/>
      <c r="L860" s="110"/>
      <c r="M860" s="110"/>
      <c r="N860" s="110"/>
      <c r="O860" s="110"/>
      <c r="P860" s="109"/>
      <c r="Q860" s="109"/>
      <c r="R860" s="109"/>
      <c r="S860" s="110"/>
      <c r="T860" s="135"/>
    </row>
    <row r="861" spans="1:20" x14ac:dyDescent="0.2">
      <c r="A861" s="5">
        <v>860</v>
      </c>
      <c r="B861" s="110">
        <v>4681</v>
      </c>
      <c r="C861" s="110" t="s">
        <v>1403</v>
      </c>
      <c r="D861" s="110" t="s">
        <v>1404</v>
      </c>
      <c r="E861" s="110"/>
      <c r="F861" s="110"/>
      <c r="G861" s="110" t="str">
        <f t="shared" si="13"/>
        <v>1</v>
      </c>
      <c r="H861" s="110"/>
      <c r="I861" s="110">
        <v>141.16489899999999</v>
      </c>
      <c r="J861" s="110">
        <v>40.697538000000002</v>
      </c>
      <c r="K861" s="110"/>
      <c r="L861" s="110"/>
      <c r="M861" s="110"/>
      <c r="N861" s="110"/>
      <c r="O861" s="110"/>
      <c r="P861" s="109"/>
      <c r="Q861" s="109"/>
      <c r="R861" s="109"/>
      <c r="S861" s="110"/>
      <c r="T861" s="135"/>
    </row>
    <row r="862" spans="1:20" x14ac:dyDescent="0.2">
      <c r="A862" s="5">
        <v>861</v>
      </c>
      <c r="B862" s="110">
        <v>4691</v>
      </c>
      <c r="C862" s="110" t="s">
        <v>1405</v>
      </c>
      <c r="D862" s="110" t="s">
        <v>1406</v>
      </c>
      <c r="E862" s="110"/>
      <c r="F862" s="110"/>
      <c r="G862" s="110" t="str">
        <f t="shared" si="13"/>
        <v>1</v>
      </c>
      <c r="H862" s="110"/>
      <c r="I862" s="110">
        <v>141.16331099999999</v>
      </c>
      <c r="J862" s="110">
        <v>40.696756000000001</v>
      </c>
      <c r="K862" s="110"/>
      <c r="L862" s="110"/>
      <c r="M862" s="110"/>
      <c r="N862" s="110"/>
      <c r="O862" s="110"/>
      <c r="P862" s="109"/>
      <c r="Q862" s="109"/>
      <c r="R862" s="109"/>
      <c r="S862" s="110"/>
      <c r="T862" s="135"/>
    </row>
    <row r="863" spans="1:20" x14ac:dyDescent="0.2">
      <c r="A863" s="5">
        <v>862</v>
      </c>
      <c r="B863" s="110">
        <v>4692</v>
      </c>
      <c r="C863" s="110" t="s">
        <v>1405</v>
      </c>
      <c r="D863" s="110" t="s">
        <v>1406</v>
      </c>
      <c r="E863" s="110"/>
      <c r="F863" s="110"/>
      <c r="G863" s="110" t="str">
        <f t="shared" si="13"/>
        <v>2</v>
      </c>
      <c r="H863" s="110"/>
      <c r="I863" s="110">
        <v>141.163241</v>
      </c>
      <c r="J863" s="110">
        <v>40.696829000000001</v>
      </c>
      <c r="K863" s="110"/>
      <c r="L863" s="110"/>
      <c r="M863" s="110"/>
      <c r="N863" s="110"/>
      <c r="O863" s="110"/>
      <c r="P863" s="109"/>
      <c r="Q863" s="109"/>
      <c r="R863" s="109"/>
      <c r="S863" s="110"/>
      <c r="T863" s="135"/>
    </row>
    <row r="864" spans="1:20" x14ac:dyDescent="0.2">
      <c r="A864" s="5">
        <v>863</v>
      </c>
      <c r="B864" s="110">
        <v>4682</v>
      </c>
      <c r="C864" s="110" t="s">
        <v>1403</v>
      </c>
      <c r="D864" s="110" t="s">
        <v>1404</v>
      </c>
      <c r="E864" s="110"/>
      <c r="F864" s="110"/>
      <c r="G864" s="110" t="str">
        <f t="shared" si="13"/>
        <v>2</v>
      </c>
      <c r="H864" s="110"/>
      <c r="I864" s="110">
        <v>141.165773</v>
      </c>
      <c r="J864" s="110">
        <v>40.698315000000001</v>
      </c>
      <c r="K864" s="110"/>
      <c r="L864" s="110"/>
      <c r="M864" s="110"/>
      <c r="N864" s="110"/>
      <c r="O864" s="110"/>
      <c r="P864" s="109"/>
      <c r="Q864" s="109"/>
      <c r="R864" s="109"/>
      <c r="S864" s="110"/>
      <c r="T864" s="135"/>
    </row>
    <row r="865" spans="1:20" x14ac:dyDescent="0.2">
      <c r="A865" s="5">
        <v>864</v>
      </c>
      <c r="B865" s="110">
        <v>4672</v>
      </c>
      <c r="C865" s="110" t="s">
        <v>1401</v>
      </c>
      <c r="D865" s="192" t="s">
        <v>1402</v>
      </c>
      <c r="E865" s="110"/>
      <c r="F865" s="110"/>
      <c r="G865" s="110" t="str">
        <f t="shared" si="13"/>
        <v>2</v>
      </c>
      <c r="H865" s="110"/>
      <c r="I865" s="110">
        <v>141.17752100000001</v>
      </c>
      <c r="J865" s="110">
        <v>40.699328999999999</v>
      </c>
      <c r="K865" s="110"/>
      <c r="L865" s="110"/>
      <c r="M865" s="110"/>
      <c r="N865" s="110"/>
      <c r="O865" s="110"/>
      <c r="P865" s="109"/>
      <c r="Q865" s="109"/>
      <c r="R865" s="109"/>
      <c r="S865" s="110"/>
      <c r="T865" s="135"/>
    </row>
    <row r="866" spans="1:20" x14ac:dyDescent="0.2">
      <c r="A866" s="5">
        <v>865</v>
      </c>
      <c r="B866" s="110">
        <v>4662</v>
      </c>
      <c r="C866" s="110" t="s">
        <v>1399</v>
      </c>
      <c r="D866" s="110" t="s">
        <v>1400</v>
      </c>
      <c r="E866" s="110"/>
      <c r="F866" s="110"/>
      <c r="G866" s="110" t="str">
        <f t="shared" si="13"/>
        <v>2</v>
      </c>
      <c r="H866" s="110"/>
      <c r="I866" s="110">
        <v>141.18558899999999</v>
      </c>
      <c r="J866" s="110">
        <v>40.698250000000002</v>
      </c>
      <c r="K866" s="110"/>
      <c r="L866" s="110"/>
      <c r="M866" s="110"/>
      <c r="N866" s="110"/>
      <c r="O866" s="110"/>
      <c r="P866" s="109"/>
      <c r="Q866" s="109"/>
      <c r="R866" s="109"/>
      <c r="S866" s="110"/>
      <c r="T866" s="135"/>
    </row>
    <row r="867" spans="1:20" x14ac:dyDescent="0.2">
      <c r="A867" s="5">
        <v>866</v>
      </c>
      <c r="B867" s="110">
        <v>4652</v>
      </c>
      <c r="C867" s="110" t="s">
        <v>1397</v>
      </c>
      <c r="D867" s="192" t="s">
        <v>1398</v>
      </c>
      <c r="E867" s="110"/>
      <c r="F867" s="110"/>
      <c r="G867" s="110" t="str">
        <f t="shared" si="13"/>
        <v>2</v>
      </c>
      <c r="H867" s="110"/>
      <c r="I867" s="110">
        <v>141.18921599999999</v>
      </c>
      <c r="J867" s="110">
        <v>40.700789</v>
      </c>
      <c r="K867" s="110"/>
      <c r="L867" s="110"/>
      <c r="M867" s="110"/>
      <c r="N867" s="110"/>
      <c r="O867" s="110"/>
      <c r="P867" s="109"/>
      <c r="Q867" s="109"/>
      <c r="R867" s="109"/>
      <c r="S867" s="110"/>
      <c r="T867" s="135"/>
    </row>
    <row r="868" spans="1:20" x14ac:dyDescent="0.2">
      <c r="A868" s="5">
        <v>867</v>
      </c>
      <c r="B868" s="110">
        <v>4642</v>
      </c>
      <c r="C868" s="110" t="s">
        <v>1395</v>
      </c>
      <c r="D868" s="110" t="s">
        <v>1396</v>
      </c>
      <c r="E868" s="110"/>
      <c r="F868" s="110"/>
      <c r="G868" s="110" t="str">
        <f t="shared" si="13"/>
        <v>2</v>
      </c>
      <c r="H868" s="110"/>
      <c r="I868" s="110">
        <v>141.19141999999999</v>
      </c>
      <c r="J868" s="110">
        <v>40.703335000000003</v>
      </c>
      <c r="K868" s="110"/>
      <c r="L868" s="110"/>
      <c r="M868" s="110"/>
      <c r="N868" s="110"/>
      <c r="O868" s="110"/>
      <c r="P868" s="109"/>
      <c r="Q868" s="109"/>
      <c r="R868" s="109"/>
      <c r="S868" s="110"/>
      <c r="T868" s="135"/>
    </row>
    <row r="869" spans="1:20" x14ac:dyDescent="0.2">
      <c r="A869" s="5">
        <v>868</v>
      </c>
      <c r="B869" s="110">
        <v>4632</v>
      </c>
      <c r="C869" s="110" t="s">
        <v>1393</v>
      </c>
      <c r="D869" s="110" t="s">
        <v>1394</v>
      </c>
      <c r="E869" s="110"/>
      <c r="F869" s="110"/>
      <c r="G869" s="110" t="str">
        <f t="shared" si="13"/>
        <v>2</v>
      </c>
      <c r="H869" s="110"/>
      <c r="I869" s="110">
        <v>141.20118400000001</v>
      </c>
      <c r="J869" s="110">
        <v>40.707954999999998</v>
      </c>
      <c r="K869" s="110"/>
      <c r="L869" s="110"/>
      <c r="M869" s="110"/>
      <c r="N869" s="110"/>
      <c r="O869" s="110"/>
      <c r="P869" s="109"/>
      <c r="Q869" s="109"/>
      <c r="R869" s="109"/>
      <c r="S869" s="110"/>
      <c r="T869" s="135"/>
    </row>
    <row r="870" spans="1:20" x14ac:dyDescent="0.2">
      <c r="A870" s="5">
        <v>869</v>
      </c>
      <c r="B870" s="110">
        <v>4622</v>
      </c>
      <c r="C870" s="110" t="s">
        <v>1391</v>
      </c>
      <c r="D870" s="110" t="s">
        <v>1392</v>
      </c>
      <c r="E870" s="110"/>
      <c r="F870" s="110"/>
      <c r="G870" s="110" t="str">
        <f t="shared" si="13"/>
        <v>2</v>
      </c>
      <c r="H870" s="110"/>
      <c r="I870" s="110">
        <v>141.20456899999999</v>
      </c>
      <c r="J870" s="110">
        <v>40.708939000000001</v>
      </c>
      <c r="K870" s="110"/>
      <c r="L870" s="110"/>
      <c r="M870" s="110"/>
      <c r="N870" s="110"/>
      <c r="O870" s="110"/>
      <c r="P870" s="109"/>
      <c r="Q870" s="109"/>
      <c r="R870" s="109"/>
      <c r="S870" s="110"/>
      <c r="T870" s="135"/>
    </row>
    <row r="871" spans="1:20" x14ac:dyDescent="0.2">
      <c r="A871" s="5">
        <v>870</v>
      </c>
      <c r="B871" s="110">
        <v>4612</v>
      </c>
      <c r="C871" s="110" t="s">
        <v>1389</v>
      </c>
      <c r="D871" s="110" t="s">
        <v>1390</v>
      </c>
      <c r="E871" s="110"/>
      <c r="F871" s="110"/>
      <c r="G871" s="110" t="str">
        <f t="shared" si="13"/>
        <v>2</v>
      </c>
      <c r="H871" s="110"/>
      <c r="I871" s="110">
        <v>141.20739</v>
      </c>
      <c r="J871" s="110">
        <v>40.709493000000002</v>
      </c>
      <c r="K871" s="110"/>
      <c r="L871" s="110"/>
      <c r="M871" s="110"/>
      <c r="N871" s="110"/>
      <c r="O871" s="110"/>
      <c r="P871" s="109"/>
      <c r="Q871" s="109"/>
      <c r="R871" s="109"/>
      <c r="S871" s="110"/>
      <c r="T871" s="135"/>
    </row>
    <row r="872" spans="1:20" x14ac:dyDescent="0.2">
      <c r="A872" s="5">
        <v>871</v>
      </c>
      <c r="B872" s="110">
        <v>4602</v>
      </c>
      <c r="C872" s="110" t="s">
        <v>1387</v>
      </c>
      <c r="D872" s="110" t="s">
        <v>1388</v>
      </c>
      <c r="E872" s="110"/>
      <c r="F872" s="110"/>
      <c r="G872" s="110" t="str">
        <f t="shared" si="13"/>
        <v>2</v>
      </c>
      <c r="H872" s="110"/>
      <c r="I872" s="110">
        <v>141.211939</v>
      </c>
      <c r="J872" s="110">
        <v>40.711730000000003</v>
      </c>
      <c r="K872" s="110"/>
      <c r="L872" s="110"/>
      <c r="M872" s="110"/>
      <c r="N872" s="110"/>
      <c r="O872" s="110"/>
      <c r="P872" s="109"/>
      <c r="Q872" s="109"/>
      <c r="R872" s="109"/>
      <c r="S872" s="110"/>
      <c r="T872" s="135"/>
    </row>
    <row r="873" spans="1:20" x14ac:dyDescent="0.2">
      <c r="A873" s="5">
        <v>872</v>
      </c>
      <c r="B873" s="110">
        <v>4592</v>
      </c>
      <c r="C873" s="110" t="s">
        <v>1385</v>
      </c>
      <c r="D873" s="110" t="s">
        <v>1386</v>
      </c>
      <c r="E873" s="110"/>
      <c r="F873" s="110"/>
      <c r="G873" s="110" t="str">
        <f t="shared" si="13"/>
        <v>2</v>
      </c>
      <c r="H873" s="110"/>
      <c r="I873" s="110">
        <v>141.21667600000001</v>
      </c>
      <c r="J873" s="110">
        <v>40.713166000000001</v>
      </c>
      <c r="K873" s="110"/>
      <c r="L873" s="110"/>
      <c r="M873" s="110"/>
      <c r="N873" s="110"/>
      <c r="O873" s="110"/>
      <c r="P873" s="109"/>
      <c r="Q873" s="109"/>
      <c r="R873" s="109"/>
      <c r="S873" s="110"/>
      <c r="T873" s="135"/>
    </row>
    <row r="874" spans="1:20" x14ac:dyDescent="0.2">
      <c r="A874" s="5">
        <v>873</v>
      </c>
      <c r="B874" s="110">
        <v>4582</v>
      </c>
      <c r="C874" s="110" t="s">
        <v>1383</v>
      </c>
      <c r="D874" s="110" t="s">
        <v>1384</v>
      </c>
      <c r="E874" s="110"/>
      <c r="F874" s="110"/>
      <c r="G874" s="110" t="str">
        <f t="shared" si="13"/>
        <v>2</v>
      </c>
      <c r="H874" s="110"/>
      <c r="I874" s="110">
        <v>141.218897</v>
      </c>
      <c r="J874" s="110">
        <v>40.713597</v>
      </c>
      <c r="K874" s="110"/>
      <c r="L874" s="110"/>
      <c r="M874" s="110"/>
      <c r="N874" s="110"/>
      <c r="O874" s="110"/>
      <c r="P874" s="109"/>
      <c r="Q874" s="109"/>
      <c r="R874" s="109"/>
      <c r="S874" s="110"/>
      <c r="T874" s="135"/>
    </row>
    <row r="875" spans="1:20" x14ac:dyDescent="0.2">
      <c r="A875" s="5">
        <v>874</v>
      </c>
      <c r="B875" s="110">
        <v>4572</v>
      </c>
      <c r="C875" s="110" t="s">
        <v>1381</v>
      </c>
      <c r="D875" s="110" t="s">
        <v>1382</v>
      </c>
      <c r="E875" s="110"/>
      <c r="F875" s="110"/>
      <c r="G875" s="110" t="str">
        <f t="shared" si="13"/>
        <v>2</v>
      </c>
      <c r="H875" s="110"/>
      <c r="I875" s="110">
        <v>141.224996</v>
      </c>
      <c r="J875" s="110">
        <v>40.717092000000001</v>
      </c>
      <c r="K875" s="110"/>
      <c r="L875" s="110"/>
      <c r="M875" s="110"/>
      <c r="N875" s="110"/>
      <c r="O875" s="110"/>
      <c r="P875" s="109"/>
      <c r="Q875" s="109"/>
      <c r="R875" s="109"/>
      <c r="S875" s="110"/>
      <c r="T875" s="135"/>
    </row>
    <row r="876" spans="1:20" x14ac:dyDescent="0.2">
      <c r="A876" s="5">
        <v>875</v>
      </c>
      <c r="B876" s="110">
        <v>4562</v>
      </c>
      <c r="C876" s="110" t="s">
        <v>1379</v>
      </c>
      <c r="D876" s="110" t="s">
        <v>1380</v>
      </c>
      <c r="E876" s="110"/>
      <c r="F876" s="110"/>
      <c r="G876" s="110" t="str">
        <f t="shared" si="13"/>
        <v>2</v>
      </c>
      <c r="H876" s="110"/>
      <c r="I876" s="110">
        <v>141.23437300000001</v>
      </c>
      <c r="J876" s="110">
        <v>40.717421000000002</v>
      </c>
      <c r="K876" s="110"/>
      <c r="L876" s="110"/>
      <c r="M876" s="110"/>
      <c r="N876" s="110"/>
      <c r="O876" s="110"/>
      <c r="P876" s="109"/>
      <c r="Q876" s="109"/>
      <c r="R876" s="109"/>
      <c r="S876" s="110"/>
      <c r="T876" s="135"/>
    </row>
    <row r="877" spans="1:20" x14ac:dyDescent="0.2">
      <c r="A877" s="5">
        <v>876</v>
      </c>
      <c r="B877" s="110">
        <v>4552</v>
      </c>
      <c r="C877" s="110" t="s">
        <v>1377</v>
      </c>
      <c r="D877" s="192" t="s">
        <v>1378</v>
      </c>
      <c r="E877" s="110"/>
      <c r="F877" s="110"/>
      <c r="G877" s="110" t="str">
        <f t="shared" si="13"/>
        <v>2</v>
      </c>
      <c r="H877" s="110"/>
      <c r="I877" s="110">
        <v>141.239507</v>
      </c>
      <c r="J877" s="110">
        <v>40.722966</v>
      </c>
      <c r="K877" s="110"/>
      <c r="L877" s="110"/>
      <c r="M877" s="110"/>
      <c r="N877" s="110"/>
      <c r="O877" s="110"/>
      <c r="P877" s="109"/>
      <c r="Q877" s="109"/>
      <c r="R877" s="109"/>
      <c r="S877" s="110"/>
      <c r="T877" s="135"/>
    </row>
    <row r="878" spans="1:20" x14ac:dyDescent="0.2">
      <c r="A878" s="5">
        <v>877</v>
      </c>
      <c r="B878" s="110">
        <v>4542</v>
      </c>
      <c r="C878" s="110" t="s">
        <v>1375</v>
      </c>
      <c r="D878" s="192" t="s">
        <v>1376</v>
      </c>
      <c r="E878" s="110"/>
      <c r="F878" s="110"/>
      <c r="G878" s="110" t="str">
        <f t="shared" si="13"/>
        <v>2</v>
      </c>
      <c r="H878" s="110"/>
      <c r="I878" s="110">
        <v>141.24464599999999</v>
      </c>
      <c r="J878" s="110">
        <v>40.725698999999999</v>
      </c>
      <c r="K878" s="110"/>
      <c r="L878" s="110"/>
      <c r="M878" s="110"/>
      <c r="N878" s="110"/>
      <c r="O878" s="110"/>
      <c r="P878" s="109"/>
      <c r="Q878" s="109"/>
      <c r="R878" s="109"/>
      <c r="S878" s="110"/>
      <c r="T878" s="135"/>
    </row>
    <row r="879" spans="1:20" x14ac:dyDescent="0.2">
      <c r="A879" s="5">
        <v>878</v>
      </c>
      <c r="B879" s="110">
        <v>4532</v>
      </c>
      <c r="C879" s="110" t="s">
        <v>1373</v>
      </c>
      <c r="D879" s="192" t="s">
        <v>1374</v>
      </c>
      <c r="E879" s="110"/>
      <c r="F879" s="110"/>
      <c r="G879" s="110" t="str">
        <f t="shared" si="13"/>
        <v>2</v>
      </c>
      <c r="H879" s="110"/>
      <c r="I879" s="110">
        <v>141.247173</v>
      </c>
      <c r="J879" s="110">
        <v>40.726711000000002</v>
      </c>
      <c r="K879" s="110"/>
      <c r="L879" s="110"/>
      <c r="M879" s="110"/>
      <c r="N879" s="110"/>
      <c r="O879" s="110"/>
      <c r="P879" s="109"/>
      <c r="Q879" s="109"/>
      <c r="R879" s="109"/>
      <c r="S879" s="110"/>
      <c r="T879" s="135"/>
    </row>
    <row r="880" spans="1:20" x14ac:dyDescent="0.2">
      <c r="A880" s="5">
        <v>879</v>
      </c>
      <c r="B880" s="110">
        <v>4522</v>
      </c>
      <c r="C880" s="110" t="s">
        <v>1371</v>
      </c>
      <c r="D880" s="192" t="s">
        <v>1372</v>
      </c>
      <c r="E880" s="110"/>
      <c r="F880" s="110"/>
      <c r="G880" s="110" t="str">
        <f t="shared" si="13"/>
        <v>2</v>
      </c>
      <c r="H880" s="110"/>
      <c r="I880" s="110">
        <v>141.25199499999999</v>
      </c>
      <c r="J880" s="110">
        <v>40.727080999999998</v>
      </c>
      <c r="K880" s="110"/>
      <c r="L880" s="110"/>
      <c r="M880" s="110"/>
      <c r="N880" s="110"/>
      <c r="O880" s="110"/>
      <c r="P880" s="109"/>
      <c r="Q880" s="109"/>
      <c r="R880" s="109"/>
      <c r="S880" s="110"/>
      <c r="T880" s="135"/>
    </row>
    <row r="881" spans="1:20" x14ac:dyDescent="0.2">
      <c r="A881" s="5">
        <v>880</v>
      </c>
      <c r="B881" s="110">
        <v>4512</v>
      </c>
      <c r="C881" s="110" t="s">
        <v>1369</v>
      </c>
      <c r="D881" s="192" t="s">
        <v>1407</v>
      </c>
      <c r="E881" s="110"/>
      <c r="F881" s="110"/>
      <c r="G881" s="110" t="str">
        <f t="shared" si="13"/>
        <v>2</v>
      </c>
      <c r="H881" s="110"/>
      <c r="I881" s="110">
        <v>141.270996</v>
      </c>
      <c r="J881" s="110">
        <v>40.732050000000001</v>
      </c>
      <c r="K881" s="110"/>
      <c r="L881" s="110"/>
      <c r="M881" s="110"/>
      <c r="N881" s="110"/>
      <c r="O881" s="110"/>
      <c r="P881" s="109"/>
      <c r="Q881" s="109"/>
      <c r="R881" s="109"/>
      <c r="S881" s="110"/>
      <c r="T881" s="135"/>
    </row>
    <row r="882" spans="1:20" x14ac:dyDescent="0.2">
      <c r="A882" s="5">
        <v>881</v>
      </c>
      <c r="B882" s="110">
        <v>4492</v>
      </c>
      <c r="C882" s="110" t="s">
        <v>1365</v>
      </c>
      <c r="D882" s="110" t="s">
        <v>1366</v>
      </c>
      <c r="E882" s="110"/>
      <c r="F882" s="110"/>
      <c r="G882" s="110" t="str">
        <f t="shared" si="13"/>
        <v>2</v>
      </c>
      <c r="H882" s="110"/>
      <c r="I882" s="110">
        <v>141.280722</v>
      </c>
      <c r="J882" s="110">
        <v>40.722560000000001</v>
      </c>
      <c r="K882" s="110"/>
      <c r="L882" s="110"/>
      <c r="M882" s="110"/>
      <c r="N882" s="110"/>
      <c r="O882" s="110"/>
      <c r="P882" s="109"/>
      <c r="Q882" s="109"/>
      <c r="R882" s="109"/>
      <c r="S882" s="110"/>
      <c r="T882" s="135"/>
    </row>
    <row r="883" spans="1:20" x14ac:dyDescent="0.2">
      <c r="A883" s="5">
        <v>882</v>
      </c>
      <c r="B883" s="110">
        <v>4482</v>
      </c>
      <c r="C883" s="110" t="s">
        <v>1363</v>
      </c>
      <c r="D883" s="192" t="s">
        <v>1364</v>
      </c>
      <c r="E883" s="110"/>
      <c r="F883" s="110"/>
      <c r="G883" s="110" t="str">
        <f t="shared" si="13"/>
        <v>2</v>
      </c>
      <c r="H883" s="110"/>
      <c r="I883" s="110">
        <v>141.28666000000001</v>
      </c>
      <c r="J883" s="110">
        <v>40.720041000000002</v>
      </c>
      <c r="K883" s="110"/>
      <c r="L883" s="110"/>
      <c r="M883" s="110"/>
      <c r="N883" s="110"/>
      <c r="O883" s="110"/>
      <c r="P883" s="109"/>
      <c r="Q883" s="109"/>
      <c r="R883" s="109"/>
      <c r="S883" s="110"/>
      <c r="T883" s="135"/>
    </row>
    <row r="884" spans="1:20" x14ac:dyDescent="0.2">
      <c r="A884" s="5">
        <v>883</v>
      </c>
      <c r="B884" s="110">
        <v>4472</v>
      </c>
      <c r="C884" s="110" t="s">
        <v>1361</v>
      </c>
      <c r="D884" s="192" t="s">
        <v>1362</v>
      </c>
      <c r="E884" s="110"/>
      <c r="F884" s="110"/>
      <c r="G884" s="110" t="str">
        <f t="shared" si="13"/>
        <v>2</v>
      </c>
      <c r="H884" s="110"/>
      <c r="I884" s="110">
        <v>141.29758799999999</v>
      </c>
      <c r="J884" s="110">
        <v>40.711427999999998</v>
      </c>
      <c r="K884" s="110"/>
      <c r="L884" s="110"/>
      <c r="M884" s="110"/>
      <c r="N884" s="110"/>
      <c r="O884" s="110"/>
      <c r="P884" s="109"/>
      <c r="Q884" s="109"/>
      <c r="R884" s="109"/>
      <c r="S884" s="110"/>
      <c r="T884" s="135"/>
    </row>
    <row r="885" spans="1:20" x14ac:dyDescent="0.2">
      <c r="A885" s="5">
        <v>884</v>
      </c>
      <c r="B885" s="110">
        <v>4462</v>
      </c>
      <c r="C885" s="110" t="s">
        <v>1359</v>
      </c>
      <c r="D885" s="192" t="s">
        <v>1360</v>
      </c>
      <c r="E885" s="110"/>
      <c r="F885" s="110"/>
      <c r="G885" s="110" t="str">
        <f t="shared" si="13"/>
        <v>2</v>
      </c>
      <c r="H885" s="110"/>
      <c r="I885" s="110">
        <v>141.30267799999999</v>
      </c>
      <c r="J885" s="110">
        <v>40.708649000000001</v>
      </c>
      <c r="K885" s="110"/>
      <c r="L885" s="110"/>
      <c r="M885" s="110"/>
      <c r="N885" s="110"/>
      <c r="O885" s="110"/>
      <c r="P885" s="109"/>
      <c r="Q885" s="109"/>
      <c r="R885" s="109"/>
      <c r="S885" s="110"/>
      <c r="T885" s="135"/>
    </row>
    <row r="886" spans="1:20" x14ac:dyDescent="0.2">
      <c r="A886" s="5">
        <v>885</v>
      </c>
      <c r="B886" s="110">
        <v>4452</v>
      </c>
      <c r="C886" s="110" t="s">
        <v>1357</v>
      </c>
      <c r="D886" s="110" t="s">
        <v>1358</v>
      </c>
      <c r="E886" s="110"/>
      <c r="F886" s="110"/>
      <c r="G886" s="110" t="str">
        <f t="shared" si="13"/>
        <v>2</v>
      </c>
      <c r="H886" s="110"/>
      <c r="I886" s="110">
        <v>141.32442599999999</v>
      </c>
      <c r="J886" s="110">
        <v>40.697436000000003</v>
      </c>
      <c r="K886" s="110"/>
      <c r="L886" s="110"/>
      <c r="M886" s="110"/>
      <c r="N886" s="110"/>
      <c r="O886" s="110"/>
      <c r="P886" s="109"/>
      <c r="Q886" s="109"/>
      <c r="R886" s="109"/>
      <c r="S886" s="110"/>
      <c r="T886" s="135"/>
    </row>
    <row r="887" spans="1:20" x14ac:dyDescent="0.2">
      <c r="A887" s="5">
        <v>886</v>
      </c>
      <c r="B887" s="110">
        <v>4442</v>
      </c>
      <c r="C887" s="110" t="s">
        <v>1355</v>
      </c>
      <c r="D887" s="110" t="s">
        <v>1356</v>
      </c>
      <c r="E887" s="110"/>
      <c r="F887" s="110"/>
      <c r="G887" s="110" t="str">
        <f t="shared" si="13"/>
        <v>2</v>
      </c>
      <c r="H887" s="110"/>
      <c r="I887" s="110">
        <v>141.33370600000001</v>
      </c>
      <c r="J887" s="110">
        <v>40.694490000000002</v>
      </c>
      <c r="K887" s="110"/>
      <c r="L887" s="110"/>
      <c r="M887" s="110"/>
      <c r="N887" s="110"/>
      <c r="O887" s="110"/>
      <c r="P887" s="109"/>
      <c r="Q887" s="109"/>
      <c r="R887" s="109"/>
      <c r="S887" s="110"/>
      <c r="T887" s="135"/>
    </row>
    <row r="888" spans="1:20" x14ac:dyDescent="0.2">
      <c r="A888" s="5">
        <v>887</v>
      </c>
      <c r="B888" s="110">
        <v>4432</v>
      </c>
      <c r="C888" s="110" t="s">
        <v>1353</v>
      </c>
      <c r="D888" s="192" t="s">
        <v>1354</v>
      </c>
      <c r="E888" s="110"/>
      <c r="F888" s="110"/>
      <c r="G888" s="110" t="str">
        <f t="shared" si="13"/>
        <v>2</v>
      </c>
      <c r="H888" s="110"/>
      <c r="I888" s="110">
        <v>141.345551</v>
      </c>
      <c r="J888" s="110">
        <v>40.690351</v>
      </c>
      <c r="K888" s="110"/>
      <c r="L888" s="110"/>
      <c r="M888" s="110"/>
      <c r="N888" s="110"/>
      <c r="O888" s="110"/>
      <c r="P888" s="109"/>
      <c r="Q888" s="109"/>
      <c r="R888" s="109"/>
      <c r="S888" s="110"/>
      <c r="T888" s="135"/>
    </row>
    <row r="889" spans="1:20" x14ac:dyDescent="0.2">
      <c r="A889" s="5">
        <v>888</v>
      </c>
      <c r="B889" s="110">
        <v>4422</v>
      </c>
      <c r="C889" s="110" t="s">
        <v>1351</v>
      </c>
      <c r="D889" s="192" t="s">
        <v>1352</v>
      </c>
      <c r="E889" s="110"/>
      <c r="F889" s="110"/>
      <c r="G889" s="110" t="str">
        <f t="shared" si="13"/>
        <v>2</v>
      </c>
      <c r="H889" s="110"/>
      <c r="I889" s="110">
        <v>141.34937600000001</v>
      </c>
      <c r="J889" s="110">
        <v>40.689171000000002</v>
      </c>
      <c r="K889" s="110"/>
      <c r="L889" s="110"/>
      <c r="M889" s="110"/>
      <c r="N889" s="110"/>
      <c r="O889" s="110"/>
      <c r="P889" s="109"/>
      <c r="Q889" s="109"/>
      <c r="R889" s="109"/>
      <c r="S889" s="110"/>
      <c r="T889" s="135"/>
    </row>
    <row r="890" spans="1:20" x14ac:dyDescent="0.2">
      <c r="A890" s="5">
        <v>889</v>
      </c>
      <c r="B890" s="110">
        <v>4412</v>
      </c>
      <c r="C890" s="110" t="s">
        <v>1349</v>
      </c>
      <c r="D890" s="192" t="s">
        <v>1350</v>
      </c>
      <c r="E890" s="110"/>
      <c r="F890" s="110"/>
      <c r="G890" s="110" t="str">
        <f t="shared" si="13"/>
        <v>2</v>
      </c>
      <c r="H890" s="110"/>
      <c r="I890" s="110">
        <v>141.35122100000001</v>
      </c>
      <c r="J890" s="110">
        <v>40.685541999999998</v>
      </c>
      <c r="K890" s="110"/>
      <c r="L890" s="110"/>
      <c r="M890" s="110"/>
      <c r="N890" s="110"/>
      <c r="O890" s="110"/>
      <c r="P890" s="109"/>
      <c r="Q890" s="109"/>
      <c r="R890" s="109"/>
      <c r="S890" s="110"/>
      <c r="T890" s="135"/>
    </row>
    <row r="891" spans="1:20" x14ac:dyDescent="0.2">
      <c r="A891" s="5">
        <v>890</v>
      </c>
      <c r="B891" s="110">
        <v>4402</v>
      </c>
      <c r="C891" s="110" t="s">
        <v>1348</v>
      </c>
      <c r="D891" s="110" t="s">
        <v>636</v>
      </c>
      <c r="E891" s="110"/>
      <c r="F891" s="110"/>
      <c r="G891" s="110" t="str">
        <f t="shared" si="13"/>
        <v>2</v>
      </c>
      <c r="H891" s="110"/>
      <c r="I891" s="110">
        <v>141.35924600000001</v>
      </c>
      <c r="J891" s="110">
        <v>40.680554999999998</v>
      </c>
      <c r="K891" s="110"/>
      <c r="L891" s="110"/>
      <c r="M891" s="110"/>
      <c r="N891" s="110"/>
      <c r="O891" s="110"/>
      <c r="P891" s="109"/>
      <c r="Q891" s="109"/>
      <c r="R891" s="109"/>
      <c r="S891" s="110" t="s">
        <v>637</v>
      </c>
      <c r="T891" s="135"/>
    </row>
    <row r="892" spans="1:20" x14ac:dyDescent="0.2">
      <c r="A892" s="5">
        <v>891</v>
      </c>
      <c r="B892" s="110">
        <v>4392</v>
      </c>
      <c r="C892" s="110" t="s">
        <v>1346</v>
      </c>
      <c r="D892" s="110" t="s">
        <v>1347</v>
      </c>
      <c r="E892" s="110"/>
      <c r="F892" s="110"/>
      <c r="G892" s="110" t="str">
        <f t="shared" si="13"/>
        <v>2</v>
      </c>
      <c r="H892" s="110"/>
      <c r="I892" s="110">
        <v>141.343941</v>
      </c>
      <c r="J892" s="110">
        <v>40.659523</v>
      </c>
      <c r="K892" s="110"/>
      <c r="L892" s="110"/>
      <c r="M892" s="110"/>
      <c r="N892" s="110"/>
      <c r="O892" s="110"/>
      <c r="P892" s="109"/>
      <c r="Q892" s="109"/>
      <c r="R892" s="109"/>
      <c r="S892" s="110"/>
      <c r="T892" s="135"/>
    </row>
    <row r="893" spans="1:20" x14ac:dyDescent="0.2">
      <c r="A893" s="5">
        <v>892</v>
      </c>
      <c r="B893" s="110">
        <v>4382</v>
      </c>
      <c r="C893" s="110" t="s">
        <v>1344</v>
      </c>
      <c r="D893" s="110" t="s">
        <v>1345</v>
      </c>
      <c r="E893" s="110"/>
      <c r="F893" s="110"/>
      <c r="G893" s="110" t="str">
        <f t="shared" si="13"/>
        <v>2</v>
      </c>
      <c r="H893" s="110"/>
      <c r="I893" s="110">
        <v>141.338641</v>
      </c>
      <c r="J893" s="110">
        <v>40.658562000000003</v>
      </c>
      <c r="K893" s="110"/>
      <c r="L893" s="110"/>
      <c r="M893" s="110"/>
      <c r="N893" s="110"/>
      <c r="O893" s="110"/>
      <c r="P893" s="109"/>
      <c r="Q893" s="109"/>
      <c r="R893" s="109"/>
      <c r="S893" s="110"/>
      <c r="T893" s="135"/>
    </row>
    <row r="894" spans="1:20" x14ac:dyDescent="0.2">
      <c r="A894" s="5">
        <v>893</v>
      </c>
      <c r="B894" s="110">
        <v>4372</v>
      </c>
      <c r="C894" s="110" t="s">
        <v>1342</v>
      </c>
      <c r="D894" s="110" t="s">
        <v>1343</v>
      </c>
      <c r="E894" s="110"/>
      <c r="F894" s="110"/>
      <c r="G894" s="110" t="str">
        <f t="shared" si="13"/>
        <v>2</v>
      </c>
      <c r="H894" s="110"/>
      <c r="I894" s="110">
        <v>141.33592200000001</v>
      </c>
      <c r="J894" s="110">
        <v>40.661166999999999</v>
      </c>
      <c r="K894" s="110"/>
      <c r="L894" s="110"/>
      <c r="M894" s="110"/>
      <c r="N894" s="110"/>
      <c r="O894" s="110"/>
      <c r="P894" s="109"/>
      <c r="Q894" s="109"/>
      <c r="R894" s="109"/>
      <c r="S894" s="110"/>
      <c r="T894" s="135"/>
    </row>
    <row r="895" spans="1:20" x14ac:dyDescent="0.2">
      <c r="A895" s="5">
        <v>894</v>
      </c>
      <c r="B895" s="110">
        <v>4701</v>
      </c>
      <c r="C895" s="110" t="s">
        <v>1408</v>
      </c>
      <c r="D895" s="110" t="s">
        <v>1409</v>
      </c>
      <c r="E895" s="110"/>
      <c r="F895" s="110"/>
      <c r="G895" s="110" t="str">
        <f t="shared" si="13"/>
        <v>1</v>
      </c>
      <c r="H895" s="110"/>
      <c r="I895" s="110">
        <v>141.33343300000001</v>
      </c>
      <c r="J895" s="110">
        <v>40.661830000000002</v>
      </c>
      <c r="K895" s="110"/>
      <c r="L895" s="110"/>
      <c r="M895" s="110"/>
      <c r="N895" s="110"/>
      <c r="O895" s="110"/>
      <c r="P895" s="109"/>
      <c r="Q895" s="109"/>
      <c r="R895" s="109"/>
      <c r="S895" s="110"/>
      <c r="T895" s="135"/>
    </row>
    <row r="896" spans="1:20" x14ac:dyDescent="0.2">
      <c r="A896" s="5">
        <v>895</v>
      </c>
      <c r="B896" s="110">
        <v>4352</v>
      </c>
      <c r="C896" s="110" t="s">
        <v>1338</v>
      </c>
      <c r="D896" s="110" t="s">
        <v>1339</v>
      </c>
      <c r="E896" s="110"/>
      <c r="F896" s="110"/>
      <c r="G896" s="110" t="str">
        <f t="shared" si="13"/>
        <v>2</v>
      </c>
      <c r="H896" s="110"/>
      <c r="I896" s="110">
        <v>141.331603</v>
      </c>
      <c r="J896" s="110">
        <v>40.660722999999997</v>
      </c>
      <c r="K896" s="110"/>
      <c r="L896" s="110"/>
      <c r="M896" s="110"/>
      <c r="N896" s="110"/>
      <c r="O896" s="110"/>
      <c r="P896" s="109"/>
      <c r="Q896" s="109"/>
      <c r="R896" s="109"/>
      <c r="S896" s="110"/>
      <c r="T896" s="135"/>
    </row>
    <row r="897" spans="1:20" x14ac:dyDescent="0.2">
      <c r="A897" s="5">
        <v>896</v>
      </c>
      <c r="B897" s="110">
        <v>4342</v>
      </c>
      <c r="C897" s="110" t="s">
        <v>1336</v>
      </c>
      <c r="D897" s="110" t="s">
        <v>1337</v>
      </c>
      <c r="E897" s="110"/>
      <c r="F897" s="110"/>
      <c r="G897" s="110" t="str">
        <f t="shared" si="13"/>
        <v>2</v>
      </c>
      <c r="H897" s="110"/>
      <c r="I897" s="110">
        <v>141.33029999999999</v>
      </c>
      <c r="J897" s="110">
        <v>40.662579999999998</v>
      </c>
      <c r="K897" s="110"/>
      <c r="L897" s="110"/>
      <c r="M897" s="110"/>
      <c r="N897" s="110"/>
      <c r="O897" s="110"/>
      <c r="P897" s="109"/>
      <c r="Q897" s="109"/>
      <c r="R897" s="109"/>
      <c r="S897" s="110"/>
      <c r="T897" s="135"/>
    </row>
    <row r="898" spans="1:20" x14ac:dyDescent="0.2">
      <c r="A898" s="5">
        <v>897</v>
      </c>
      <c r="B898" s="110">
        <v>1292</v>
      </c>
      <c r="C898" s="110" t="s">
        <v>490</v>
      </c>
      <c r="D898" s="110" t="s">
        <v>491</v>
      </c>
      <c r="E898" s="110"/>
      <c r="F898" s="110"/>
      <c r="G898" s="110" t="str">
        <f t="shared" si="13"/>
        <v>2</v>
      </c>
      <c r="H898" s="110"/>
      <c r="I898" s="110">
        <v>141.368156</v>
      </c>
      <c r="J898" s="110">
        <v>40.683427000000002</v>
      </c>
      <c r="K898" s="110"/>
      <c r="L898" s="110"/>
      <c r="M898" s="110"/>
      <c r="N898" s="110"/>
      <c r="O898" s="110"/>
      <c r="P898" s="109"/>
      <c r="Q898" s="109"/>
      <c r="R898" s="109"/>
      <c r="S898" s="110"/>
      <c r="T898" s="135"/>
    </row>
    <row r="899" spans="1:20" x14ac:dyDescent="0.2">
      <c r="A899" s="5">
        <v>898</v>
      </c>
      <c r="B899" s="192">
        <v>1372</v>
      </c>
      <c r="C899" s="192" t="s">
        <v>511</v>
      </c>
      <c r="D899" s="192" t="s">
        <v>512</v>
      </c>
      <c r="E899" s="192"/>
      <c r="F899" s="192"/>
      <c r="G899" s="192" t="str">
        <f t="shared" si="13"/>
        <v>2</v>
      </c>
      <c r="H899" s="192"/>
      <c r="I899" s="192">
        <v>141.37102100000001</v>
      </c>
      <c r="J899" s="192">
        <v>40.685524999999998</v>
      </c>
      <c r="K899" s="110"/>
      <c r="L899" s="110"/>
      <c r="M899" s="110"/>
      <c r="N899" s="110"/>
      <c r="O899" s="110"/>
      <c r="P899" s="109"/>
      <c r="Q899" s="109"/>
      <c r="R899" s="109"/>
      <c r="S899" s="110"/>
      <c r="T899" s="135"/>
    </row>
    <row r="900" spans="1:20" x14ac:dyDescent="0.2">
      <c r="A900" s="5">
        <v>899</v>
      </c>
      <c r="B900" s="110">
        <v>1102</v>
      </c>
      <c r="C900" s="110" t="s">
        <v>452</v>
      </c>
      <c r="D900" s="110" t="s">
        <v>453</v>
      </c>
      <c r="E900" s="110"/>
      <c r="F900" s="110"/>
      <c r="G900" s="110" t="str">
        <f t="shared" si="13"/>
        <v>2</v>
      </c>
      <c r="H900" s="110"/>
      <c r="I900" s="110">
        <v>141.36657400000001</v>
      </c>
      <c r="J900" s="110">
        <v>40.685993000000003</v>
      </c>
      <c r="K900" s="110"/>
      <c r="L900" s="110"/>
      <c r="M900" s="110"/>
      <c r="N900" s="110"/>
      <c r="O900" s="110"/>
      <c r="P900" s="109"/>
      <c r="Q900" s="109"/>
      <c r="R900" s="109"/>
      <c r="S900" s="110"/>
      <c r="T900" s="135"/>
    </row>
    <row r="901" spans="1:20" x14ac:dyDescent="0.2">
      <c r="A901" s="5">
        <v>900</v>
      </c>
      <c r="B901" s="110">
        <v>4711</v>
      </c>
      <c r="C901" s="110" t="s">
        <v>1410</v>
      </c>
      <c r="D901" s="192" t="s">
        <v>1411</v>
      </c>
      <c r="E901" s="110"/>
      <c r="F901" s="110"/>
      <c r="G901" s="110" t="str">
        <f t="shared" ref="G901:G964" si="14">RIGHT(B901,1)</f>
        <v>1</v>
      </c>
      <c r="H901" s="110"/>
      <c r="I901" s="110">
        <v>141.36891800000001</v>
      </c>
      <c r="J901" s="110">
        <v>40.687607999999997</v>
      </c>
      <c r="K901" s="110"/>
      <c r="L901" s="110"/>
      <c r="M901" s="110"/>
      <c r="N901" s="110"/>
      <c r="O901" s="110"/>
      <c r="P901" s="109"/>
      <c r="Q901" s="109"/>
      <c r="R901" s="109"/>
      <c r="S901" s="110"/>
      <c r="T901" s="135"/>
    </row>
    <row r="902" spans="1:20" x14ac:dyDescent="0.2">
      <c r="A902" s="5">
        <v>901</v>
      </c>
      <c r="B902" s="110">
        <v>1362</v>
      </c>
      <c r="C902" s="110" t="s">
        <v>509</v>
      </c>
      <c r="D902" s="110" t="s">
        <v>510</v>
      </c>
      <c r="E902" s="110"/>
      <c r="F902" s="110"/>
      <c r="G902" s="110" t="str">
        <f t="shared" si="14"/>
        <v>2</v>
      </c>
      <c r="H902" s="110"/>
      <c r="I902" s="110">
        <v>141.37266299999999</v>
      </c>
      <c r="J902" s="110">
        <v>40.688710999999998</v>
      </c>
      <c r="K902" s="110"/>
      <c r="L902" s="110"/>
      <c r="M902" s="110"/>
      <c r="N902" s="110"/>
      <c r="O902" s="110"/>
      <c r="P902" s="109"/>
      <c r="Q902" s="109"/>
      <c r="R902" s="109"/>
      <c r="S902" s="110"/>
      <c r="T902" s="135"/>
    </row>
    <row r="903" spans="1:20" x14ac:dyDescent="0.2">
      <c r="A903" s="5">
        <v>902</v>
      </c>
      <c r="B903" s="110">
        <v>1352</v>
      </c>
      <c r="C903" s="110" t="s">
        <v>507</v>
      </c>
      <c r="D903" s="110" t="s">
        <v>1412</v>
      </c>
      <c r="E903" s="110"/>
      <c r="F903" s="110"/>
      <c r="G903" s="110" t="str">
        <f t="shared" si="14"/>
        <v>2</v>
      </c>
      <c r="H903" s="110"/>
      <c r="I903" s="110">
        <v>141.378488</v>
      </c>
      <c r="J903" s="110">
        <v>40.690407999999998</v>
      </c>
      <c r="K903" s="110"/>
      <c r="L903" s="110"/>
      <c r="M903" s="110"/>
      <c r="N903" s="110"/>
      <c r="O903" s="110"/>
      <c r="P903" s="109"/>
      <c r="Q903" s="109"/>
      <c r="R903" s="109"/>
      <c r="S903" s="110"/>
      <c r="T903" s="135"/>
    </row>
    <row r="904" spans="1:20" x14ac:dyDescent="0.2">
      <c r="A904" s="5">
        <v>903</v>
      </c>
      <c r="B904" s="110">
        <v>1342</v>
      </c>
      <c r="C904" s="110" t="s">
        <v>505</v>
      </c>
      <c r="D904" s="110" t="s">
        <v>506</v>
      </c>
      <c r="E904" s="110"/>
      <c r="F904" s="110"/>
      <c r="G904" s="110" t="str">
        <f t="shared" si="14"/>
        <v>2</v>
      </c>
      <c r="H904" s="110"/>
      <c r="I904" s="110">
        <v>141.382925</v>
      </c>
      <c r="J904" s="110">
        <v>40.691412999999997</v>
      </c>
      <c r="K904" s="110"/>
      <c r="L904" s="110"/>
      <c r="M904" s="110"/>
      <c r="N904" s="110"/>
      <c r="O904" s="110"/>
      <c r="P904" s="109"/>
      <c r="Q904" s="109"/>
      <c r="R904" s="109"/>
      <c r="S904" s="110"/>
      <c r="T904" s="135"/>
    </row>
    <row r="905" spans="1:20" x14ac:dyDescent="0.2">
      <c r="A905" s="5">
        <v>904</v>
      </c>
      <c r="B905" s="110">
        <v>1332</v>
      </c>
      <c r="C905" s="110" t="s">
        <v>503</v>
      </c>
      <c r="D905" s="110" t="s">
        <v>504</v>
      </c>
      <c r="E905" s="110"/>
      <c r="F905" s="110"/>
      <c r="G905" s="110" t="str">
        <f t="shared" si="14"/>
        <v>2</v>
      </c>
      <c r="H905" s="110"/>
      <c r="I905" s="110">
        <v>141.388273</v>
      </c>
      <c r="J905" s="110">
        <v>40.692093999999997</v>
      </c>
      <c r="K905" s="110"/>
      <c r="L905" s="110"/>
      <c r="M905" s="110"/>
      <c r="N905" s="110"/>
      <c r="O905" s="110"/>
      <c r="P905" s="109"/>
      <c r="Q905" s="109"/>
      <c r="R905" s="109"/>
      <c r="S905" s="110"/>
      <c r="T905" s="135"/>
    </row>
    <row r="906" spans="1:20" x14ac:dyDescent="0.2">
      <c r="A906" s="5">
        <v>905</v>
      </c>
      <c r="B906" s="110">
        <v>1322</v>
      </c>
      <c r="C906" s="110" t="s">
        <v>501</v>
      </c>
      <c r="D906" s="110" t="s">
        <v>502</v>
      </c>
      <c r="E906" s="110"/>
      <c r="F906" s="110"/>
      <c r="G906" s="110" t="str">
        <f t="shared" si="14"/>
        <v>2</v>
      </c>
      <c r="H906" s="110"/>
      <c r="I906" s="110">
        <v>141.39457100000001</v>
      </c>
      <c r="J906" s="110">
        <v>40.691735999999999</v>
      </c>
      <c r="K906" s="110"/>
      <c r="L906" s="110"/>
      <c r="M906" s="110"/>
      <c r="N906" s="110"/>
      <c r="O906" s="110"/>
      <c r="P906" s="109"/>
      <c r="Q906" s="109"/>
      <c r="R906" s="109"/>
      <c r="S906" s="110"/>
      <c r="T906" s="135"/>
    </row>
    <row r="907" spans="1:20" x14ac:dyDescent="0.2">
      <c r="A907" s="5">
        <v>906</v>
      </c>
      <c r="B907" s="110">
        <v>1312</v>
      </c>
      <c r="C907" s="192" t="s">
        <v>499</v>
      </c>
      <c r="D907" s="192" t="s">
        <v>500</v>
      </c>
      <c r="E907" s="110"/>
      <c r="F907" s="110"/>
      <c r="G907" s="110" t="str">
        <f t="shared" si="14"/>
        <v>2</v>
      </c>
      <c r="H907" s="110"/>
      <c r="I907" s="110">
        <v>141.397527</v>
      </c>
      <c r="J907" s="110">
        <v>40.691406999999998</v>
      </c>
      <c r="K907" s="110"/>
      <c r="L907" s="110"/>
      <c r="M907" s="110"/>
      <c r="N907" s="110"/>
      <c r="O907" s="110"/>
      <c r="P907" s="109"/>
      <c r="Q907" s="109"/>
      <c r="R907" s="109"/>
      <c r="S907" s="110"/>
      <c r="T907" s="135"/>
    </row>
    <row r="908" spans="1:20" x14ac:dyDescent="0.2">
      <c r="A908" s="5">
        <v>907</v>
      </c>
      <c r="B908" s="110">
        <v>4721</v>
      </c>
      <c r="C908" s="110" t="s">
        <v>1413</v>
      </c>
      <c r="D908" s="110" t="s">
        <v>1414</v>
      </c>
      <c r="E908" s="110"/>
      <c r="F908" s="110"/>
      <c r="G908" s="110" t="str">
        <f t="shared" si="14"/>
        <v>1</v>
      </c>
      <c r="H908" s="110"/>
      <c r="I908" s="110">
        <v>141.405058</v>
      </c>
      <c r="J908" s="110">
        <v>40.692281999999999</v>
      </c>
      <c r="K908" s="110"/>
      <c r="L908" s="110"/>
      <c r="M908" s="110"/>
      <c r="N908" s="110"/>
      <c r="O908" s="110"/>
      <c r="P908" s="109"/>
      <c r="Q908" s="109"/>
      <c r="R908" s="109"/>
      <c r="S908" s="110"/>
      <c r="T908" s="135"/>
    </row>
    <row r="909" spans="1:20" x14ac:dyDescent="0.2">
      <c r="A909" s="5">
        <v>908</v>
      </c>
      <c r="B909" s="110">
        <v>4731</v>
      </c>
      <c r="C909" s="110" t="s">
        <v>1415</v>
      </c>
      <c r="D909" s="110" t="s">
        <v>1416</v>
      </c>
      <c r="E909" s="110"/>
      <c r="F909" s="110"/>
      <c r="G909" s="110" t="str">
        <f t="shared" si="14"/>
        <v>1</v>
      </c>
      <c r="H909" s="110"/>
      <c r="I909" s="110">
        <v>141.409817</v>
      </c>
      <c r="J909" s="110">
        <v>40.692855000000002</v>
      </c>
      <c r="K909" s="110"/>
      <c r="L909" s="110"/>
      <c r="M909" s="110"/>
      <c r="N909" s="110"/>
      <c r="O909" s="110"/>
      <c r="P909" s="109"/>
      <c r="Q909" s="109"/>
      <c r="R909" s="109"/>
      <c r="S909" s="110"/>
      <c r="T909" s="135"/>
    </row>
    <row r="910" spans="1:20" x14ac:dyDescent="0.2">
      <c r="A910" s="5">
        <v>909</v>
      </c>
      <c r="B910" s="110">
        <v>4741</v>
      </c>
      <c r="C910" s="110" t="s">
        <v>1417</v>
      </c>
      <c r="D910" s="110" t="s">
        <v>1418</v>
      </c>
      <c r="E910" s="110"/>
      <c r="F910" s="110"/>
      <c r="G910" s="110" t="str">
        <f t="shared" si="14"/>
        <v>1</v>
      </c>
      <c r="H910" s="110"/>
      <c r="I910" s="110">
        <v>141.411742</v>
      </c>
      <c r="J910" s="110">
        <v>40.685113000000001</v>
      </c>
      <c r="K910" s="110"/>
      <c r="L910" s="110"/>
      <c r="M910" s="110"/>
      <c r="N910" s="110"/>
      <c r="O910" s="110"/>
      <c r="P910" s="109"/>
      <c r="Q910" s="109"/>
      <c r="R910" s="109"/>
      <c r="S910" s="110"/>
      <c r="T910" s="135"/>
    </row>
    <row r="911" spans="1:20" x14ac:dyDescent="0.2">
      <c r="A911" s="5">
        <v>910</v>
      </c>
      <c r="B911" s="110">
        <v>4751</v>
      </c>
      <c r="C911" s="110" t="s">
        <v>1419</v>
      </c>
      <c r="D911" s="110" t="s">
        <v>1420</v>
      </c>
      <c r="E911" s="110"/>
      <c r="F911" s="110"/>
      <c r="G911" s="110" t="str">
        <f t="shared" si="14"/>
        <v>1</v>
      </c>
      <c r="H911" s="110"/>
      <c r="I911" s="110">
        <v>141.41471999999999</v>
      </c>
      <c r="J911" s="110">
        <v>40.685417999999999</v>
      </c>
      <c r="K911" s="110"/>
      <c r="L911" s="110"/>
      <c r="M911" s="110"/>
      <c r="N911" s="110"/>
      <c r="O911" s="110"/>
      <c r="P911" s="109"/>
      <c r="Q911" s="109"/>
      <c r="R911" s="109"/>
      <c r="S911" s="110"/>
      <c r="T911" s="135"/>
    </row>
    <row r="912" spans="1:20" x14ac:dyDescent="0.2">
      <c r="A912" s="5">
        <v>911</v>
      </c>
      <c r="B912" s="110">
        <v>4761</v>
      </c>
      <c r="C912" s="110" t="s">
        <v>1421</v>
      </c>
      <c r="D912" s="110" t="s">
        <v>1422</v>
      </c>
      <c r="E912" s="110"/>
      <c r="F912" s="110"/>
      <c r="G912" s="110" t="str">
        <f t="shared" si="14"/>
        <v>1</v>
      </c>
      <c r="H912" s="110"/>
      <c r="I912" s="110">
        <v>141.42032499999999</v>
      </c>
      <c r="J912" s="110">
        <v>40.685724999999998</v>
      </c>
      <c r="K912" s="110"/>
      <c r="L912" s="110"/>
      <c r="M912" s="110"/>
      <c r="N912" s="110"/>
      <c r="O912" s="110"/>
      <c r="P912" s="109"/>
      <c r="Q912" s="109"/>
      <c r="R912" s="109"/>
      <c r="S912" s="110"/>
      <c r="T912" s="135"/>
    </row>
    <row r="913" spans="1:20" x14ac:dyDescent="0.2">
      <c r="A913" s="5">
        <v>912</v>
      </c>
      <c r="B913" s="110">
        <v>4771</v>
      </c>
      <c r="C913" s="110" t="s">
        <v>1423</v>
      </c>
      <c r="D913" s="110" t="s">
        <v>1424</v>
      </c>
      <c r="E913" s="110"/>
      <c r="F913" s="110"/>
      <c r="G913" s="110" t="str">
        <f t="shared" si="14"/>
        <v>1</v>
      </c>
      <c r="H913" s="110"/>
      <c r="I913" s="110">
        <v>141.425051</v>
      </c>
      <c r="J913" s="110">
        <v>40.686928999999999</v>
      </c>
      <c r="K913" s="110"/>
      <c r="L913" s="110"/>
      <c r="M913" s="110"/>
      <c r="N913" s="110"/>
      <c r="O913" s="110"/>
      <c r="P913" s="109"/>
      <c r="Q913" s="109"/>
      <c r="R913" s="109"/>
      <c r="S913" s="110"/>
      <c r="T913" s="135"/>
    </row>
    <row r="914" spans="1:20" x14ac:dyDescent="0.2">
      <c r="A914" s="5">
        <v>913</v>
      </c>
      <c r="B914" s="110">
        <v>4781</v>
      </c>
      <c r="C914" s="110" t="s">
        <v>1425</v>
      </c>
      <c r="D914" s="110" t="s">
        <v>1426</v>
      </c>
      <c r="E914" s="110"/>
      <c r="F914" s="110"/>
      <c r="G914" s="110" t="str">
        <f t="shared" si="14"/>
        <v>1</v>
      </c>
      <c r="H914" s="110"/>
      <c r="I914" s="110">
        <v>141.42685399999999</v>
      </c>
      <c r="J914" s="110">
        <v>40.684238999999998</v>
      </c>
      <c r="K914" s="110"/>
      <c r="L914" s="110"/>
      <c r="M914" s="110"/>
      <c r="N914" s="110"/>
      <c r="O914" s="110"/>
      <c r="P914" s="109"/>
      <c r="Q914" s="109"/>
      <c r="R914" s="109"/>
      <c r="S914" s="110"/>
      <c r="T914" s="135"/>
    </row>
    <row r="915" spans="1:20" x14ac:dyDescent="0.2">
      <c r="A915" s="5">
        <v>914</v>
      </c>
      <c r="B915" s="110">
        <v>4791</v>
      </c>
      <c r="C915" s="110" t="s">
        <v>1427</v>
      </c>
      <c r="D915" s="110" t="s">
        <v>1428</v>
      </c>
      <c r="E915" s="110"/>
      <c r="F915" s="110"/>
      <c r="G915" s="110" t="str">
        <f t="shared" si="14"/>
        <v>1</v>
      </c>
      <c r="H915" s="110"/>
      <c r="I915" s="110">
        <v>141.42864</v>
      </c>
      <c r="J915" s="110">
        <v>40.681102000000003</v>
      </c>
      <c r="K915" s="110"/>
      <c r="L915" s="110"/>
      <c r="M915" s="110"/>
      <c r="N915" s="110"/>
      <c r="O915" s="110"/>
      <c r="P915" s="109"/>
      <c r="Q915" s="109"/>
      <c r="R915" s="109"/>
      <c r="S915" s="110"/>
      <c r="T915" s="135"/>
    </row>
    <row r="916" spans="1:20" x14ac:dyDescent="0.2">
      <c r="A916" s="5">
        <v>915</v>
      </c>
      <c r="B916" s="110">
        <v>4801</v>
      </c>
      <c r="C916" s="110" t="s">
        <v>1429</v>
      </c>
      <c r="D916" s="110" t="s">
        <v>1430</v>
      </c>
      <c r="E916" s="110"/>
      <c r="F916" s="110"/>
      <c r="G916" s="110" t="str">
        <f t="shared" si="14"/>
        <v>1</v>
      </c>
      <c r="H916" s="110"/>
      <c r="I916" s="110">
        <v>141.429992</v>
      </c>
      <c r="J916" s="110">
        <v>40.676796000000003</v>
      </c>
      <c r="K916" s="110"/>
      <c r="L916" s="110"/>
      <c r="M916" s="110"/>
      <c r="N916" s="110"/>
      <c r="O916" s="110"/>
      <c r="P916" s="109"/>
      <c r="Q916" s="109"/>
      <c r="R916" s="109"/>
      <c r="S916" s="110"/>
      <c r="T916" s="135"/>
    </row>
    <row r="917" spans="1:20" x14ac:dyDescent="0.2">
      <c r="A917" s="5">
        <v>916</v>
      </c>
      <c r="B917" s="110">
        <v>4811</v>
      </c>
      <c r="C917" s="110" t="s">
        <v>1431</v>
      </c>
      <c r="D917" s="110" t="s">
        <v>1432</v>
      </c>
      <c r="E917" s="110"/>
      <c r="F917" s="110"/>
      <c r="G917" s="110" t="str">
        <f t="shared" si="14"/>
        <v>1</v>
      </c>
      <c r="H917" s="110"/>
      <c r="I917" s="110">
        <v>141.4307</v>
      </c>
      <c r="J917" s="110">
        <v>40.671827</v>
      </c>
      <c r="K917" s="110"/>
      <c r="L917" s="110"/>
      <c r="M917" s="110"/>
      <c r="N917" s="110"/>
      <c r="O917" s="110"/>
      <c r="P917" s="109"/>
      <c r="Q917" s="109"/>
      <c r="R917" s="109"/>
      <c r="S917" s="110"/>
      <c r="T917" s="135"/>
    </row>
    <row r="918" spans="1:20" x14ac:dyDescent="0.2">
      <c r="A918" s="5">
        <v>917</v>
      </c>
      <c r="B918" s="110">
        <v>4821</v>
      </c>
      <c r="C918" s="110" t="s">
        <v>1433</v>
      </c>
      <c r="D918" s="110" t="s">
        <v>1434</v>
      </c>
      <c r="E918" s="110"/>
      <c r="F918" s="110"/>
      <c r="G918" s="110" t="str">
        <f t="shared" si="14"/>
        <v>1</v>
      </c>
      <c r="H918" s="110"/>
      <c r="I918" s="110">
        <v>141.43293199999999</v>
      </c>
      <c r="J918" s="110">
        <v>40.663159</v>
      </c>
      <c r="K918" s="110"/>
      <c r="L918" s="110"/>
      <c r="M918" s="110"/>
      <c r="N918" s="110"/>
      <c r="O918" s="110"/>
      <c r="P918" s="109"/>
      <c r="Q918" s="109"/>
      <c r="R918" s="109"/>
      <c r="S918" s="110"/>
      <c r="T918" s="135"/>
    </row>
    <row r="919" spans="1:20" x14ac:dyDescent="0.2">
      <c r="A919" s="5">
        <v>918</v>
      </c>
      <c r="B919" s="110">
        <v>4831</v>
      </c>
      <c r="C919" s="110" t="s">
        <v>1435</v>
      </c>
      <c r="D919" s="110" t="s">
        <v>1436</v>
      </c>
      <c r="E919" s="110"/>
      <c r="F919" s="110"/>
      <c r="G919" s="110" t="str">
        <f t="shared" si="14"/>
        <v>1</v>
      </c>
      <c r="H919" s="110"/>
      <c r="I919" s="110">
        <v>141.434235</v>
      </c>
      <c r="J919" s="110">
        <v>40.660414000000003</v>
      </c>
      <c r="K919" s="110"/>
      <c r="L919" s="110"/>
      <c r="M919" s="110"/>
      <c r="N919" s="110"/>
      <c r="O919" s="110"/>
      <c r="P919" s="109"/>
      <c r="Q919" s="109"/>
      <c r="R919" s="109"/>
      <c r="S919" s="110"/>
      <c r="T919" s="135"/>
    </row>
    <row r="920" spans="1:20" x14ac:dyDescent="0.2">
      <c r="A920" s="5">
        <v>919</v>
      </c>
      <c r="B920" s="110">
        <v>4841</v>
      </c>
      <c r="C920" s="110" t="s">
        <v>1437</v>
      </c>
      <c r="D920" s="110" t="s">
        <v>1438</v>
      </c>
      <c r="E920" s="110"/>
      <c r="F920" s="110"/>
      <c r="G920" s="110" t="str">
        <f t="shared" si="14"/>
        <v>1</v>
      </c>
      <c r="H920" s="110"/>
      <c r="I920" s="110">
        <v>141.438366</v>
      </c>
      <c r="J920" s="110">
        <v>40.654454999999999</v>
      </c>
      <c r="K920" s="110"/>
      <c r="L920" s="110"/>
      <c r="M920" s="110"/>
      <c r="N920" s="110"/>
      <c r="O920" s="110"/>
      <c r="P920" s="109"/>
      <c r="Q920" s="109"/>
      <c r="R920" s="109"/>
      <c r="S920" s="110"/>
      <c r="T920" s="135"/>
    </row>
    <row r="921" spans="1:20" x14ac:dyDescent="0.2">
      <c r="A921" s="5">
        <v>920</v>
      </c>
      <c r="B921" s="110">
        <v>4851</v>
      </c>
      <c r="C921" s="110" t="s">
        <v>1439</v>
      </c>
      <c r="D921" s="110" t="s">
        <v>1440</v>
      </c>
      <c r="E921" s="110"/>
      <c r="F921" s="110"/>
      <c r="G921" s="110" t="str">
        <f t="shared" si="14"/>
        <v>1</v>
      </c>
      <c r="H921" s="110"/>
      <c r="I921" s="110">
        <v>141.43811400000001</v>
      </c>
      <c r="J921" s="110">
        <v>40.651569000000002</v>
      </c>
      <c r="K921" s="110"/>
      <c r="L921" s="110"/>
      <c r="M921" s="110"/>
      <c r="N921" s="110"/>
      <c r="O921" s="110"/>
      <c r="P921" s="109"/>
      <c r="Q921" s="109"/>
      <c r="R921" s="109"/>
      <c r="S921" s="110"/>
      <c r="T921" s="135"/>
    </row>
    <row r="922" spans="1:20" x14ac:dyDescent="0.2">
      <c r="A922" s="5">
        <v>921</v>
      </c>
      <c r="B922" s="110">
        <v>4861</v>
      </c>
      <c r="C922" s="110" t="s">
        <v>1441</v>
      </c>
      <c r="D922" s="110" t="s">
        <v>1442</v>
      </c>
      <c r="E922" s="110"/>
      <c r="F922" s="110"/>
      <c r="G922" s="110" t="str">
        <f t="shared" si="14"/>
        <v>1</v>
      </c>
      <c r="H922" s="110"/>
      <c r="I922" s="110">
        <v>141.43974499999999</v>
      </c>
      <c r="J922" s="110">
        <v>40.645139</v>
      </c>
      <c r="K922" s="110"/>
      <c r="L922" s="110"/>
      <c r="M922" s="110"/>
      <c r="N922" s="110"/>
      <c r="O922" s="110"/>
      <c r="P922" s="109"/>
      <c r="Q922" s="109"/>
      <c r="R922" s="109"/>
      <c r="S922" s="110"/>
      <c r="T922" s="135"/>
    </row>
    <row r="923" spans="1:20" x14ac:dyDescent="0.2">
      <c r="A923" s="5">
        <v>922</v>
      </c>
      <c r="B923" s="110">
        <v>4871</v>
      </c>
      <c r="C923" s="110" t="s">
        <v>1443</v>
      </c>
      <c r="D923" s="110" t="s">
        <v>1444</v>
      </c>
      <c r="E923" s="110"/>
      <c r="F923" s="110"/>
      <c r="G923" s="110" t="str">
        <f t="shared" si="14"/>
        <v>1</v>
      </c>
      <c r="H923" s="110"/>
      <c r="I923" s="110">
        <v>141.44107</v>
      </c>
      <c r="J923" s="110">
        <v>40.642601999999997</v>
      </c>
      <c r="K923" s="110"/>
      <c r="L923" s="110"/>
      <c r="M923" s="110"/>
      <c r="N923" s="110"/>
      <c r="O923" s="110"/>
      <c r="P923" s="109"/>
      <c r="Q923" s="109"/>
      <c r="R923" s="109"/>
      <c r="S923" s="110"/>
      <c r="T923" s="135"/>
    </row>
    <row r="924" spans="1:20" x14ac:dyDescent="0.2">
      <c r="A924" s="5">
        <v>923</v>
      </c>
      <c r="B924" s="110">
        <v>4881</v>
      </c>
      <c r="C924" s="110" t="s">
        <v>1445</v>
      </c>
      <c r="D924" s="110" t="s">
        <v>1446</v>
      </c>
      <c r="E924" s="110"/>
      <c r="F924" s="110"/>
      <c r="G924" s="110" t="str">
        <f t="shared" si="14"/>
        <v>1</v>
      </c>
      <c r="H924" s="110"/>
      <c r="I924" s="110">
        <v>141.44211000000001</v>
      </c>
      <c r="J924" s="110">
        <v>40.636035999999997</v>
      </c>
      <c r="K924" s="110"/>
      <c r="L924" s="110"/>
      <c r="M924" s="110"/>
      <c r="N924" s="110"/>
      <c r="O924" s="110"/>
      <c r="P924" s="109"/>
      <c r="Q924" s="109"/>
      <c r="R924" s="109"/>
      <c r="S924" s="110"/>
      <c r="T924" s="135"/>
    </row>
    <row r="925" spans="1:20" x14ac:dyDescent="0.2">
      <c r="A925" s="5">
        <v>924</v>
      </c>
      <c r="B925" s="110">
        <v>4891</v>
      </c>
      <c r="C925" s="110" t="s">
        <v>1447</v>
      </c>
      <c r="D925" s="110" t="s">
        <v>1448</v>
      </c>
      <c r="E925" s="110"/>
      <c r="F925" s="110"/>
      <c r="G925" s="110" t="str">
        <f t="shared" si="14"/>
        <v>1</v>
      </c>
      <c r="H925" s="110"/>
      <c r="I925" s="110">
        <v>141.437229</v>
      </c>
      <c r="J925" s="110">
        <v>40.630586000000001</v>
      </c>
      <c r="K925" s="110"/>
      <c r="L925" s="110"/>
      <c r="M925" s="110"/>
      <c r="N925" s="110"/>
      <c r="O925" s="110"/>
      <c r="P925" s="109"/>
      <c r="Q925" s="109"/>
      <c r="R925" s="109"/>
      <c r="S925" s="110"/>
      <c r="T925" s="135"/>
    </row>
    <row r="926" spans="1:20" x14ac:dyDescent="0.2">
      <c r="A926" s="5">
        <v>925</v>
      </c>
      <c r="B926" s="110">
        <v>4901</v>
      </c>
      <c r="C926" s="110" t="s">
        <v>1449</v>
      </c>
      <c r="D926" s="110" t="s">
        <v>1450</v>
      </c>
      <c r="E926" s="110"/>
      <c r="F926" s="110"/>
      <c r="G926" s="110" t="str">
        <f t="shared" si="14"/>
        <v>1</v>
      </c>
      <c r="H926" s="110"/>
      <c r="I926" s="110">
        <v>141.430545</v>
      </c>
      <c r="J926" s="110">
        <v>40.621378999999997</v>
      </c>
      <c r="K926" s="110"/>
      <c r="L926" s="110"/>
      <c r="M926" s="110"/>
      <c r="N926" s="110"/>
      <c r="O926" s="110"/>
      <c r="P926" s="109"/>
      <c r="Q926" s="109"/>
      <c r="R926" s="109"/>
      <c r="S926" s="110"/>
      <c r="T926" s="135"/>
    </row>
    <row r="927" spans="1:20" x14ac:dyDescent="0.2">
      <c r="A927" s="5">
        <v>926</v>
      </c>
      <c r="B927" s="110">
        <v>4911</v>
      </c>
      <c r="C927" s="110" t="s">
        <v>1451</v>
      </c>
      <c r="D927" s="110" t="s">
        <v>1452</v>
      </c>
      <c r="E927" s="110"/>
      <c r="F927" s="110"/>
      <c r="G927" s="110" t="str">
        <f t="shared" si="14"/>
        <v>1</v>
      </c>
      <c r="H927" s="110"/>
      <c r="I927" s="110">
        <v>141.42899399999999</v>
      </c>
      <c r="J927" s="110">
        <v>40.616456999999997</v>
      </c>
      <c r="K927" s="110"/>
      <c r="L927" s="110"/>
      <c r="M927" s="110"/>
      <c r="N927" s="110"/>
      <c r="O927" s="110"/>
      <c r="P927" s="109"/>
      <c r="Q927" s="109"/>
      <c r="R927" s="109"/>
      <c r="S927" s="110"/>
      <c r="T927" s="135"/>
    </row>
    <row r="928" spans="1:20" x14ac:dyDescent="0.2">
      <c r="A928" s="5">
        <v>927</v>
      </c>
      <c r="B928" s="110">
        <v>4921</v>
      </c>
      <c r="C928" s="110" t="s">
        <v>1453</v>
      </c>
      <c r="D928" s="110" t="s">
        <v>1454</v>
      </c>
      <c r="E928" s="110"/>
      <c r="F928" s="110"/>
      <c r="G928" s="110" t="str">
        <f t="shared" si="14"/>
        <v>1</v>
      </c>
      <c r="H928" s="110"/>
      <c r="I928" s="110">
        <v>141.429563</v>
      </c>
      <c r="J928" s="110">
        <v>40.613602999999998</v>
      </c>
      <c r="K928" s="110"/>
      <c r="L928" s="110"/>
      <c r="M928" s="110"/>
      <c r="N928" s="110"/>
      <c r="O928" s="110"/>
      <c r="P928" s="109"/>
      <c r="Q928" s="109"/>
      <c r="R928" s="109"/>
      <c r="S928" s="110"/>
      <c r="T928" s="135"/>
    </row>
    <row r="929" spans="1:20" x14ac:dyDescent="0.2">
      <c r="A929" s="5">
        <v>928</v>
      </c>
      <c r="B929" s="110">
        <v>4931</v>
      </c>
      <c r="C929" s="110" t="s">
        <v>1455</v>
      </c>
      <c r="D929" s="110" t="s">
        <v>1456</v>
      </c>
      <c r="E929" s="110"/>
      <c r="F929" s="110"/>
      <c r="G929" s="110" t="str">
        <f t="shared" si="14"/>
        <v>1</v>
      </c>
      <c r="H929" s="110"/>
      <c r="I929" s="110">
        <v>141.43505099999999</v>
      </c>
      <c r="J929" s="110">
        <v>40.614336999999999</v>
      </c>
      <c r="K929" s="110"/>
      <c r="L929" s="110"/>
      <c r="M929" s="110"/>
      <c r="N929" s="110"/>
      <c r="O929" s="110"/>
      <c r="P929" s="109"/>
      <c r="Q929" s="109"/>
      <c r="R929" s="109"/>
      <c r="S929" s="110"/>
      <c r="T929" s="135"/>
    </row>
    <row r="930" spans="1:20" x14ac:dyDescent="0.2">
      <c r="A930" s="5">
        <v>929</v>
      </c>
      <c r="B930" s="110">
        <v>4941</v>
      </c>
      <c r="C930" s="110" t="s">
        <v>1457</v>
      </c>
      <c r="D930" s="110" t="s">
        <v>1458</v>
      </c>
      <c r="E930" s="110"/>
      <c r="F930" s="110"/>
      <c r="G930" s="110" t="str">
        <f t="shared" si="14"/>
        <v>1</v>
      </c>
      <c r="H930" s="110"/>
      <c r="I930" s="110">
        <v>141.43946</v>
      </c>
      <c r="J930" s="110">
        <v>40.612830000000002</v>
      </c>
      <c r="K930" s="110"/>
      <c r="L930" s="110"/>
      <c r="M930" s="110"/>
      <c r="N930" s="110"/>
      <c r="O930" s="110"/>
      <c r="P930" s="109"/>
      <c r="Q930" s="109"/>
      <c r="R930" s="109"/>
      <c r="S930" s="110"/>
      <c r="T930" s="135"/>
    </row>
    <row r="931" spans="1:20" x14ac:dyDescent="0.2">
      <c r="A931" s="5">
        <v>930</v>
      </c>
      <c r="B931" s="110">
        <v>4951</v>
      </c>
      <c r="C931" s="110" t="s">
        <v>1459</v>
      </c>
      <c r="D931" s="110" t="s">
        <v>1460</v>
      </c>
      <c r="E931" s="110"/>
      <c r="F931" s="110"/>
      <c r="G931" s="110" t="str">
        <f t="shared" si="14"/>
        <v>1</v>
      </c>
      <c r="H931" s="110"/>
      <c r="I931" s="110">
        <v>141.44251800000001</v>
      </c>
      <c r="J931" s="110">
        <v>40.611277000000001</v>
      </c>
      <c r="K931" s="110"/>
      <c r="L931" s="110"/>
      <c r="M931" s="110"/>
      <c r="N931" s="110"/>
      <c r="O931" s="110"/>
      <c r="P931" s="109"/>
      <c r="Q931" s="109"/>
      <c r="R931" s="109"/>
      <c r="S931" s="110"/>
      <c r="T931" s="135"/>
    </row>
    <row r="932" spans="1:20" x14ac:dyDescent="0.2">
      <c r="A932" s="5">
        <v>931</v>
      </c>
      <c r="B932" s="110">
        <v>4961</v>
      </c>
      <c r="C932" s="110" t="s">
        <v>1461</v>
      </c>
      <c r="D932" s="110" t="s">
        <v>1462</v>
      </c>
      <c r="E932" s="110"/>
      <c r="F932" s="110"/>
      <c r="G932" s="110" t="str">
        <f t="shared" si="14"/>
        <v>1</v>
      </c>
      <c r="H932" s="110"/>
      <c r="I932" s="110">
        <v>141.44034500000001</v>
      </c>
      <c r="J932" s="110">
        <v>40.604610000000001</v>
      </c>
      <c r="K932" s="110"/>
      <c r="L932" s="110"/>
      <c r="M932" s="110"/>
      <c r="N932" s="110"/>
      <c r="O932" s="110"/>
      <c r="P932" s="109"/>
      <c r="Q932" s="109"/>
      <c r="R932" s="109"/>
      <c r="S932" s="110"/>
      <c r="T932" s="135"/>
    </row>
    <row r="933" spans="1:20" x14ac:dyDescent="0.2">
      <c r="A933" s="5">
        <v>932</v>
      </c>
      <c r="B933" s="110">
        <v>4971</v>
      </c>
      <c r="C933" s="110" t="s">
        <v>1463</v>
      </c>
      <c r="D933" s="192" t="s">
        <v>1464</v>
      </c>
      <c r="E933" s="110"/>
      <c r="F933" s="110"/>
      <c r="G933" s="110" t="str">
        <f t="shared" si="14"/>
        <v>1</v>
      </c>
      <c r="H933" s="110"/>
      <c r="I933" s="110">
        <v>141.43410700000001</v>
      </c>
      <c r="J933" s="110">
        <v>40.603876</v>
      </c>
      <c r="K933" s="110"/>
      <c r="L933" s="110"/>
      <c r="M933" s="110"/>
      <c r="N933" s="110"/>
      <c r="O933" s="110"/>
      <c r="P933" s="109"/>
      <c r="Q933" s="109"/>
      <c r="R933" s="109"/>
      <c r="S933" s="110"/>
      <c r="T933" s="135"/>
    </row>
    <row r="934" spans="1:20" x14ac:dyDescent="0.2">
      <c r="A934" s="5">
        <v>933</v>
      </c>
      <c r="B934" s="110">
        <v>4981</v>
      </c>
      <c r="C934" s="110" t="s">
        <v>1465</v>
      </c>
      <c r="D934" s="110" t="s">
        <v>1466</v>
      </c>
      <c r="E934" s="110"/>
      <c r="F934" s="110"/>
      <c r="G934" s="110" t="str">
        <f t="shared" si="14"/>
        <v>1</v>
      </c>
      <c r="H934" s="110"/>
      <c r="I934" s="110">
        <v>141.429676</v>
      </c>
      <c r="J934" s="110">
        <v>40.602794000000003</v>
      </c>
      <c r="K934" s="110"/>
      <c r="L934" s="110"/>
      <c r="M934" s="110"/>
      <c r="N934" s="110"/>
      <c r="O934" s="110"/>
      <c r="P934" s="109"/>
      <c r="Q934" s="109"/>
      <c r="R934" s="109"/>
      <c r="S934" s="110"/>
      <c r="T934" s="135"/>
    </row>
    <row r="935" spans="1:20" x14ac:dyDescent="0.2">
      <c r="A935" s="5">
        <v>934</v>
      </c>
      <c r="B935" s="110">
        <v>383</v>
      </c>
      <c r="C935" s="110" t="s">
        <v>308</v>
      </c>
      <c r="D935" s="110" t="s">
        <v>1467</v>
      </c>
      <c r="E935" s="110"/>
      <c r="F935" s="110"/>
      <c r="G935" s="110" t="str">
        <f t="shared" si="14"/>
        <v>3</v>
      </c>
      <c r="H935" s="110"/>
      <c r="I935" s="110">
        <v>141.41590500000001</v>
      </c>
      <c r="J935" s="110">
        <v>40.601126999999998</v>
      </c>
      <c r="K935" s="110"/>
      <c r="L935" s="110"/>
      <c r="M935" s="110"/>
      <c r="N935" s="110"/>
      <c r="O935" s="110"/>
      <c r="P935" s="109"/>
      <c r="Q935" s="109"/>
      <c r="R935" s="109"/>
      <c r="S935" s="110"/>
      <c r="T935" s="135"/>
    </row>
    <row r="936" spans="1:20" x14ac:dyDescent="0.2">
      <c r="A936" s="5">
        <v>935</v>
      </c>
      <c r="B936" s="110">
        <v>384</v>
      </c>
      <c r="C936" s="110" t="s">
        <v>308</v>
      </c>
      <c r="D936" s="110" t="s">
        <v>1467</v>
      </c>
      <c r="E936" s="110"/>
      <c r="F936" s="110"/>
      <c r="G936" s="110" t="str">
        <f t="shared" si="14"/>
        <v>4</v>
      </c>
      <c r="H936" s="110"/>
      <c r="I936" s="110">
        <v>141.41558900000001</v>
      </c>
      <c r="J936" s="110">
        <v>40.601652999999999</v>
      </c>
      <c r="K936" s="110"/>
      <c r="L936" s="110"/>
      <c r="M936" s="110"/>
      <c r="N936" s="110"/>
      <c r="O936" s="110"/>
      <c r="P936" s="109"/>
      <c r="Q936" s="109"/>
      <c r="R936" s="109"/>
      <c r="S936" s="110"/>
      <c r="T936" s="135"/>
    </row>
    <row r="937" spans="1:20" x14ac:dyDescent="0.2">
      <c r="A937" s="5">
        <v>936</v>
      </c>
      <c r="B937" s="110">
        <v>4982</v>
      </c>
      <c r="C937" s="110" t="s">
        <v>1465</v>
      </c>
      <c r="D937" s="110" t="s">
        <v>1466</v>
      </c>
      <c r="E937" s="110"/>
      <c r="F937" s="110"/>
      <c r="G937" s="110" t="str">
        <f t="shared" si="14"/>
        <v>2</v>
      </c>
      <c r="H937" s="110"/>
      <c r="I937" s="110">
        <v>141.42952500000001</v>
      </c>
      <c r="J937" s="110">
        <v>40.602879999999999</v>
      </c>
      <c r="K937" s="110"/>
      <c r="L937" s="110"/>
      <c r="M937" s="110"/>
      <c r="N937" s="110"/>
      <c r="O937" s="110"/>
      <c r="P937" s="109"/>
      <c r="Q937" s="109"/>
      <c r="R937" s="109"/>
      <c r="S937" s="110"/>
      <c r="T937" s="135"/>
    </row>
    <row r="938" spans="1:20" x14ac:dyDescent="0.2">
      <c r="A938" s="5">
        <v>937</v>
      </c>
      <c r="B938" s="110">
        <v>4972</v>
      </c>
      <c r="C938" s="110" t="s">
        <v>1463</v>
      </c>
      <c r="D938" s="192" t="s">
        <v>1464</v>
      </c>
      <c r="E938" s="110"/>
      <c r="F938" s="110"/>
      <c r="G938" s="110" t="str">
        <f t="shared" si="14"/>
        <v>2</v>
      </c>
      <c r="H938" s="110"/>
      <c r="I938" s="110">
        <v>141.43439100000001</v>
      </c>
      <c r="J938" s="110">
        <v>40.603994</v>
      </c>
      <c r="K938" s="110"/>
      <c r="L938" s="110"/>
      <c r="M938" s="110"/>
      <c r="N938" s="110"/>
      <c r="O938" s="110"/>
      <c r="P938" s="109"/>
      <c r="Q938" s="109"/>
      <c r="R938" s="109"/>
      <c r="S938" s="110"/>
      <c r="T938" s="135"/>
    </row>
    <row r="939" spans="1:20" x14ac:dyDescent="0.2">
      <c r="A939" s="5">
        <v>938</v>
      </c>
      <c r="B939" s="110">
        <v>4962</v>
      </c>
      <c r="C939" s="110" t="s">
        <v>1461</v>
      </c>
      <c r="D939" s="110" t="s">
        <v>1462</v>
      </c>
      <c r="E939" s="110"/>
      <c r="F939" s="110"/>
      <c r="G939" s="110" t="str">
        <f t="shared" si="14"/>
        <v>2</v>
      </c>
      <c r="H939" s="110"/>
      <c r="I939" s="110">
        <v>141.44022699999999</v>
      </c>
      <c r="J939" s="110">
        <v>40.604723999999997</v>
      </c>
      <c r="K939" s="110"/>
      <c r="L939" s="110"/>
      <c r="M939" s="110"/>
      <c r="N939" s="110"/>
      <c r="O939" s="110"/>
      <c r="P939" s="109"/>
      <c r="Q939" s="109"/>
      <c r="R939" s="109"/>
      <c r="S939" s="110"/>
      <c r="T939" s="135"/>
    </row>
    <row r="940" spans="1:20" x14ac:dyDescent="0.2">
      <c r="A940" s="5">
        <v>939</v>
      </c>
      <c r="B940" s="110">
        <v>4952</v>
      </c>
      <c r="C940" s="110" t="s">
        <v>1459</v>
      </c>
      <c r="D940" s="110" t="s">
        <v>1460</v>
      </c>
      <c r="E940" s="110"/>
      <c r="F940" s="110"/>
      <c r="G940" s="110" t="str">
        <f t="shared" si="14"/>
        <v>2</v>
      </c>
      <c r="H940" s="110"/>
      <c r="I940" s="110">
        <v>141.442421</v>
      </c>
      <c r="J940" s="110">
        <v>40.611179</v>
      </c>
      <c r="K940" s="110"/>
      <c r="L940" s="110"/>
      <c r="M940" s="110"/>
      <c r="N940" s="110"/>
      <c r="O940" s="110"/>
      <c r="P940" s="109"/>
      <c r="Q940" s="109"/>
      <c r="R940" s="109"/>
      <c r="S940" s="110"/>
      <c r="T940" s="135"/>
    </row>
    <row r="941" spans="1:20" x14ac:dyDescent="0.2">
      <c r="A941" s="5">
        <v>940</v>
      </c>
      <c r="B941" s="110">
        <v>4942</v>
      </c>
      <c r="C941" s="110" t="s">
        <v>1457</v>
      </c>
      <c r="D941" s="110" t="s">
        <v>1458</v>
      </c>
      <c r="E941" s="110"/>
      <c r="F941" s="110"/>
      <c r="G941" s="110" t="str">
        <f t="shared" si="14"/>
        <v>2</v>
      </c>
      <c r="H941" s="110"/>
      <c r="I941" s="110">
        <v>141.43933699999999</v>
      </c>
      <c r="J941" s="110">
        <v>40.612797</v>
      </c>
      <c r="K941" s="110"/>
      <c r="L941" s="110"/>
      <c r="M941" s="110"/>
      <c r="N941" s="110"/>
      <c r="O941" s="110"/>
      <c r="P941" s="109"/>
      <c r="Q941" s="109"/>
      <c r="R941" s="109"/>
      <c r="S941" s="110"/>
      <c r="T941" s="135"/>
    </row>
    <row r="942" spans="1:20" x14ac:dyDescent="0.2">
      <c r="A942" s="5">
        <v>941</v>
      </c>
      <c r="B942" s="110">
        <v>4932</v>
      </c>
      <c r="C942" s="110" t="s">
        <v>1455</v>
      </c>
      <c r="D942" s="110" t="s">
        <v>1456</v>
      </c>
      <c r="E942" s="110"/>
      <c r="F942" s="110"/>
      <c r="G942" s="110" t="str">
        <f t="shared" si="14"/>
        <v>2</v>
      </c>
      <c r="H942" s="110"/>
      <c r="I942" s="110">
        <v>141.43497600000001</v>
      </c>
      <c r="J942" s="110">
        <v>40.614268000000003</v>
      </c>
      <c r="K942" s="110"/>
      <c r="L942" s="110"/>
      <c r="M942" s="110"/>
      <c r="N942" s="110"/>
      <c r="O942" s="110"/>
      <c r="P942" s="109"/>
      <c r="Q942" s="109"/>
      <c r="R942" s="109"/>
      <c r="S942" s="110"/>
      <c r="T942" s="135"/>
    </row>
    <row r="943" spans="1:20" x14ac:dyDescent="0.2">
      <c r="A943" s="5">
        <v>942</v>
      </c>
      <c r="B943" s="110">
        <v>4922</v>
      </c>
      <c r="C943" s="110" t="s">
        <v>1453</v>
      </c>
      <c r="D943" s="110" t="s">
        <v>1454</v>
      </c>
      <c r="E943" s="110"/>
      <c r="F943" s="110"/>
      <c r="G943" s="110" t="str">
        <f t="shared" si="14"/>
        <v>2</v>
      </c>
      <c r="H943" s="110"/>
      <c r="I943" s="110">
        <v>141.42952</v>
      </c>
      <c r="J943" s="110">
        <v>40.613517999999999</v>
      </c>
      <c r="K943" s="110"/>
      <c r="L943" s="110"/>
      <c r="M943" s="110"/>
      <c r="N943" s="110"/>
      <c r="O943" s="110"/>
      <c r="P943" s="109"/>
      <c r="Q943" s="109"/>
      <c r="R943" s="109"/>
      <c r="S943" s="110"/>
      <c r="T943" s="135"/>
    </row>
    <row r="944" spans="1:20" x14ac:dyDescent="0.2">
      <c r="A944" s="5">
        <v>943</v>
      </c>
      <c r="B944" s="110">
        <v>4912</v>
      </c>
      <c r="C944" s="110" t="s">
        <v>1451</v>
      </c>
      <c r="D944" s="110" t="s">
        <v>1452</v>
      </c>
      <c r="E944" s="110"/>
      <c r="F944" s="110"/>
      <c r="G944" s="110" t="str">
        <f t="shared" si="14"/>
        <v>2</v>
      </c>
      <c r="H944" s="110"/>
      <c r="I944" s="110">
        <v>141.42885999999999</v>
      </c>
      <c r="J944" s="110">
        <v>40.616399999999999</v>
      </c>
      <c r="K944" s="110"/>
      <c r="L944" s="110"/>
      <c r="M944" s="110"/>
      <c r="N944" s="110"/>
      <c r="O944" s="110"/>
      <c r="P944" s="109"/>
      <c r="Q944" s="109"/>
      <c r="R944" s="109"/>
      <c r="S944" s="110"/>
      <c r="T944" s="135"/>
    </row>
    <row r="945" spans="1:20" x14ac:dyDescent="0.2">
      <c r="A945" s="5">
        <v>944</v>
      </c>
      <c r="B945" s="110">
        <v>4902</v>
      </c>
      <c r="C945" s="110" t="s">
        <v>1449</v>
      </c>
      <c r="D945" s="110" t="s">
        <v>1450</v>
      </c>
      <c r="E945" s="110"/>
      <c r="F945" s="110"/>
      <c r="G945" s="110" t="str">
        <f t="shared" si="14"/>
        <v>2</v>
      </c>
      <c r="H945" s="110"/>
      <c r="I945" s="110">
        <v>141.430432</v>
      </c>
      <c r="J945" s="110">
        <v>40.621420000000001</v>
      </c>
      <c r="K945" s="110"/>
      <c r="L945" s="110"/>
      <c r="M945" s="110"/>
      <c r="N945" s="110"/>
      <c r="O945" s="110"/>
      <c r="P945" s="109"/>
      <c r="Q945" s="109"/>
      <c r="R945" s="109"/>
      <c r="S945" s="110"/>
      <c r="T945" s="135"/>
    </row>
    <row r="946" spans="1:20" x14ac:dyDescent="0.2">
      <c r="A946" s="5">
        <v>945</v>
      </c>
      <c r="B946" s="110">
        <v>4892</v>
      </c>
      <c r="C946" s="110" t="s">
        <v>1447</v>
      </c>
      <c r="D946" s="110" t="s">
        <v>1448</v>
      </c>
      <c r="E946" s="110"/>
      <c r="F946" s="110"/>
      <c r="G946" s="110" t="str">
        <f t="shared" si="14"/>
        <v>2</v>
      </c>
      <c r="H946" s="110"/>
      <c r="I946" s="110">
        <v>141.43730400000001</v>
      </c>
      <c r="J946" s="110">
        <v>40.630842000000001</v>
      </c>
      <c r="K946" s="110"/>
      <c r="L946" s="110"/>
      <c r="M946" s="110"/>
      <c r="N946" s="110"/>
      <c r="O946" s="110"/>
      <c r="P946" s="109"/>
      <c r="Q946" s="109"/>
      <c r="R946" s="109"/>
      <c r="S946" s="110"/>
      <c r="T946" s="135"/>
    </row>
    <row r="947" spans="1:20" x14ac:dyDescent="0.2">
      <c r="A947" s="5">
        <v>946</v>
      </c>
      <c r="B947" s="110">
        <v>4882</v>
      </c>
      <c r="C947" s="110" t="s">
        <v>1445</v>
      </c>
      <c r="D947" s="110" t="s">
        <v>1446</v>
      </c>
      <c r="E947" s="110"/>
      <c r="F947" s="110"/>
      <c r="G947" s="110" t="str">
        <f t="shared" si="14"/>
        <v>2</v>
      </c>
      <c r="H947" s="110"/>
      <c r="I947" s="110">
        <v>141.44179399999999</v>
      </c>
      <c r="J947" s="110">
        <v>40.635845000000003</v>
      </c>
      <c r="K947" s="110"/>
      <c r="L947" s="110"/>
      <c r="M947" s="110"/>
      <c r="N947" s="110"/>
      <c r="O947" s="110"/>
      <c r="P947" s="109"/>
      <c r="Q947" s="109"/>
      <c r="R947" s="109"/>
      <c r="S947" s="110"/>
      <c r="T947" s="135"/>
    </row>
    <row r="948" spans="1:20" x14ac:dyDescent="0.2">
      <c r="A948" s="5">
        <v>947</v>
      </c>
      <c r="B948" s="110">
        <v>4872</v>
      </c>
      <c r="C948" s="110" t="s">
        <v>1443</v>
      </c>
      <c r="D948" s="110" t="s">
        <v>1444</v>
      </c>
      <c r="E948" s="110"/>
      <c r="F948" s="110"/>
      <c r="G948" s="110" t="str">
        <f t="shared" si="14"/>
        <v>2</v>
      </c>
      <c r="H948" s="110"/>
      <c r="I948" s="110">
        <v>141.44091399999999</v>
      </c>
      <c r="J948" s="110">
        <v>40.642707999999999</v>
      </c>
      <c r="K948" s="110"/>
      <c r="L948" s="110"/>
      <c r="M948" s="110"/>
      <c r="N948" s="110"/>
      <c r="O948" s="110"/>
      <c r="P948" s="109"/>
      <c r="Q948" s="109"/>
      <c r="R948" s="109"/>
      <c r="S948" s="110"/>
      <c r="T948" s="135"/>
    </row>
    <row r="949" spans="1:20" x14ac:dyDescent="0.2">
      <c r="A949" s="5">
        <v>948</v>
      </c>
      <c r="B949" s="110">
        <v>4862</v>
      </c>
      <c r="C949" s="110" t="s">
        <v>1441</v>
      </c>
      <c r="D949" s="110" t="s">
        <v>1442</v>
      </c>
      <c r="E949" s="110"/>
      <c r="F949" s="110"/>
      <c r="G949" s="110" t="str">
        <f t="shared" si="14"/>
        <v>2</v>
      </c>
      <c r="H949" s="110"/>
      <c r="I949" s="110">
        <v>141.43964299999999</v>
      </c>
      <c r="J949" s="110">
        <v>40.645122000000001</v>
      </c>
      <c r="K949" s="110"/>
      <c r="L949" s="110"/>
      <c r="M949" s="110"/>
      <c r="N949" s="110"/>
      <c r="O949" s="110"/>
      <c r="P949" s="109"/>
      <c r="Q949" s="109"/>
      <c r="R949" s="109"/>
      <c r="S949" s="110"/>
      <c r="T949" s="135"/>
    </row>
    <row r="950" spans="1:20" x14ac:dyDescent="0.2">
      <c r="A950" s="5">
        <v>949</v>
      </c>
      <c r="B950" s="110">
        <v>4852</v>
      </c>
      <c r="C950" s="110" t="s">
        <v>1439</v>
      </c>
      <c r="D950" s="110" t="s">
        <v>1440</v>
      </c>
      <c r="E950" s="110"/>
      <c r="F950" s="110"/>
      <c r="G950" s="110" t="str">
        <f t="shared" si="14"/>
        <v>2</v>
      </c>
      <c r="H950" s="110"/>
      <c r="I950" s="110">
        <v>141.438017</v>
      </c>
      <c r="J950" s="110">
        <v>40.651381000000001</v>
      </c>
      <c r="K950" s="110"/>
      <c r="L950" s="110"/>
      <c r="M950" s="110"/>
      <c r="N950" s="110"/>
      <c r="O950" s="110"/>
      <c r="P950" s="109"/>
      <c r="Q950" s="109"/>
      <c r="R950" s="109"/>
      <c r="S950" s="110"/>
      <c r="T950" s="135"/>
    </row>
    <row r="951" spans="1:20" x14ac:dyDescent="0.2">
      <c r="A951" s="5">
        <v>950</v>
      </c>
      <c r="B951" s="110">
        <v>4842</v>
      </c>
      <c r="C951" s="110" t="s">
        <v>1437</v>
      </c>
      <c r="D951" s="110" t="s">
        <v>1438</v>
      </c>
      <c r="E951" s="110"/>
      <c r="F951" s="110"/>
      <c r="G951" s="110" t="str">
        <f t="shared" si="14"/>
        <v>2</v>
      </c>
      <c r="H951" s="110"/>
      <c r="I951" s="110">
        <v>141.437996</v>
      </c>
      <c r="J951" s="110">
        <v>40.654834000000001</v>
      </c>
      <c r="K951" s="110"/>
      <c r="L951" s="110"/>
      <c r="M951" s="110"/>
      <c r="N951" s="110"/>
      <c r="O951" s="110"/>
      <c r="P951" s="109"/>
      <c r="Q951" s="109"/>
      <c r="R951" s="109"/>
      <c r="S951" s="110"/>
      <c r="T951" s="135"/>
    </row>
    <row r="952" spans="1:20" x14ac:dyDescent="0.2">
      <c r="A952" s="5">
        <v>951</v>
      </c>
      <c r="B952" s="110">
        <v>4832</v>
      </c>
      <c r="C952" s="110" t="s">
        <v>1435</v>
      </c>
      <c r="D952" s="110" t="s">
        <v>1436</v>
      </c>
      <c r="E952" s="110"/>
      <c r="F952" s="110"/>
      <c r="G952" s="110" t="str">
        <f t="shared" si="14"/>
        <v>2</v>
      </c>
      <c r="H952" s="110"/>
      <c r="I952" s="110">
        <v>141.433989</v>
      </c>
      <c r="J952" s="110">
        <v>40.660707000000002</v>
      </c>
      <c r="K952" s="110"/>
      <c r="L952" s="110"/>
      <c r="M952" s="110"/>
      <c r="N952" s="110"/>
      <c r="O952" s="110"/>
      <c r="P952" s="109"/>
      <c r="Q952" s="109"/>
      <c r="R952" s="109"/>
      <c r="S952" s="110"/>
      <c r="T952" s="135"/>
    </row>
    <row r="953" spans="1:20" x14ac:dyDescent="0.2">
      <c r="A953" s="5">
        <v>952</v>
      </c>
      <c r="B953" s="110">
        <v>4822</v>
      </c>
      <c r="C953" s="110" t="s">
        <v>1433</v>
      </c>
      <c r="D953" s="110" t="s">
        <v>1468</v>
      </c>
      <c r="E953" s="110"/>
      <c r="F953" s="110"/>
      <c r="G953" s="110" t="str">
        <f t="shared" si="14"/>
        <v>2</v>
      </c>
      <c r="H953" s="110"/>
      <c r="I953" s="110">
        <v>141.43249700000001</v>
      </c>
      <c r="J953" s="110">
        <v>40.663843</v>
      </c>
      <c r="K953" s="110"/>
      <c r="L953" s="110"/>
      <c r="M953" s="110"/>
      <c r="N953" s="110"/>
      <c r="O953" s="110"/>
      <c r="P953" s="109"/>
      <c r="Q953" s="109"/>
      <c r="R953" s="109"/>
      <c r="S953" s="110"/>
      <c r="T953" s="135"/>
    </row>
    <row r="954" spans="1:20" x14ac:dyDescent="0.2">
      <c r="A954" s="5">
        <v>953</v>
      </c>
      <c r="B954" s="110">
        <v>4812</v>
      </c>
      <c r="C954" s="110" t="s">
        <v>1431</v>
      </c>
      <c r="D954" s="110" t="s">
        <v>1432</v>
      </c>
      <c r="E954" s="110"/>
      <c r="F954" s="110"/>
      <c r="G954" s="110" t="str">
        <f t="shared" si="14"/>
        <v>2</v>
      </c>
      <c r="H954" s="110"/>
      <c r="I954" s="110">
        <v>141.43053900000001</v>
      </c>
      <c r="J954" s="110">
        <v>40.671737</v>
      </c>
      <c r="K954" s="110"/>
      <c r="L954" s="110"/>
      <c r="M954" s="110"/>
      <c r="N954" s="110"/>
      <c r="O954" s="110"/>
      <c r="P954" s="109"/>
      <c r="Q954" s="109"/>
      <c r="R954" s="109"/>
      <c r="S954" s="110"/>
      <c r="T954" s="135"/>
    </row>
    <row r="955" spans="1:20" x14ac:dyDescent="0.2">
      <c r="A955" s="5">
        <v>954</v>
      </c>
      <c r="B955" s="110">
        <v>4802</v>
      </c>
      <c r="C955" s="110" t="s">
        <v>1429</v>
      </c>
      <c r="D955" s="110" t="s">
        <v>1430</v>
      </c>
      <c r="E955" s="110"/>
      <c r="F955" s="110"/>
      <c r="G955" s="110" t="str">
        <f t="shared" si="14"/>
        <v>2</v>
      </c>
      <c r="H955" s="110"/>
      <c r="I955" s="110">
        <v>141.42987400000001</v>
      </c>
      <c r="J955" s="110">
        <v>40.676811999999998</v>
      </c>
      <c r="K955" s="110"/>
      <c r="L955" s="110"/>
      <c r="M955" s="110"/>
      <c r="N955" s="110"/>
      <c r="O955" s="110"/>
      <c r="P955" s="109"/>
      <c r="Q955" s="109"/>
      <c r="R955" s="109"/>
      <c r="S955" s="110"/>
      <c r="T955" s="135"/>
    </row>
    <row r="956" spans="1:20" x14ac:dyDescent="0.2">
      <c r="A956" s="5">
        <v>955</v>
      </c>
      <c r="B956" s="110">
        <v>4792</v>
      </c>
      <c r="C956" s="110" t="s">
        <v>1427</v>
      </c>
      <c r="D956" s="110" t="s">
        <v>1428</v>
      </c>
      <c r="E956" s="110"/>
      <c r="F956" s="110"/>
      <c r="G956" s="110" t="str">
        <f t="shared" si="14"/>
        <v>2</v>
      </c>
      <c r="H956" s="110"/>
      <c r="I956" s="110">
        <v>141.42852199999999</v>
      </c>
      <c r="J956" s="110">
        <v>40.681082000000004</v>
      </c>
      <c r="K956" s="110"/>
      <c r="L956" s="110"/>
      <c r="M956" s="110"/>
      <c r="N956" s="110"/>
      <c r="O956" s="110"/>
      <c r="P956" s="109"/>
      <c r="Q956" s="109"/>
      <c r="R956" s="109"/>
      <c r="S956" s="110"/>
      <c r="T956" s="135"/>
    </row>
    <row r="957" spans="1:20" x14ac:dyDescent="0.2">
      <c r="A957" s="5">
        <v>956</v>
      </c>
      <c r="B957" s="110">
        <v>4782</v>
      </c>
      <c r="C957" s="110" t="s">
        <v>1425</v>
      </c>
      <c r="D957" s="110" t="s">
        <v>1426</v>
      </c>
      <c r="E957" s="110"/>
      <c r="F957" s="110"/>
      <c r="G957" s="110" t="str">
        <f t="shared" si="14"/>
        <v>2</v>
      </c>
      <c r="H957" s="110"/>
      <c r="I957" s="110">
        <v>141.42668800000001</v>
      </c>
      <c r="J957" s="110">
        <v>40.6843</v>
      </c>
      <c r="K957" s="110"/>
      <c r="L957" s="110"/>
      <c r="M957" s="110"/>
      <c r="N957" s="110"/>
      <c r="O957" s="110"/>
      <c r="P957" s="109"/>
      <c r="Q957" s="109"/>
      <c r="R957" s="109"/>
      <c r="S957" s="110"/>
      <c r="T957" s="135"/>
    </row>
    <row r="958" spans="1:20" x14ac:dyDescent="0.2">
      <c r="A958" s="5">
        <v>957</v>
      </c>
      <c r="B958" s="110">
        <v>4772</v>
      </c>
      <c r="C958" s="110" t="s">
        <v>1423</v>
      </c>
      <c r="D958" s="110" t="s">
        <v>1424</v>
      </c>
      <c r="E958" s="110"/>
      <c r="F958" s="110"/>
      <c r="G958" s="110" t="str">
        <f t="shared" si="14"/>
        <v>2</v>
      </c>
      <c r="H958" s="110"/>
      <c r="I958" s="110">
        <v>141.424746</v>
      </c>
      <c r="J958" s="110">
        <v>40.686782999999998</v>
      </c>
      <c r="K958" s="110"/>
      <c r="L958" s="110"/>
      <c r="M958" s="110"/>
      <c r="N958" s="110"/>
      <c r="O958" s="110"/>
      <c r="P958" s="109"/>
      <c r="Q958" s="109"/>
      <c r="R958" s="109"/>
      <c r="S958" s="110"/>
      <c r="T958" s="135"/>
    </row>
    <row r="959" spans="1:20" x14ac:dyDescent="0.2">
      <c r="A959" s="5">
        <v>958</v>
      </c>
      <c r="B959" s="110">
        <v>4762</v>
      </c>
      <c r="C959" s="110" t="s">
        <v>1421</v>
      </c>
      <c r="D959" s="110" t="s">
        <v>1422</v>
      </c>
      <c r="E959" s="110"/>
      <c r="F959" s="110"/>
      <c r="G959" s="110" t="str">
        <f t="shared" si="14"/>
        <v>2</v>
      </c>
      <c r="H959" s="110"/>
      <c r="I959" s="110">
        <v>141.420063</v>
      </c>
      <c r="J959" s="110">
        <v>40.685581999999997</v>
      </c>
      <c r="K959" s="110"/>
      <c r="L959" s="110"/>
      <c r="M959" s="110"/>
      <c r="N959" s="110"/>
      <c r="O959" s="110"/>
      <c r="P959" s="109"/>
      <c r="Q959" s="109"/>
      <c r="R959" s="109"/>
      <c r="S959" s="110"/>
      <c r="T959" s="135"/>
    </row>
    <row r="960" spans="1:20" x14ac:dyDescent="0.2">
      <c r="A960" s="5">
        <v>959</v>
      </c>
      <c r="B960" s="110">
        <v>4752</v>
      </c>
      <c r="C960" s="110" t="s">
        <v>1419</v>
      </c>
      <c r="D960" s="110" t="s">
        <v>1420</v>
      </c>
      <c r="E960" s="110"/>
      <c r="F960" s="110"/>
      <c r="G960" s="110" t="str">
        <f t="shared" si="14"/>
        <v>2</v>
      </c>
      <c r="H960" s="110"/>
      <c r="I960" s="110">
        <v>141.414682</v>
      </c>
      <c r="J960" s="110">
        <v>40.685308999999997</v>
      </c>
      <c r="K960" s="110"/>
      <c r="L960" s="110"/>
      <c r="M960" s="110"/>
      <c r="N960" s="110"/>
      <c r="O960" s="110"/>
      <c r="P960" s="109"/>
      <c r="Q960" s="109"/>
      <c r="R960" s="109"/>
      <c r="S960" s="110"/>
      <c r="T960" s="135"/>
    </row>
    <row r="961" spans="1:20" x14ac:dyDescent="0.2">
      <c r="A961" s="5">
        <v>960</v>
      </c>
      <c r="B961" s="110">
        <v>4742</v>
      </c>
      <c r="C961" s="110" t="s">
        <v>1417</v>
      </c>
      <c r="D961" s="110" t="s">
        <v>1418</v>
      </c>
      <c r="E961" s="110"/>
      <c r="F961" s="110"/>
      <c r="G961" s="110" t="str">
        <f t="shared" si="14"/>
        <v>2</v>
      </c>
      <c r="H961" s="110"/>
      <c r="I961" s="110">
        <v>141.41196199999999</v>
      </c>
      <c r="J961" s="110">
        <v>40.685043999999998</v>
      </c>
      <c r="K961" s="110"/>
      <c r="L961" s="110"/>
      <c r="M961" s="110"/>
      <c r="N961" s="110"/>
      <c r="O961" s="110"/>
      <c r="P961" s="109"/>
      <c r="Q961" s="109"/>
      <c r="R961" s="109"/>
      <c r="S961" s="110"/>
      <c r="T961" s="135"/>
    </row>
    <row r="962" spans="1:20" x14ac:dyDescent="0.2">
      <c r="A962" s="5">
        <v>961</v>
      </c>
      <c r="B962" s="110">
        <v>4732</v>
      </c>
      <c r="C962" s="110" t="s">
        <v>1415</v>
      </c>
      <c r="D962" s="110" t="s">
        <v>1416</v>
      </c>
      <c r="E962" s="110"/>
      <c r="F962" s="110"/>
      <c r="G962" s="110" t="str">
        <f t="shared" si="14"/>
        <v>2</v>
      </c>
      <c r="H962" s="110"/>
      <c r="I962" s="110">
        <v>141.40971500000001</v>
      </c>
      <c r="J962" s="110">
        <v>40.692858999999999</v>
      </c>
      <c r="K962" s="110"/>
      <c r="L962" s="110"/>
      <c r="M962" s="110"/>
      <c r="N962" s="110"/>
      <c r="O962" s="110"/>
      <c r="P962" s="109"/>
      <c r="Q962" s="109"/>
      <c r="R962" s="109"/>
      <c r="S962" s="110"/>
      <c r="T962" s="135"/>
    </row>
    <row r="963" spans="1:20" x14ac:dyDescent="0.2">
      <c r="A963" s="5">
        <v>962</v>
      </c>
      <c r="B963" s="110">
        <v>4722</v>
      </c>
      <c r="C963" s="110" t="s">
        <v>1413</v>
      </c>
      <c r="D963" s="110" t="s">
        <v>1414</v>
      </c>
      <c r="E963" s="110"/>
      <c r="F963" s="110"/>
      <c r="G963" s="110" t="str">
        <f t="shared" si="14"/>
        <v>2</v>
      </c>
      <c r="H963" s="110"/>
      <c r="I963" s="110">
        <v>141.40316999999999</v>
      </c>
      <c r="J963" s="110">
        <v>40.691870999999999</v>
      </c>
      <c r="K963" s="110"/>
      <c r="L963" s="110"/>
      <c r="M963" s="110"/>
      <c r="N963" s="110"/>
      <c r="O963" s="110"/>
      <c r="P963" s="109"/>
      <c r="Q963" s="109"/>
      <c r="R963" s="109"/>
      <c r="S963" s="110"/>
      <c r="T963" s="135"/>
    </row>
    <row r="964" spans="1:20" x14ac:dyDescent="0.2">
      <c r="A964" s="5">
        <v>963</v>
      </c>
      <c r="B964" s="110">
        <v>4712</v>
      </c>
      <c r="C964" s="110" t="s">
        <v>1410</v>
      </c>
      <c r="D964" s="192" t="s">
        <v>1411</v>
      </c>
      <c r="E964" s="110"/>
      <c r="F964" s="110"/>
      <c r="G964" s="110" t="str">
        <f t="shared" si="14"/>
        <v>2</v>
      </c>
      <c r="H964" s="110"/>
      <c r="I964" s="110">
        <v>141.369428</v>
      </c>
      <c r="J964" s="110">
        <v>40.687657000000002</v>
      </c>
      <c r="K964" s="110"/>
      <c r="L964" s="110"/>
      <c r="M964" s="110"/>
      <c r="N964" s="110"/>
      <c r="O964" s="110"/>
      <c r="P964" s="109"/>
      <c r="Q964" s="109"/>
      <c r="R964" s="109"/>
      <c r="S964" s="110"/>
      <c r="T964" s="135"/>
    </row>
    <row r="965" spans="1:20" x14ac:dyDescent="0.2">
      <c r="A965" s="5">
        <v>964</v>
      </c>
      <c r="B965" s="110">
        <v>4991</v>
      </c>
      <c r="C965" s="110" t="s">
        <v>1469</v>
      </c>
      <c r="D965" s="110" t="s">
        <v>1470</v>
      </c>
      <c r="E965" s="110"/>
      <c r="F965" s="110"/>
      <c r="G965" s="110" t="str">
        <f t="shared" ref="G965:G1028" si="15">RIGHT(B965,1)</f>
        <v>1</v>
      </c>
      <c r="H965" s="110"/>
      <c r="I965" s="110">
        <v>141.390703</v>
      </c>
      <c r="J965" s="110">
        <v>40.669429000000001</v>
      </c>
      <c r="K965" s="110"/>
      <c r="L965" s="110"/>
      <c r="M965" s="110"/>
      <c r="N965" s="110"/>
      <c r="O965" s="110"/>
      <c r="P965" s="109"/>
      <c r="Q965" s="109"/>
      <c r="R965" s="109"/>
      <c r="S965" s="110"/>
      <c r="T965" s="135"/>
    </row>
    <row r="966" spans="1:20" x14ac:dyDescent="0.2">
      <c r="A966" s="5">
        <v>965</v>
      </c>
      <c r="B966" s="110">
        <v>5001</v>
      </c>
      <c r="C966" s="110" t="s">
        <v>1471</v>
      </c>
      <c r="D966" s="192" t="s">
        <v>1472</v>
      </c>
      <c r="E966" s="110"/>
      <c r="F966" s="110"/>
      <c r="G966" s="110" t="str">
        <f t="shared" si="15"/>
        <v>1</v>
      </c>
      <c r="H966" s="110"/>
      <c r="I966" s="110">
        <v>141.38284400000001</v>
      </c>
      <c r="J966" s="110">
        <v>40.666950999999997</v>
      </c>
      <c r="K966" s="110"/>
      <c r="L966" s="110"/>
      <c r="M966" s="110"/>
      <c r="N966" s="110"/>
      <c r="O966" s="110"/>
      <c r="P966" s="109"/>
      <c r="Q966" s="109"/>
      <c r="R966" s="109"/>
      <c r="S966" s="110"/>
      <c r="T966" s="135"/>
    </row>
    <row r="967" spans="1:20" x14ac:dyDescent="0.2">
      <c r="A967" s="5">
        <v>966</v>
      </c>
      <c r="B967" s="110">
        <v>5011</v>
      </c>
      <c r="C967" s="110" t="s">
        <v>1473</v>
      </c>
      <c r="D967" s="110" t="s">
        <v>1474</v>
      </c>
      <c r="E967" s="110"/>
      <c r="F967" s="110"/>
      <c r="G967" s="110" t="str">
        <f t="shared" si="15"/>
        <v>1</v>
      </c>
      <c r="H967" s="110"/>
      <c r="I967" s="110">
        <v>141.37895</v>
      </c>
      <c r="J967" s="110">
        <v>40.674035000000003</v>
      </c>
      <c r="K967" s="110"/>
      <c r="L967" s="110"/>
      <c r="M967" s="110"/>
      <c r="N967" s="110"/>
      <c r="O967" s="110"/>
      <c r="P967" s="109"/>
      <c r="Q967" s="109"/>
      <c r="R967" s="109"/>
      <c r="S967" s="110"/>
      <c r="T967" s="135"/>
    </row>
    <row r="968" spans="1:20" x14ac:dyDescent="0.2">
      <c r="A968" s="5">
        <v>967</v>
      </c>
      <c r="B968" s="110">
        <v>5021</v>
      </c>
      <c r="C968" s="110" t="s">
        <v>1475</v>
      </c>
      <c r="D968" s="110" t="s">
        <v>1476</v>
      </c>
      <c r="E968" s="110"/>
      <c r="F968" s="110"/>
      <c r="G968" s="110" t="str">
        <f t="shared" si="15"/>
        <v>1</v>
      </c>
      <c r="H968" s="110"/>
      <c r="I968" s="110">
        <v>141.37861699999999</v>
      </c>
      <c r="J968" s="110">
        <v>40.674982999999997</v>
      </c>
      <c r="K968" s="110"/>
      <c r="L968" s="110"/>
      <c r="M968" s="110"/>
      <c r="N968" s="110"/>
      <c r="O968" s="110"/>
      <c r="P968" s="109"/>
      <c r="Q968" s="109"/>
      <c r="R968" s="109"/>
      <c r="S968" s="110"/>
      <c r="T968" s="135"/>
    </row>
    <row r="969" spans="1:20" x14ac:dyDescent="0.2">
      <c r="A969" s="5">
        <v>968</v>
      </c>
      <c r="B969" s="110">
        <v>5031</v>
      </c>
      <c r="C969" s="110" t="s">
        <v>1477</v>
      </c>
      <c r="D969" s="110" t="s">
        <v>1478</v>
      </c>
      <c r="E969" s="110"/>
      <c r="F969" s="110"/>
      <c r="G969" s="110" t="str">
        <f t="shared" si="15"/>
        <v>1</v>
      </c>
      <c r="H969" s="110"/>
      <c r="I969" s="110">
        <v>141.372646</v>
      </c>
      <c r="J969" s="110">
        <v>40.676780999999998</v>
      </c>
      <c r="K969" s="110"/>
      <c r="L969" s="110"/>
      <c r="M969" s="110"/>
      <c r="N969" s="110"/>
      <c r="O969" s="110"/>
      <c r="P969" s="109"/>
      <c r="Q969" s="109"/>
      <c r="R969" s="109"/>
      <c r="S969" s="110"/>
      <c r="T969" s="135"/>
    </row>
    <row r="970" spans="1:20" x14ac:dyDescent="0.2">
      <c r="A970" s="5">
        <v>969</v>
      </c>
      <c r="B970" s="110">
        <v>5041</v>
      </c>
      <c r="C970" s="110" t="s">
        <v>1479</v>
      </c>
      <c r="D970" s="192" t="s">
        <v>1480</v>
      </c>
      <c r="E970" s="110"/>
      <c r="F970" s="110"/>
      <c r="G970" s="110" t="str">
        <f t="shared" si="15"/>
        <v>1</v>
      </c>
      <c r="H970" s="110"/>
      <c r="I970" s="110">
        <v>141.37402499999999</v>
      </c>
      <c r="J970" s="110">
        <v>40.681666999999997</v>
      </c>
      <c r="K970" s="110"/>
      <c r="L970" s="110"/>
      <c r="M970" s="110"/>
      <c r="N970" s="110"/>
      <c r="O970" s="110"/>
      <c r="P970" s="109"/>
      <c r="Q970" s="109"/>
      <c r="R970" s="109"/>
      <c r="S970" s="110"/>
      <c r="T970" s="135"/>
    </row>
    <row r="971" spans="1:20" x14ac:dyDescent="0.2">
      <c r="A971" s="5">
        <v>970</v>
      </c>
      <c r="B971" s="110">
        <v>5051</v>
      </c>
      <c r="C971" s="110" t="s">
        <v>1481</v>
      </c>
      <c r="D971" s="110" t="s">
        <v>1482</v>
      </c>
      <c r="E971" s="110"/>
      <c r="F971" s="110"/>
      <c r="G971" s="110" t="str">
        <f t="shared" si="15"/>
        <v>1</v>
      </c>
      <c r="H971" s="110"/>
      <c r="I971" s="110">
        <v>141.414312</v>
      </c>
      <c r="J971" s="110">
        <v>40.726201000000003</v>
      </c>
      <c r="K971" s="110"/>
      <c r="L971" s="110"/>
      <c r="M971" s="110"/>
      <c r="N971" s="110"/>
      <c r="O971" s="110"/>
      <c r="P971" s="109"/>
      <c r="Q971" s="109"/>
      <c r="R971" s="109"/>
      <c r="S971" s="110"/>
      <c r="T971" s="135"/>
    </row>
    <row r="972" spans="1:20" x14ac:dyDescent="0.2">
      <c r="A972" s="5">
        <v>971</v>
      </c>
      <c r="B972" s="110">
        <v>5061</v>
      </c>
      <c r="C972" s="110" t="s">
        <v>1483</v>
      </c>
      <c r="D972" s="110" t="s">
        <v>1484</v>
      </c>
      <c r="E972" s="110"/>
      <c r="F972" s="110"/>
      <c r="G972" s="110" t="str">
        <f t="shared" si="15"/>
        <v>1</v>
      </c>
      <c r="H972" s="110"/>
      <c r="I972" s="110">
        <v>141.41290599999999</v>
      </c>
      <c r="J972" s="110">
        <v>40.730356</v>
      </c>
      <c r="K972" s="110"/>
      <c r="L972" s="110"/>
      <c r="M972" s="110"/>
      <c r="N972" s="110"/>
      <c r="O972" s="110"/>
      <c r="P972" s="109"/>
      <c r="Q972" s="109"/>
      <c r="R972" s="109"/>
      <c r="S972" s="110"/>
      <c r="T972" s="135"/>
    </row>
    <row r="973" spans="1:20" x14ac:dyDescent="0.2">
      <c r="A973" s="5">
        <v>972</v>
      </c>
      <c r="B973" s="110">
        <v>5071</v>
      </c>
      <c r="C973" s="110" t="s">
        <v>1485</v>
      </c>
      <c r="D973" s="192" t="s">
        <v>1486</v>
      </c>
      <c r="E973" s="110"/>
      <c r="F973" s="110"/>
      <c r="G973" s="110" t="str">
        <f t="shared" si="15"/>
        <v>1</v>
      </c>
      <c r="H973" s="110"/>
      <c r="I973" s="110">
        <v>141.41080600000001</v>
      </c>
      <c r="J973" s="110">
        <v>40.735976000000001</v>
      </c>
      <c r="K973" s="110"/>
      <c r="L973" s="110"/>
      <c r="M973" s="110"/>
      <c r="N973" s="110"/>
      <c r="O973" s="110"/>
      <c r="P973" s="109"/>
      <c r="Q973" s="109"/>
      <c r="R973" s="109"/>
      <c r="S973" s="110"/>
      <c r="T973" s="135"/>
    </row>
    <row r="974" spans="1:20" x14ac:dyDescent="0.2">
      <c r="A974" s="5">
        <v>973</v>
      </c>
      <c r="B974" s="110">
        <v>5081</v>
      </c>
      <c r="C974" s="110" t="s">
        <v>1487</v>
      </c>
      <c r="D974" s="110" t="s">
        <v>1488</v>
      </c>
      <c r="E974" s="110"/>
      <c r="F974" s="110"/>
      <c r="G974" s="110" t="str">
        <f t="shared" si="15"/>
        <v>1</v>
      </c>
      <c r="H974" s="110"/>
      <c r="I974" s="110">
        <v>141.40692799999999</v>
      </c>
      <c r="J974" s="110">
        <v>40.756849000000003</v>
      </c>
      <c r="K974" s="110"/>
      <c r="L974" s="110"/>
      <c r="M974" s="110"/>
      <c r="N974" s="110"/>
      <c r="O974" s="110"/>
      <c r="P974" s="109"/>
      <c r="Q974" s="109"/>
      <c r="R974" s="109"/>
      <c r="S974" s="110"/>
      <c r="T974" s="135"/>
    </row>
    <row r="975" spans="1:20" x14ac:dyDescent="0.2">
      <c r="A975" s="5">
        <v>974</v>
      </c>
      <c r="B975" s="110">
        <v>5091</v>
      </c>
      <c r="C975" s="110" t="s">
        <v>1489</v>
      </c>
      <c r="D975" s="110" t="s">
        <v>1490</v>
      </c>
      <c r="E975" s="110"/>
      <c r="F975" s="110"/>
      <c r="G975" s="110" t="str">
        <f t="shared" si="15"/>
        <v>1</v>
      </c>
      <c r="H975" s="110"/>
      <c r="I975" s="110">
        <v>141.40553800000001</v>
      </c>
      <c r="J975" s="110">
        <v>40.764755999999998</v>
      </c>
      <c r="K975" s="110"/>
      <c r="L975" s="110"/>
      <c r="M975" s="110"/>
      <c r="N975" s="110"/>
      <c r="O975" s="110"/>
      <c r="P975" s="109"/>
      <c r="Q975" s="109"/>
      <c r="R975" s="109"/>
      <c r="S975" s="110"/>
      <c r="T975" s="135"/>
    </row>
    <row r="976" spans="1:20" x14ac:dyDescent="0.2">
      <c r="A976" s="5">
        <v>975</v>
      </c>
      <c r="B976" s="110">
        <v>5101</v>
      </c>
      <c r="C976" s="110" t="s">
        <v>1491</v>
      </c>
      <c r="D976" s="110" t="s">
        <v>1492</v>
      </c>
      <c r="E976" s="110"/>
      <c r="F976" s="110"/>
      <c r="G976" s="110" t="str">
        <f t="shared" si="15"/>
        <v>1</v>
      </c>
      <c r="H976" s="110"/>
      <c r="I976" s="110">
        <v>141.40494000000001</v>
      </c>
      <c r="J976" s="110">
        <v>40.768213000000003</v>
      </c>
      <c r="K976" s="110"/>
      <c r="L976" s="110"/>
      <c r="M976" s="110"/>
      <c r="N976" s="110"/>
      <c r="O976" s="110"/>
      <c r="P976" s="109"/>
      <c r="Q976" s="109"/>
      <c r="R976" s="109"/>
      <c r="S976" s="110"/>
      <c r="T976" s="135"/>
    </row>
    <row r="977" spans="1:20" x14ac:dyDescent="0.2">
      <c r="A977" s="5">
        <v>976</v>
      </c>
      <c r="B977" s="110">
        <v>5111</v>
      </c>
      <c r="C977" s="110" t="s">
        <v>1493</v>
      </c>
      <c r="D977" s="110" t="s">
        <v>1494</v>
      </c>
      <c r="E977" s="110"/>
      <c r="F977" s="110"/>
      <c r="G977" s="110" t="str">
        <f t="shared" si="15"/>
        <v>1</v>
      </c>
      <c r="H977" s="110"/>
      <c r="I977" s="110">
        <v>141.40377100000001</v>
      </c>
      <c r="J977" s="110">
        <v>40.773006000000002</v>
      </c>
      <c r="K977" s="110"/>
      <c r="L977" s="110"/>
      <c r="M977" s="110"/>
      <c r="N977" s="110"/>
      <c r="O977" s="110"/>
      <c r="P977" s="109"/>
      <c r="Q977" s="109"/>
      <c r="R977" s="109"/>
      <c r="S977" s="110"/>
      <c r="T977" s="135"/>
    </row>
    <row r="978" spans="1:20" x14ac:dyDescent="0.2">
      <c r="A978" s="5">
        <v>977</v>
      </c>
      <c r="B978" s="110">
        <v>5121</v>
      </c>
      <c r="C978" s="110" t="s">
        <v>1495</v>
      </c>
      <c r="D978" s="110" t="s">
        <v>1496</v>
      </c>
      <c r="E978" s="110"/>
      <c r="F978" s="110"/>
      <c r="G978" s="110" t="str">
        <f t="shared" si="15"/>
        <v>1</v>
      </c>
      <c r="H978" s="110"/>
      <c r="I978" s="110">
        <v>141.402387</v>
      </c>
      <c r="J978" s="110">
        <v>40.777673</v>
      </c>
      <c r="K978" s="110"/>
      <c r="L978" s="110"/>
      <c r="M978" s="110"/>
      <c r="N978" s="110"/>
      <c r="O978" s="110"/>
      <c r="P978" s="109"/>
      <c r="Q978" s="109"/>
      <c r="R978" s="109"/>
      <c r="S978" s="110"/>
      <c r="T978" s="135"/>
    </row>
    <row r="979" spans="1:20" x14ac:dyDescent="0.2">
      <c r="A979" s="5">
        <v>978</v>
      </c>
      <c r="B979" s="110">
        <v>5131</v>
      </c>
      <c r="C979" s="110" t="s">
        <v>1497</v>
      </c>
      <c r="D979" s="110" t="s">
        <v>1498</v>
      </c>
      <c r="E979" s="110"/>
      <c r="F979" s="110"/>
      <c r="G979" s="110" t="str">
        <f t="shared" si="15"/>
        <v>1</v>
      </c>
      <c r="H979" s="110"/>
      <c r="I979" s="110">
        <v>141.400552</v>
      </c>
      <c r="J979" s="110">
        <v>40.782494999999997</v>
      </c>
      <c r="K979" s="110"/>
      <c r="L979" s="110"/>
      <c r="M979" s="110"/>
      <c r="N979" s="110"/>
      <c r="O979" s="110"/>
      <c r="P979" s="109"/>
      <c r="Q979" s="109"/>
      <c r="R979" s="109"/>
      <c r="S979" s="110"/>
      <c r="T979" s="135"/>
    </row>
    <row r="980" spans="1:20" x14ac:dyDescent="0.2">
      <c r="A980" s="5">
        <v>979</v>
      </c>
      <c r="B980" s="110">
        <v>5141</v>
      </c>
      <c r="C980" s="110" t="s">
        <v>1499</v>
      </c>
      <c r="D980" s="110" t="s">
        <v>1500</v>
      </c>
      <c r="E980" s="110"/>
      <c r="F980" s="110"/>
      <c r="G980" s="110" t="str">
        <f t="shared" si="15"/>
        <v>1</v>
      </c>
      <c r="H980" s="110"/>
      <c r="I980" s="110">
        <v>141.391122</v>
      </c>
      <c r="J980" s="110">
        <v>40.782978</v>
      </c>
      <c r="K980" s="110"/>
      <c r="L980" s="110"/>
      <c r="M980" s="110"/>
      <c r="N980" s="110"/>
      <c r="O980" s="110"/>
      <c r="P980" s="109"/>
      <c r="Q980" s="109"/>
      <c r="R980" s="109"/>
      <c r="S980" s="110"/>
      <c r="T980" s="135"/>
    </row>
    <row r="981" spans="1:20" x14ac:dyDescent="0.2">
      <c r="A981" s="5">
        <v>980</v>
      </c>
      <c r="B981" s="110">
        <v>5151</v>
      </c>
      <c r="C981" s="110" t="s">
        <v>1501</v>
      </c>
      <c r="D981" s="110" t="s">
        <v>1502</v>
      </c>
      <c r="E981" s="110"/>
      <c r="F981" s="110"/>
      <c r="G981" s="110" t="str">
        <f t="shared" si="15"/>
        <v>1</v>
      </c>
      <c r="H981" s="110"/>
      <c r="I981" s="110">
        <v>141.390896</v>
      </c>
      <c r="J981" s="110">
        <v>40.783993000000002</v>
      </c>
      <c r="K981" s="110"/>
      <c r="L981" s="110"/>
      <c r="M981" s="110"/>
      <c r="N981" s="110"/>
      <c r="O981" s="110"/>
      <c r="P981" s="109"/>
      <c r="Q981" s="109"/>
      <c r="R981" s="109"/>
      <c r="S981" s="110"/>
      <c r="T981" s="135"/>
    </row>
    <row r="982" spans="1:20" x14ac:dyDescent="0.2">
      <c r="A982" s="5">
        <v>981</v>
      </c>
      <c r="B982" s="110">
        <v>5161</v>
      </c>
      <c r="C982" s="110" t="s">
        <v>1503</v>
      </c>
      <c r="D982" s="110" t="s">
        <v>1504</v>
      </c>
      <c r="E982" s="110"/>
      <c r="F982" s="110"/>
      <c r="G982" s="110" t="str">
        <f t="shared" si="15"/>
        <v>1</v>
      </c>
      <c r="H982" s="110"/>
      <c r="I982" s="110">
        <v>141.38919000000001</v>
      </c>
      <c r="J982" s="110">
        <v>40.784371</v>
      </c>
      <c r="K982" s="110"/>
      <c r="L982" s="110"/>
      <c r="M982" s="110"/>
      <c r="N982" s="110"/>
      <c r="O982" s="110"/>
      <c r="P982" s="109"/>
      <c r="Q982" s="109"/>
      <c r="R982" s="109"/>
      <c r="S982" s="110"/>
      <c r="T982" s="135"/>
    </row>
    <row r="983" spans="1:20" x14ac:dyDescent="0.2">
      <c r="A983" s="5">
        <v>982</v>
      </c>
      <c r="B983" s="110">
        <v>5142</v>
      </c>
      <c r="C983" s="110" t="s">
        <v>1499</v>
      </c>
      <c r="D983" s="110" t="s">
        <v>1500</v>
      </c>
      <c r="E983" s="110"/>
      <c r="F983" s="110"/>
      <c r="G983" s="110" t="str">
        <f t="shared" si="15"/>
        <v>2</v>
      </c>
      <c r="H983" s="110"/>
      <c r="I983" s="110">
        <v>141.391336</v>
      </c>
      <c r="J983" s="110">
        <v>40.783059999999999</v>
      </c>
      <c r="K983" s="110"/>
      <c r="L983" s="110"/>
      <c r="M983" s="110"/>
      <c r="N983" s="110"/>
      <c r="O983" s="110"/>
      <c r="P983" s="109"/>
      <c r="Q983" s="109"/>
      <c r="R983" s="109"/>
      <c r="S983" s="110"/>
      <c r="T983" s="135"/>
    </row>
    <row r="984" spans="1:20" x14ac:dyDescent="0.2">
      <c r="A984" s="5">
        <v>983</v>
      </c>
      <c r="B984" s="110">
        <v>5171</v>
      </c>
      <c r="C984" s="110" t="s">
        <v>1505</v>
      </c>
      <c r="D984" s="110" t="s">
        <v>1506</v>
      </c>
      <c r="E984" s="110"/>
      <c r="F984" s="110"/>
      <c r="G984" s="110" t="str">
        <f t="shared" si="15"/>
        <v>1</v>
      </c>
      <c r="H984" s="110"/>
      <c r="I984" s="110">
        <v>141.399911</v>
      </c>
      <c r="J984" s="110">
        <v>40.789380999999999</v>
      </c>
      <c r="K984" s="110"/>
      <c r="L984" s="110"/>
      <c r="M984" s="110"/>
      <c r="N984" s="110"/>
      <c r="O984" s="110"/>
      <c r="P984" s="109"/>
      <c r="Q984" s="109"/>
      <c r="R984" s="109"/>
      <c r="S984" s="110"/>
      <c r="T984" s="135"/>
    </row>
    <row r="985" spans="1:20" x14ac:dyDescent="0.2">
      <c r="A985" s="5">
        <v>984</v>
      </c>
      <c r="B985" s="110">
        <v>5181</v>
      </c>
      <c r="C985" s="110" t="s">
        <v>1507</v>
      </c>
      <c r="D985" s="110" t="s">
        <v>1508</v>
      </c>
      <c r="E985" s="110"/>
      <c r="F985" s="110"/>
      <c r="G985" s="110" t="str">
        <f t="shared" si="15"/>
        <v>1</v>
      </c>
      <c r="H985" s="110"/>
      <c r="I985" s="110">
        <v>141.399632</v>
      </c>
      <c r="J985" s="110">
        <v>40.793053</v>
      </c>
      <c r="K985" s="110"/>
      <c r="L985" s="110"/>
      <c r="M985" s="110"/>
      <c r="N985" s="110"/>
      <c r="O985" s="110"/>
      <c r="P985" s="109"/>
      <c r="Q985" s="109"/>
      <c r="R985" s="109"/>
      <c r="S985" s="110"/>
      <c r="T985" s="135"/>
    </row>
    <row r="986" spans="1:20" x14ac:dyDescent="0.2">
      <c r="A986" s="5">
        <v>985</v>
      </c>
      <c r="B986" s="110">
        <v>5191</v>
      </c>
      <c r="C986" s="110" t="s">
        <v>1509</v>
      </c>
      <c r="D986" s="110" t="s">
        <v>1510</v>
      </c>
      <c r="E986" s="110"/>
      <c r="F986" s="110"/>
      <c r="G986" s="110" t="str">
        <f t="shared" si="15"/>
        <v>1</v>
      </c>
      <c r="H986" s="110"/>
      <c r="I986" s="110">
        <v>141.398436</v>
      </c>
      <c r="J986" s="110">
        <v>40.798144999999998</v>
      </c>
      <c r="K986" s="110"/>
      <c r="L986" s="110"/>
      <c r="M986" s="110"/>
      <c r="N986" s="110"/>
      <c r="O986" s="110"/>
      <c r="P986" s="109"/>
      <c r="Q986" s="109"/>
      <c r="R986" s="109"/>
      <c r="S986" s="110"/>
      <c r="T986" s="135"/>
    </row>
    <row r="987" spans="1:20" x14ac:dyDescent="0.2">
      <c r="A987" s="5">
        <v>986</v>
      </c>
      <c r="B987" s="110">
        <v>5201</v>
      </c>
      <c r="C987" s="110" t="s">
        <v>1511</v>
      </c>
      <c r="D987" s="110" t="s">
        <v>1512</v>
      </c>
      <c r="E987" s="110"/>
      <c r="F987" s="110"/>
      <c r="G987" s="110" t="str">
        <f t="shared" si="15"/>
        <v>1</v>
      </c>
      <c r="H987" s="110"/>
      <c r="I987" s="110">
        <v>141.39764199999999</v>
      </c>
      <c r="J987" s="110">
        <v>40.802709999999998</v>
      </c>
      <c r="K987" s="110"/>
      <c r="L987" s="110"/>
      <c r="M987" s="110"/>
      <c r="N987" s="110"/>
      <c r="O987" s="110"/>
      <c r="P987" s="109"/>
      <c r="Q987" s="109"/>
      <c r="R987" s="109"/>
      <c r="S987" s="110"/>
      <c r="T987" s="135"/>
    </row>
    <row r="988" spans="1:20" x14ac:dyDescent="0.2">
      <c r="A988" s="5">
        <v>987</v>
      </c>
      <c r="B988" s="110">
        <v>5211</v>
      </c>
      <c r="C988" s="110" t="s">
        <v>1513</v>
      </c>
      <c r="D988" s="110" t="s">
        <v>1514</v>
      </c>
      <c r="E988" s="110"/>
      <c r="F988" s="110"/>
      <c r="G988" s="110" t="str">
        <f t="shared" si="15"/>
        <v>1</v>
      </c>
      <c r="H988" s="110"/>
      <c r="I988" s="110">
        <v>141.390749</v>
      </c>
      <c r="J988" s="110">
        <v>40.827368</v>
      </c>
      <c r="K988" s="110"/>
      <c r="L988" s="110"/>
      <c r="M988" s="110"/>
      <c r="N988" s="110"/>
      <c r="O988" s="110"/>
      <c r="P988" s="109"/>
      <c r="Q988" s="109"/>
      <c r="R988" s="109"/>
      <c r="S988" s="110"/>
      <c r="T988" s="135"/>
    </row>
    <row r="989" spans="1:20" x14ac:dyDescent="0.2">
      <c r="A989" s="5">
        <v>988</v>
      </c>
      <c r="B989" s="110">
        <v>5221</v>
      </c>
      <c r="C989" s="110" t="s">
        <v>1515</v>
      </c>
      <c r="D989" s="110" t="s">
        <v>1516</v>
      </c>
      <c r="E989" s="110"/>
      <c r="F989" s="110"/>
      <c r="G989" s="110" t="str">
        <f t="shared" si="15"/>
        <v>1</v>
      </c>
      <c r="H989" s="110"/>
      <c r="I989" s="110">
        <v>141.382316</v>
      </c>
      <c r="J989" s="110">
        <v>40.845891999999999</v>
      </c>
      <c r="K989" s="110"/>
      <c r="L989" s="110"/>
      <c r="M989" s="110"/>
      <c r="N989" s="110"/>
      <c r="O989" s="110"/>
      <c r="P989" s="109"/>
      <c r="Q989" s="109"/>
      <c r="R989" s="109"/>
      <c r="S989" s="110"/>
      <c r="T989" s="135"/>
    </row>
    <row r="990" spans="1:20" x14ac:dyDescent="0.2">
      <c r="A990" s="5">
        <v>989</v>
      </c>
      <c r="B990" s="110">
        <v>5231</v>
      </c>
      <c r="C990" s="110" t="s">
        <v>1517</v>
      </c>
      <c r="D990" s="110" t="s">
        <v>1518</v>
      </c>
      <c r="E990" s="110"/>
      <c r="F990" s="110"/>
      <c r="G990" s="110" t="str">
        <f t="shared" si="15"/>
        <v>1</v>
      </c>
      <c r="H990" s="110"/>
      <c r="I990" s="110">
        <v>141.370756</v>
      </c>
      <c r="J990" s="110">
        <v>40.845413000000001</v>
      </c>
      <c r="K990" s="110"/>
      <c r="L990" s="110"/>
      <c r="M990" s="110"/>
      <c r="N990" s="110"/>
      <c r="O990" s="110"/>
      <c r="P990" s="109"/>
      <c r="Q990" s="109"/>
      <c r="R990" s="109"/>
      <c r="S990" s="110"/>
      <c r="T990" s="135"/>
    </row>
    <row r="991" spans="1:20" x14ac:dyDescent="0.2">
      <c r="A991" s="5">
        <v>990</v>
      </c>
      <c r="B991" s="110">
        <v>5241</v>
      </c>
      <c r="C991" s="110" t="s">
        <v>1519</v>
      </c>
      <c r="D991" s="110" t="s">
        <v>1520</v>
      </c>
      <c r="E991" s="110"/>
      <c r="F991" s="110"/>
      <c r="G991" s="110" t="str">
        <f t="shared" si="15"/>
        <v>1</v>
      </c>
      <c r="H991" s="110"/>
      <c r="I991" s="110">
        <v>141.36714000000001</v>
      </c>
      <c r="J991" s="110">
        <v>40.845291000000003</v>
      </c>
      <c r="K991" s="110"/>
      <c r="L991" s="110"/>
      <c r="M991" s="110"/>
      <c r="N991" s="110"/>
      <c r="O991" s="110"/>
      <c r="P991" s="109"/>
      <c r="Q991" s="109"/>
      <c r="R991" s="109"/>
      <c r="S991" s="110"/>
      <c r="T991" s="135"/>
    </row>
    <row r="992" spans="1:20" x14ac:dyDescent="0.2">
      <c r="A992" s="5">
        <v>991</v>
      </c>
      <c r="B992" s="110">
        <v>5251</v>
      </c>
      <c r="C992" s="110" t="s">
        <v>1521</v>
      </c>
      <c r="D992" s="110" t="s">
        <v>1522</v>
      </c>
      <c r="E992" s="110"/>
      <c r="F992" s="110"/>
      <c r="G992" s="110" t="str">
        <f t="shared" si="15"/>
        <v>1</v>
      </c>
      <c r="H992" s="110"/>
      <c r="I992" s="110">
        <v>141.36256900000001</v>
      </c>
      <c r="J992" s="110">
        <v>40.846988000000003</v>
      </c>
      <c r="K992" s="110"/>
      <c r="L992" s="110"/>
      <c r="M992" s="110"/>
      <c r="N992" s="110"/>
      <c r="O992" s="110"/>
      <c r="P992" s="109"/>
      <c r="Q992" s="109"/>
      <c r="R992" s="109"/>
      <c r="S992" s="110"/>
      <c r="T992" s="135"/>
    </row>
    <row r="993" spans="1:20" x14ac:dyDescent="0.2">
      <c r="A993" s="5">
        <v>992</v>
      </c>
      <c r="B993" s="110">
        <v>5261</v>
      </c>
      <c r="C993" s="110" t="s">
        <v>1523</v>
      </c>
      <c r="D993" s="110" t="s">
        <v>1524</v>
      </c>
      <c r="E993" s="110"/>
      <c r="F993" s="110"/>
      <c r="G993" s="110" t="str">
        <f t="shared" si="15"/>
        <v>1</v>
      </c>
      <c r="H993" s="110"/>
      <c r="I993" s="110">
        <v>141.36242999999999</v>
      </c>
      <c r="J993" s="110">
        <v>40.849983000000002</v>
      </c>
      <c r="K993" s="110"/>
      <c r="L993" s="110"/>
      <c r="M993" s="110"/>
      <c r="N993" s="110"/>
      <c r="O993" s="110"/>
      <c r="P993" s="109"/>
      <c r="Q993" s="109"/>
      <c r="R993" s="109"/>
      <c r="S993" s="110"/>
      <c r="T993" s="135"/>
    </row>
    <row r="994" spans="1:20" x14ac:dyDescent="0.2">
      <c r="A994" s="5">
        <v>993</v>
      </c>
      <c r="B994" s="110">
        <v>5271</v>
      </c>
      <c r="C994" s="110" t="s">
        <v>1525</v>
      </c>
      <c r="D994" s="110" t="s">
        <v>1526</v>
      </c>
      <c r="E994" s="110"/>
      <c r="F994" s="110"/>
      <c r="G994" s="110" t="str">
        <f t="shared" si="15"/>
        <v>1</v>
      </c>
      <c r="H994" s="110"/>
      <c r="I994" s="110">
        <v>141.35628199999999</v>
      </c>
      <c r="J994" s="110">
        <v>40.865006000000001</v>
      </c>
      <c r="K994" s="110"/>
      <c r="L994" s="110"/>
      <c r="M994" s="110"/>
      <c r="N994" s="110"/>
      <c r="O994" s="110"/>
      <c r="P994" s="109"/>
      <c r="Q994" s="109"/>
      <c r="R994" s="109"/>
      <c r="S994" s="110"/>
      <c r="T994" s="135"/>
    </row>
    <row r="995" spans="1:20" x14ac:dyDescent="0.2">
      <c r="A995" s="5">
        <v>994</v>
      </c>
      <c r="B995" s="110">
        <v>5281</v>
      </c>
      <c r="C995" s="110" t="s">
        <v>1527</v>
      </c>
      <c r="D995" s="110" t="s">
        <v>1528</v>
      </c>
      <c r="E995" s="110"/>
      <c r="F995" s="110"/>
      <c r="G995" s="110" t="str">
        <f t="shared" si="15"/>
        <v>1</v>
      </c>
      <c r="H995" s="110"/>
      <c r="I995" s="110">
        <v>141.35962699999999</v>
      </c>
      <c r="J995" s="110">
        <v>40.870781000000001</v>
      </c>
      <c r="K995" s="110"/>
      <c r="L995" s="110"/>
      <c r="M995" s="110"/>
      <c r="N995" s="110"/>
      <c r="O995" s="110"/>
      <c r="P995" s="109"/>
      <c r="Q995" s="109"/>
      <c r="R995" s="109"/>
      <c r="S995" s="110" t="s">
        <v>1529</v>
      </c>
      <c r="T995" s="135"/>
    </row>
    <row r="996" spans="1:20" x14ac:dyDescent="0.2">
      <c r="A996" s="5">
        <v>995</v>
      </c>
      <c r="B996" s="110">
        <v>5291</v>
      </c>
      <c r="C996" s="110" t="s">
        <v>1530</v>
      </c>
      <c r="D996" s="110" t="s">
        <v>1531</v>
      </c>
      <c r="E996" s="110"/>
      <c r="F996" s="110"/>
      <c r="G996" s="110" t="str">
        <f t="shared" si="15"/>
        <v>1</v>
      </c>
      <c r="H996" s="110"/>
      <c r="I996" s="110">
        <v>141.36746400000001</v>
      </c>
      <c r="J996" s="110">
        <v>40.875543999999998</v>
      </c>
      <c r="K996" s="110"/>
      <c r="L996" s="110"/>
      <c r="M996" s="110"/>
      <c r="N996" s="110"/>
      <c r="O996" s="110"/>
      <c r="P996" s="109"/>
      <c r="Q996" s="109"/>
      <c r="R996" s="109"/>
      <c r="S996" s="110" t="s">
        <v>1532</v>
      </c>
      <c r="T996" s="135"/>
    </row>
    <row r="997" spans="1:20" x14ac:dyDescent="0.2">
      <c r="A997" s="5">
        <v>996</v>
      </c>
      <c r="B997" s="110">
        <v>5301</v>
      </c>
      <c r="C997" s="110" t="s">
        <v>1533</v>
      </c>
      <c r="D997" s="110" t="s">
        <v>1534</v>
      </c>
      <c r="E997" s="110"/>
      <c r="F997" s="110"/>
      <c r="G997" s="110" t="str">
        <f t="shared" si="15"/>
        <v>1</v>
      </c>
      <c r="H997" s="110"/>
      <c r="I997" s="110">
        <v>141.36814000000001</v>
      </c>
      <c r="J997" s="110">
        <v>40.879199999999997</v>
      </c>
      <c r="K997" s="110"/>
      <c r="L997" s="110"/>
      <c r="M997" s="110"/>
      <c r="N997" s="110"/>
      <c r="O997" s="110"/>
      <c r="P997" s="109"/>
      <c r="Q997" s="109"/>
      <c r="R997" s="109"/>
      <c r="S997" s="110" t="s">
        <v>1535</v>
      </c>
      <c r="T997" s="135"/>
    </row>
    <row r="998" spans="1:20" x14ac:dyDescent="0.2">
      <c r="A998" s="5">
        <v>997</v>
      </c>
      <c r="B998" s="110">
        <v>5311</v>
      </c>
      <c r="C998" s="110" t="s">
        <v>1536</v>
      </c>
      <c r="D998" s="110" t="s">
        <v>1537</v>
      </c>
      <c r="E998" s="110"/>
      <c r="F998" s="110"/>
      <c r="G998" s="110" t="str">
        <f t="shared" si="15"/>
        <v>1</v>
      </c>
      <c r="H998" s="110"/>
      <c r="I998" s="110">
        <v>141.36920799999999</v>
      </c>
      <c r="J998" s="110">
        <v>40.883471</v>
      </c>
      <c r="K998" s="110"/>
      <c r="L998" s="110"/>
      <c r="M998" s="110"/>
      <c r="N998" s="110"/>
      <c r="O998" s="110"/>
      <c r="P998" s="109"/>
      <c r="Q998" s="109"/>
      <c r="R998" s="109"/>
      <c r="S998" s="110" t="s">
        <v>1538</v>
      </c>
      <c r="T998" s="135"/>
    </row>
    <row r="999" spans="1:20" x14ac:dyDescent="0.2">
      <c r="A999" s="5">
        <v>998</v>
      </c>
      <c r="B999" s="110">
        <v>5312</v>
      </c>
      <c r="C999" s="110" t="s">
        <v>1536</v>
      </c>
      <c r="D999" s="110" t="s">
        <v>1537</v>
      </c>
      <c r="E999" s="110"/>
      <c r="F999" s="110"/>
      <c r="G999" s="110" t="str">
        <f t="shared" si="15"/>
        <v>2</v>
      </c>
      <c r="H999" s="110"/>
      <c r="I999" s="110">
        <v>141.369272</v>
      </c>
      <c r="J999" s="110">
        <v>40.883443</v>
      </c>
      <c r="K999" s="110"/>
      <c r="L999" s="110"/>
      <c r="M999" s="110"/>
      <c r="N999" s="110"/>
      <c r="O999" s="110"/>
      <c r="P999" s="109"/>
      <c r="Q999" s="109"/>
      <c r="R999" s="109"/>
      <c r="S999" s="110" t="s">
        <v>1538</v>
      </c>
      <c r="T999" s="135"/>
    </row>
    <row r="1000" spans="1:20" x14ac:dyDescent="0.2">
      <c r="A1000" s="5">
        <v>999</v>
      </c>
      <c r="B1000" s="110">
        <v>5302</v>
      </c>
      <c r="C1000" s="110" t="s">
        <v>1533</v>
      </c>
      <c r="D1000" s="110" t="s">
        <v>1534</v>
      </c>
      <c r="E1000" s="110"/>
      <c r="F1000" s="110"/>
      <c r="G1000" s="110" t="str">
        <f t="shared" si="15"/>
        <v>2</v>
      </c>
      <c r="H1000" s="110"/>
      <c r="I1000" s="110">
        <v>141.36821</v>
      </c>
      <c r="J1000" s="110">
        <v>40.879195000000003</v>
      </c>
      <c r="K1000" s="110"/>
      <c r="L1000" s="110"/>
      <c r="M1000" s="110"/>
      <c r="N1000" s="110"/>
      <c r="O1000" s="110"/>
      <c r="P1000" s="109"/>
      <c r="Q1000" s="109"/>
      <c r="R1000" s="109"/>
      <c r="S1000" s="110" t="s">
        <v>1535</v>
      </c>
      <c r="T1000" s="135"/>
    </row>
    <row r="1001" spans="1:20" x14ac:dyDescent="0.2">
      <c r="A1001" s="5">
        <v>1000</v>
      </c>
      <c r="B1001" s="110">
        <v>5292</v>
      </c>
      <c r="C1001" s="110" t="s">
        <v>1530</v>
      </c>
      <c r="D1001" s="110" t="s">
        <v>1531</v>
      </c>
      <c r="E1001" s="110"/>
      <c r="F1001" s="110"/>
      <c r="G1001" s="110" t="str">
        <f t="shared" si="15"/>
        <v>2</v>
      </c>
      <c r="H1001" s="110"/>
      <c r="I1001" s="110">
        <v>141.36755600000001</v>
      </c>
      <c r="J1001" s="110">
        <v>40.875535999999997</v>
      </c>
      <c r="K1001" s="110"/>
      <c r="L1001" s="110"/>
      <c r="M1001" s="110"/>
      <c r="N1001" s="110"/>
      <c r="O1001" s="110"/>
      <c r="P1001" s="109"/>
      <c r="Q1001" s="109"/>
      <c r="R1001" s="109"/>
      <c r="S1001" s="110" t="s">
        <v>1532</v>
      </c>
      <c r="T1001" s="135"/>
    </row>
    <row r="1002" spans="1:20" x14ac:dyDescent="0.2">
      <c r="B1002" s="110">
        <v>5282</v>
      </c>
      <c r="C1002" s="110" t="s">
        <v>1527</v>
      </c>
      <c r="D1002" s="110" t="s">
        <v>1528</v>
      </c>
      <c r="E1002" s="110"/>
      <c r="F1002" s="110"/>
      <c r="G1002" s="110" t="str">
        <f t="shared" si="15"/>
        <v>2</v>
      </c>
      <c r="H1002" s="110"/>
      <c r="I1002" s="110">
        <v>141.35974999999999</v>
      </c>
      <c r="J1002" s="110">
        <v>40.870761000000002</v>
      </c>
      <c r="K1002" s="110"/>
      <c r="L1002" s="110"/>
      <c r="M1002" s="110"/>
      <c r="N1002" s="110"/>
      <c r="O1002" s="110"/>
      <c r="P1002" s="109"/>
      <c r="Q1002" s="109"/>
      <c r="R1002" s="109"/>
      <c r="S1002" s="110" t="s">
        <v>1529</v>
      </c>
    </row>
    <row r="1003" spans="1:20" x14ac:dyDescent="0.2">
      <c r="B1003">
        <v>5272</v>
      </c>
      <c r="C1003" t="s">
        <v>1525</v>
      </c>
      <c r="D1003" t="s">
        <v>1526</v>
      </c>
      <c r="G1003" s="110" t="str">
        <f t="shared" si="15"/>
        <v>2</v>
      </c>
      <c r="I1003">
        <v>141.35643300000001</v>
      </c>
      <c r="J1003">
        <v>40.865014000000002</v>
      </c>
      <c r="S1003" s="110"/>
    </row>
    <row r="1004" spans="1:20" x14ac:dyDescent="0.2">
      <c r="B1004">
        <v>5262</v>
      </c>
      <c r="C1004" t="s">
        <v>1523</v>
      </c>
      <c r="D1004" t="s">
        <v>1524</v>
      </c>
      <c r="G1004" s="110" t="str">
        <f t="shared" si="15"/>
        <v>2</v>
      </c>
      <c r="I1004">
        <v>141.362537</v>
      </c>
      <c r="J1004">
        <v>40.850006999999998</v>
      </c>
      <c r="S1004" s="110"/>
    </row>
    <row r="1005" spans="1:20" x14ac:dyDescent="0.2">
      <c r="B1005">
        <v>5252</v>
      </c>
      <c r="C1005" t="s">
        <v>1521</v>
      </c>
      <c r="D1005" t="s">
        <v>1522</v>
      </c>
      <c r="G1005" s="110" t="str">
        <f t="shared" si="15"/>
        <v>2</v>
      </c>
      <c r="I1005">
        <v>141.362709</v>
      </c>
      <c r="J1005">
        <v>40.846988000000003</v>
      </c>
      <c r="S1005" s="110"/>
    </row>
    <row r="1006" spans="1:20" x14ac:dyDescent="0.2">
      <c r="B1006">
        <v>5242</v>
      </c>
      <c r="C1006" t="s">
        <v>1519</v>
      </c>
      <c r="D1006" t="s">
        <v>1520</v>
      </c>
      <c r="G1006" s="110" t="str">
        <f t="shared" si="15"/>
        <v>2</v>
      </c>
      <c r="I1006">
        <v>141.36725799999999</v>
      </c>
      <c r="J1006">
        <v>40.845405</v>
      </c>
      <c r="S1006" s="110"/>
    </row>
    <row r="1007" spans="1:20" x14ac:dyDescent="0.2">
      <c r="B1007">
        <v>5232</v>
      </c>
      <c r="C1007" t="s">
        <v>1517</v>
      </c>
      <c r="D1007" t="s">
        <v>1518</v>
      </c>
      <c r="G1007" s="110" t="str">
        <f t="shared" si="15"/>
        <v>2</v>
      </c>
      <c r="I1007">
        <v>141.370756</v>
      </c>
      <c r="J1007">
        <v>40.845502000000003</v>
      </c>
      <c r="S1007" s="110"/>
    </row>
    <row r="1008" spans="1:20" x14ac:dyDescent="0.2">
      <c r="B1008">
        <v>5222</v>
      </c>
      <c r="C1008" t="s">
        <v>1515</v>
      </c>
      <c r="D1008" t="s">
        <v>1516</v>
      </c>
      <c r="G1008" s="110" t="str">
        <f t="shared" si="15"/>
        <v>2</v>
      </c>
      <c r="I1008">
        <v>141.38235900000001</v>
      </c>
      <c r="J1008">
        <v>40.845973000000001</v>
      </c>
      <c r="S1008" s="110"/>
    </row>
    <row r="1009" spans="2:19" x14ac:dyDescent="0.2">
      <c r="B1009">
        <v>5321</v>
      </c>
      <c r="C1009" t="s">
        <v>1539</v>
      </c>
      <c r="D1009" t="s">
        <v>1398</v>
      </c>
      <c r="G1009" s="110" t="str">
        <f t="shared" si="15"/>
        <v>1</v>
      </c>
      <c r="I1009">
        <v>141.35994099999999</v>
      </c>
      <c r="J1009">
        <v>40.803130000000003</v>
      </c>
      <c r="S1009" s="110"/>
    </row>
    <row r="1010" spans="2:19" x14ac:dyDescent="0.2">
      <c r="B1010">
        <v>5331</v>
      </c>
      <c r="C1010" t="s">
        <v>1540</v>
      </c>
      <c r="D1010" t="s">
        <v>1541</v>
      </c>
      <c r="G1010" s="110" t="str">
        <f t="shared" si="15"/>
        <v>1</v>
      </c>
      <c r="I1010">
        <v>141.36055200000001</v>
      </c>
      <c r="J1010">
        <v>40.801009999999998</v>
      </c>
      <c r="S1010" s="110"/>
    </row>
    <row r="1011" spans="2:19" x14ac:dyDescent="0.2">
      <c r="B1011">
        <v>5341</v>
      </c>
      <c r="C1011" t="s">
        <v>1542</v>
      </c>
      <c r="D1011" t="s">
        <v>1543</v>
      </c>
      <c r="G1011" s="110" t="str">
        <f t="shared" si="15"/>
        <v>1</v>
      </c>
      <c r="I1011">
        <v>141.36188300000001</v>
      </c>
      <c r="J1011">
        <v>40.798369999999998</v>
      </c>
      <c r="S1011" s="110"/>
    </row>
    <row r="1012" spans="2:19" x14ac:dyDescent="0.2">
      <c r="B1012">
        <v>5351</v>
      </c>
      <c r="C1012" t="s">
        <v>1544</v>
      </c>
      <c r="D1012" t="s">
        <v>1545</v>
      </c>
      <c r="G1012" s="110" t="str">
        <f t="shared" si="15"/>
        <v>1</v>
      </c>
      <c r="I1012">
        <v>141.36441500000001</v>
      </c>
      <c r="J1012">
        <v>40.792312000000003</v>
      </c>
      <c r="S1012" s="110"/>
    </row>
    <row r="1013" spans="2:19" x14ac:dyDescent="0.2">
      <c r="B1013">
        <v>5361</v>
      </c>
      <c r="C1013" t="s">
        <v>1546</v>
      </c>
      <c r="D1013" t="s">
        <v>1547</v>
      </c>
      <c r="G1013" s="110" t="str">
        <f t="shared" si="15"/>
        <v>1</v>
      </c>
      <c r="I1013">
        <v>141.365917</v>
      </c>
      <c r="J1013">
        <v>40.785578000000001</v>
      </c>
      <c r="S1013" s="110"/>
    </row>
    <row r="1014" spans="2:19" x14ac:dyDescent="0.2">
      <c r="B1014">
        <v>5371</v>
      </c>
      <c r="C1014" t="s">
        <v>1548</v>
      </c>
      <c r="D1014" t="s">
        <v>1549</v>
      </c>
      <c r="G1014" s="110" t="str">
        <f t="shared" si="15"/>
        <v>1</v>
      </c>
      <c r="I1014">
        <v>141.36801199999999</v>
      </c>
      <c r="J1014">
        <v>40.780101999999999</v>
      </c>
      <c r="S1014" s="110"/>
    </row>
    <row r="1015" spans="2:19" x14ac:dyDescent="0.2">
      <c r="B1015">
        <v>5381</v>
      </c>
      <c r="C1015" t="s">
        <v>1550</v>
      </c>
      <c r="D1015" t="s">
        <v>1551</v>
      </c>
      <c r="G1015" s="110" t="str">
        <f t="shared" si="15"/>
        <v>1</v>
      </c>
      <c r="I1015">
        <v>141.37038000000001</v>
      </c>
      <c r="J1015">
        <v>40.773902999999997</v>
      </c>
      <c r="S1015" s="110"/>
    </row>
    <row r="1016" spans="2:19" x14ac:dyDescent="0.2">
      <c r="B1016">
        <v>5391</v>
      </c>
      <c r="C1016" t="s">
        <v>1552</v>
      </c>
      <c r="D1016" t="s">
        <v>1553</v>
      </c>
      <c r="G1016" s="110" t="str">
        <f t="shared" si="15"/>
        <v>1</v>
      </c>
      <c r="I1016">
        <v>141.37178</v>
      </c>
      <c r="J1016">
        <v>40.763899000000002</v>
      </c>
      <c r="S1016" s="110"/>
    </row>
    <row r="1017" spans="2:19" x14ac:dyDescent="0.2">
      <c r="B1017">
        <v>5401</v>
      </c>
      <c r="C1017" t="s">
        <v>1554</v>
      </c>
      <c r="D1017" t="s">
        <v>1555</v>
      </c>
      <c r="G1017" s="110" t="str">
        <f t="shared" si="15"/>
        <v>1</v>
      </c>
      <c r="I1017">
        <v>141.37551400000001</v>
      </c>
      <c r="J1017">
        <v>40.756225999999998</v>
      </c>
      <c r="S1017" s="110"/>
    </row>
    <row r="1018" spans="2:19" x14ac:dyDescent="0.2">
      <c r="B1018">
        <v>5212</v>
      </c>
      <c r="C1018" t="s">
        <v>1513</v>
      </c>
      <c r="D1018" t="s">
        <v>1514</v>
      </c>
      <c r="G1018" s="110" t="str">
        <f t="shared" si="15"/>
        <v>2</v>
      </c>
      <c r="I1018">
        <v>141.390963</v>
      </c>
      <c r="J1018">
        <v>40.827303000000001</v>
      </c>
      <c r="S1018" s="110"/>
    </row>
    <row r="1019" spans="2:19" x14ac:dyDescent="0.2">
      <c r="B1019">
        <v>5202</v>
      </c>
      <c r="C1019" t="s">
        <v>1511</v>
      </c>
      <c r="D1019" t="s">
        <v>1512</v>
      </c>
      <c r="G1019" s="110" t="str">
        <f t="shared" si="15"/>
        <v>2</v>
      </c>
      <c r="I1019">
        <v>141.39776000000001</v>
      </c>
      <c r="J1019">
        <v>40.802824000000001</v>
      </c>
      <c r="S1019" s="110"/>
    </row>
    <row r="1020" spans="2:19" x14ac:dyDescent="0.2">
      <c r="B1020">
        <v>5192</v>
      </c>
      <c r="C1020" t="s">
        <v>1509</v>
      </c>
      <c r="D1020" t="s">
        <v>1510</v>
      </c>
      <c r="G1020" s="110" t="str">
        <f t="shared" si="15"/>
        <v>2</v>
      </c>
      <c r="I1020">
        <v>141.398608</v>
      </c>
      <c r="J1020">
        <v>40.798136999999997</v>
      </c>
      <c r="S1020" s="110"/>
    </row>
    <row r="1021" spans="2:19" x14ac:dyDescent="0.2">
      <c r="B1021">
        <v>5182</v>
      </c>
      <c r="C1021" t="s">
        <v>1507</v>
      </c>
      <c r="D1021" t="s">
        <v>1508</v>
      </c>
      <c r="G1021" s="110" t="str">
        <f t="shared" si="15"/>
        <v>2</v>
      </c>
      <c r="I1021">
        <v>141.39978199999999</v>
      </c>
      <c r="J1021">
        <v>40.793036999999998</v>
      </c>
      <c r="S1021" s="110"/>
    </row>
    <row r="1022" spans="2:19" x14ac:dyDescent="0.2">
      <c r="B1022">
        <v>5172</v>
      </c>
      <c r="C1022" t="s">
        <v>1505</v>
      </c>
      <c r="D1022" t="s">
        <v>1506</v>
      </c>
      <c r="G1022" s="110" t="str">
        <f t="shared" si="15"/>
        <v>2</v>
      </c>
      <c r="I1022">
        <v>141.400104</v>
      </c>
      <c r="J1022">
        <v>40.789397000000001</v>
      </c>
      <c r="S1022" s="110"/>
    </row>
    <row r="1023" spans="2:19" x14ac:dyDescent="0.2">
      <c r="B1023">
        <v>5132</v>
      </c>
      <c r="C1023" t="s">
        <v>1497</v>
      </c>
      <c r="D1023" t="s">
        <v>1498</v>
      </c>
      <c r="G1023" s="110" t="str">
        <f t="shared" si="15"/>
        <v>2</v>
      </c>
      <c r="I1023">
        <v>141.40074000000001</v>
      </c>
      <c r="J1023">
        <v>40.782702</v>
      </c>
      <c r="S1023" s="110"/>
    </row>
    <row r="1024" spans="2:19" x14ac:dyDescent="0.2">
      <c r="B1024">
        <v>5122</v>
      </c>
      <c r="C1024" t="s">
        <v>1495</v>
      </c>
      <c r="D1024" t="s">
        <v>1496</v>
      </c>
      <c r="G1024" s="110" t="str">
        <f t="shared" si="15"/>
        <v>2</v>
      </c>
      <c r="I1024">
        <v>141.402612</v>
      </c>
      <c r="J1024">
        <v>40.777689000000002</v>
      </c>
      <c r="S1024" s="110"/>
    </row>
    <row r="1025" spans="2:19" x14ac:dyDescent="0.2">
      <c r="B1025">
        <v>5112</v>
      </c>
      <c r="C1025" t="s">
        <v>1493</v>
      </c>
      <c r="D1025" t="s">
        <v>1494</v>
      </c>
      <c r="G1025" s="110" t="str">
        <f t="shared" si="15"/>
        <v>2</v>
      </c>
      <c r="I1025">
        <v>141.40401800000001</v>
      </c>
      <c r="J1025">
        <v>40.772984999999998</v>
      </c>
      <c r="S1025" s="110"/>
    </row>
    <row r="1026" spans="2:19" x14ac:dyDescent="0.2">
      <c r="B1026">
        <v>5102</v>
      </c>
      <c r="C1026" t="s">
        <v>1491</v>
      </c>
      <c r="D1026" t="s">
        <v>1492</v>
      </c>
      <c r="G1026" s="110" t="str">
        <f t="shared" si="15"/>
        <v>2</v>
      </c>
      <c r="I1026">
        <v>141.40517600000001</v>
      </c>
      <c r="J1026">
        <v>40.768213000000003</v>
      </c>
      <c r="S1026" s="110"/>
    </row>
    <row r="1027" spans="2:19" x14ac:dyDescent="0.2">
      <c r="B1027">
        <v>5092</v>
      </c>
      <c r="C1027" t="s">
        <v>1489</v>
      </c>
      <c r="D1027" t="s">
        <v>1490</v>
      </c>
      <c r="G1027" s="110" t="str">
        <f t="shared" si="15"/>
        <v>2</v>
      </c>
      <c r="I1027">
        <v>141.405689</v>
      </c>
      <c r="J1027">
        <v>40.764797000000002</v>
      </c>
      <c r="S1027" s="110"/>
    </row>
    <row r="1028" spans="2:19" x14ac:dyDescent="0.2">
      <c r="B1028">
        <v>5082</v>
      </c>
      <c r="C1028" t="s">
        <v>1487</v>
      </c>
      <c r="D1028" t="s">
        <v>1488</v>
      </c>
      <c r="G1028" s="110" t="str">
        <f t="shared" si="15"/>
        <v>2</v>
      </c>
      <c r="I1028">
        <v>141.40709899999999</v>
      </c>
      <c r="J1028">
        <v>40.756864999999998</v>
      </c>
      <c r="S1028" s="110"/>
    </row>
    <row r="1029" spans="2:19" x14ac:dyDescent="0.2">
      <c r="B1029">
        <v>5072</v>
      </c>
      <c r="C1029" t="s">
        <v>1485</v>
      </c>
      <c r="D1029" t="s">
        <v>1556</v>
      </c>
      <c r="G1029" s="110" t="str">
        <f t="shared" ref="G1029:G1092" si="16">RIGHT(B1029,1)</f>
        <v>2</v>
      </c>
      <c r="I1029">
        <v>141.410967</v>
      </c>
      <c r="J1029">
        <v>40.735926999999997</v>
      </c>
      <c r="S1029" s="110"/>
    </row>
    <row r="1030" spans="2:19" x14ac:dyDescent="0.2">
      <c r="B1030">
        <v>5062</v>
      </c>
      <c r="C1030" t="s">
        <v>1483</v>
      </c>
      <c r="D1030" t="s">
        <v>1484</v>
      </c>
      <c r="G1030" s="110" t="str">
        <f t="shared" si="16"/>
        <v>2</v>
      </c>
      <c r="I1030">
        <v>141.41302400000001</v>
      </c>
      <c r="J1030">
        <v>40.730364999999999</v>
      </c>
      <c r="S1030" s="110"/>
    </row>
    <row r="1031" spans="2:19" x14ac:dyDescent="0.2">
      <c r="B1031">
        <v>5052</v>
      </c>
      <c r="C1031" t="s">
        <v>1481</v>
      </c>
      <c r="D1031" t="s">
        <v>1482</v>
      </c>
      <c r="G1031" s="110" t="str">
        <f t="shared" si="16"/>
        <v>2</v>
      </c>
      <c r="I1031">
        <v>141.41441900000001</v>
      </c>
      <c r="J1031">
        <v>40.726213000000001</v>
      </c>
      <c r="S1031" s="110"/>
    </row>
    <row r="1032" spans="2:19" x14ac:dyDescent="0.2">
      <c r="B1032">
        <v>5042</v>
      </c>
      <c r="C1032" t="s">
        <v>1479</v>
      </c>
      <c r="D1032" s="200" t="s">
        <v>1557</v>
      </c>
      <c r="G1032" s="110" t="str">
        <f t="shared" si="16"/>
        <v>2</v>
      </c>
      <c r="I1032">
        <v>141.37410600000001</v>
      </c>
      <c r="J1032">
        <v>40.681541000000003</v>
      </c>
      <c r="S1032" s="110"/>
    </row>
    <row r="1033" spans="2:19" x14ac:dyDescent="0.2">
      <c r="B1033">
        <v>5032</v>
      </c>
      <c r="C1033" t="s">
        <v>1477</v>
      </c>
      <c r="D1033" t="s">
        <v>1478</v>
      </c>
      <c r="G1033" s="110" t="str">
        <f t="shared" si="16"/>
        <v>2</v>
      </c>
      <c r="I1033">
        <v>141.37274300000001</v>
      </c>
      <c r="J1033">
        <v>40.676699999999997</v>
      </c>
      <c r="S1033" s="110"/>
    </row>
    <row r="1034" spans="2:19" x14ac:dyDescent="0.2">
      <c r="B1034">
        <v>5022</v>
      </c>
      <c r="C1034" t="s">
        <v>1475</v>
      </c>
      <c r="D1034" t="s">
        <v>1476</v>
      </c>
      <c r="G1034" s="110" t="str">
        <f t="shared" si="16"/>
        <v>2</v>
      </c>
      <c r="I1034">
        <v>141.37858</v>
      </c>
      <c r="J1034">
        <v>40.675100999999998</v>
      </c>
      <c r="S1034" s="110"/>
    </row>
    <row r="1035" spans="2:19" x14ac:dyDescent="0.2">
      <c r="B1035">
        <v>5012</v>
      </c>
      <c r="C1035" t="s">
        <v>1473</v>
      </c>
      <c r="D1035" t="s">
        <v>1474</v>
      </c>
      <c r="G1035" s="110" t="str">
        <f t="shared" si="16"/>
        <v>2</v>
      </c>
      <c r="I1035">
        <v>141.37912700000001</v>
      </c>
      <c r="J1035">
        <v>40.674042999999998</v>
      </c>
      <c r="S1035" s="110"/>
    </row>
    <row r="1036" spans="2:19" x14ac:dyDescent="0.2">
      <c r="B1036">
        <v>5002</v>
      </c>
      <c r="C1036" t="s">
        <v>1471</v>
      </c>
      <c r="D1036" s="200" t="s">
        <v>1472</v>
      </c>
      <c r="G1036" s="110" t="str">
        <f t="shared" si="16"/>
        <v>2</v>
      </c>
      <c r="I1036">
        <v>141.38181399999999</v>
      </c>
      <c r="J1036">
        <v>40.667203000000001</v>
      </c>
      <c r="S1036" s="110"/>
    </row>
    <row r="1037" spans="2:19" x14ac:dyDescent="0.2">
      <c r="B1037">
        <v>5402</v>
      </c>
      <c r="C1037" t="s">
        <v>1554</v>
      </c>
      <c r="D1037" t="s">
        <v>1555</v>
      </c>
      <c r="G1037" s="110" t="str">
        <f t="shared" si="16"/>
        <v>2</v>
      </c>
      <c r="I1037">
        <v>141.37534199999999</v>
      </c>
      <c r="J1037">
        <v>40.756193000000003</v>
      </c>
      <c r="S1037" s="110"/>
    </row>
    <row r="1038" spans="2:19" x14ac:dyDescent="0.2">
      <c r="B1038">
        <v>5392</v>
      </c>
      <c r="C1038" t="s">
        <v>1552</v>
      </c>
      <c r="D1038" t="s">
        <v>1553</v>
      </c>
      <c r="G1038" s="110" t="str">
        <f t="shared" si="16"/>
        <v>2</v>
      </c>
      <c r="I1038">
        <v>141.37160800000001</v>
      </c>
      <c r="J1038">
        <v>40.763899000000002</v>
      </c>
      <c r="S1038" s="110"/>
    </row>
    <row r="1039" spans="2:19" x14ac:dyDescent="0.2">
      <c r="B1039">
        <v>5382</v>
      </c>
      <c r="C1039" t="s">
        <v>1550</v>
      </c>
      <c r="D1039" t="s">
        <v>1551</v>
      </c>
      <c r="G1039" s="110" t="str">
        <f t="shared" si="16"/>
        <v>2</v>
      </c>
      <c r="I1039">
        <v>141.37024099999999</v>
      </c>
      <c r="J1039">
        <v>40.773878000000003</v>
      </c>
      <c r="S1039" s="110"/>
    </row>
    <row r="1040" spans="2:19" x14ac:dyDescent="0.2">
      <c r="B1040">
        <v>5372</v>
      </c>
      <c r="C1040" t="s">
        <v>1548</v>
      </c>
      <c r="D1040" t="s">
        <v>1549</v>
      </c>
      <c r="G1040" s="110" t="str">
        <f t="shared" si="16"/>
        <v>2</v>
      </c>
      <c r="I1040">
        <v>141.36789400000001</v>
      </c>
      <c r="J1040">
        <v>40.780090000000001</v>
      </c>
      <c r="S1040" s="110"/>
    </row>
    <row r="1041" spans="2:19" x14ac:dyDescent="0.2">
      <c r="B1041">
        <v>5362</v>
      </c>
      <c r="C1041" t="s">
        <v>1546</v>
      </c>
      <c r="D1041" t="s">
        <v>1547</v>
      </c>
      <c r="G1041" s="110" t="str">
        <f t="shared" si="16"/>
        <v>2</v>
      </c>
      <c r="I1041">
        <v>141.36577700000001</v>
      </c>
      <c r="J1041">
        <v>40.785569000000002</v>
      </c>
      <c r="S1041" s="110"/>
    </row>
    <row r="1042" spans="2:19" x14ac:dyDescent="0.2">
      <c r="B1042">
        <v>5352</v>
      </c>
      <c r="C1042" t="s">
        <v>1544</v>
      </c>
      <c r="D1042" t="s">
        <v>1545</v>
      </c>
      <c r="G1042" s="110" t="str">
        <f t="shared" si="16"/>
        <v>2</v>
      </c>
      <c r="I1042">
        <v>141.36427499999999</v>
      </c>
      <c r="J1042">
        <v>40.792295000000003</v>
      </c>
      <c r="S1042" s="110"/>
    </row>
    <row r="1043" spans="2:19" x14ac:dyDescent="0.2">
      <c r="B1043">
        <v>5342</v>
      </c>
      <c r="C1043" t="s">
        <v>1542</v>
      </c>
      <c r="D1043" t="s">
        <v>1543</v>
      </c>
      <c r="G1043" s="110" t="str">
        <f t="shared" si="16"/>
        <v>2</v>
      </c>
      <c r="I1043">
        <v>141.36173299999999</v>
      </c>
      <c r="J1043">
        <v>40.798321999999999</v>
      </c>
      <c r="S1043" s="110"/>
    </row>
    <row r="1044" spans="2:19" x14ac:dyDescent="0.2">
      <c r="B1044">
        <v>5332</v>
      </c>
      <c r="C1044" t="s">
        <v>1540</v>
      </c>
      <c r="D1044" t="s">
        <v>1541</v>
      </c>
      <c r="G1044" s="110" t="str">
        <f t="shared" si="16"/>
        <v>2</v>
      </c>
      <c r="I1044">
        <v>141.360445</v>
      </c>
      <c r="J1044">
        <v>40.800961000000001</v>
      </c>
      <c r="S1044" s="110"/>
    </row>
    <row r="1045" spans="2:19" x14ac:dyDescent="0.2">
      <c r="B1045">
        <v>5322</v>
      </c>
      <c r="C1045" t="s">
        <v>1539</v>
      </c>
      <c r="D1045" s="200" t="s">
        <v>1398</v>
      </c>
      <c r="G1045" s="110" t="str">
        <f t="shared" si="16"/>
        <v>2</v>
      </c>
      <c r="I1045">
        <v>141.35978</v>
      </c>
      <c r="J1045">
        <v>40.803122000000002</v>
      </c>
      <c r="S1045" s="110"/>
    </row>
    <row r="1046" spans="2:19" x14ac:dyDescent="0.2">
      <c r="B1046">
        <v>5501</v>
      </c>
      <c r="C1046" t="s">
        <v>1558</v>
      </c>
      <c r="D1046" t="s">
        <v>1559</v>
      </c>
      <c r="G1046" s="110" t="str">
        <f t="shared" si="16"/>
        <v>1</v>
      </c>
      <c r="I1046">
        <v>141.34741199999999</v>
      </c>
      <c r="J1046">
        <v>40.669936999999997</v>
      </c>
      <c r="S1046" s="110"/>
    </row>
    <row r="1047" spans="2:19" x14ac:dyDescent="0.2">
      <c r="B1047">
        <v>5511</v>
      </c>
      <c r="C1047" t="s">
        <v>1560</v>
      </c>
      <c r="D1047" t="s">
        <v>1561</v>
      </c>
      <c r="G1047" s="110" t="str">
        <f t="shared" si="16"/>
        <v>1</v>
      </c>
      <c r="I1047">
        <v>141.342477</v>
      </c>
      <c r="J1047">
        <v>40.670209</v>
      </c>
      <c r="S1047" s="110"/>
    </row>
    <row r="1048" spans="2:19" x14ac:dyDescent="0.2">
      <c r="B1048">
        <v>5521</v>
      </c>
      <c r="C1048" t="s">
        <v>1562</v>
      </c>
      <c r="D1048" t="s">
        <v>1563</v>
      </c>
      <c r="G1048" s="110" t="str">
        <f t="shared" si="16"/>
        <v>1</v>
      </c>
      <c r="I1048">
        <v>141.34001499999999</v>
      </c>
      <c r="J1048">
        <v>40.669781999999998</v>
      </c>
      <c r="S1048" s="110"/>
    </row>
    <row r="1049" spans="2:19" x14ac:dyDescent="0.2">
      <c r="B1049">
        <v>5531</v>
      </c>
      <c r="C1049" t="s">
        <v>1564</v>
      </c>
      <c r="D1049" s="200" t="s">
        <v>1565</v>
      </c>
      <c r="G1049" s="110" t="str">
        <f t="shared" si="16"/>
        <v>1</v>
      </c>
      <c r="I1049" s="200">
        <v>141.338202</v>
      </c>
      <c r="J1049" s="200">
        <v>40.6663</v>
      </c>
      <c r="S1049" s="110"/>
    </row>
    <row r="1050" spans="2:19" x14ac:dyDescent="0.2">
      <c r="B1050">
        <v>5541</v>
      </c>
      <c r="C1050" t="s">
        <v>1566</v>
      </c>
      <c r="D1050" t="s">
        <v>1567</v>
      </c>
      <c r="G1050" s="110" t="str">
        <f t="shared" si="16"/>
        <v>1</v>
      </c>
      <c r="I1050">
        <v>141.34246400000001</v>
      </c>
      <c r="J1050">
        <v>40.662678</v>
      </c>
      <c r="S1050" s="110"/>
    </row>
    <row r="1051" spans="2:19" x14ac:dyDescent="0.2">
      <c r="B1051">
        <v>5551</v>
      </c>
      <c r="C1051" t="s">
        <v>1568</v>
      </c>
      <c r="D1051" s="200" t="s">
        <v>1569</v>
      </c>
      <c r="G1051" s="110" t="str">
        <f t="shared" si="16"/>
        <v>1</v>
      </c>
      <c r="I1051">
        <v>141.35238799999999</v>
      </c>
      <c r="J1051">
        <v>40.673780000000001</v>
      </c>
      <c r="S1051" s="110"/>
    </row>
    <row r="1052" spans="2:19" x14ac:dyDescent="0.2">
      <c r="B1052">
        <v>5561</v>
      </c>
      <c r="C1052" t="s">
        <v>1570</v>
      </c>
      <c r="D1052" t="s">
        <v>1571</v>
      </c>
      <c r="G1052" s="110" t="str">
        <f t="shared" si="16"/>
        <v>1</v>
      </c>
      <c r="I1052">
        <v>141.35469399999999</v>
      </c>
      <c r="J1052">
        <v>40.676946000000001</v>
      </c>
      <c r="S1052" s="110"/>
    </row>
    <row r="1053" spans="2:19" x14ac:dyDescent="0.2">
      <c r="B1053">
        <v>5571</v>
      </c>
      <c r="C1053" t="s">
        <v>1572</v>
      </c>
      <c r="D1053" t="s">
        <v>1573</v>
      </c>
      <c r="G1053" s="110" t="str">
        <f t="shared" si="16"/>
        <v>1</v>
      </c>
      <c r="I1053">
        <v>141.356132</v>
      </c>
      <c r="J1053">
        <v>40.678849999999997</v>
      </c>
      <c r="S1053" s="110"/>
    </row>
    <row r="1054" spans="2:19" x14ac:dyDescent="0.2">
      <c r="B1054">
        <v>5581</v>
      </c>
      <c r="C1054" t="s">
        <v>1574</v>
      </c>
      <c r="D1054" s="200" t="s">
        <v>1575</v>
      </c>
      <c r="G1054" s="110" t="str">
        <f t="shared" si="16"/>
        <v>1</v>
      </c>
      <c r="I1054">
        <v>141.36554899999999</v>
      </c>
      <c r="J1054">
        <v>40.675871000000001</v>
      </c>
      <c r="S1054" s="110"/>
    </row>
    <row r="1055" spans="2:19" x14ac:dyDescent="0.2">
      <c r="B1055">
        <v>5591</v>
      </c>
      <c r="C1055" t="s">
        <v>1576</v>
      </c>
      <c r="D1055" s="200" t="s">
        <v>1577</v>
      </c>
      <c r="G1055" s="110" t="str">
        <f t="shared" si="16"/>
        <v>1</v>
      </c>
      <c r="I1055">
        <v>141.361816</v>
      </c>
      <c r="J1055">
        <v>40.675015999999999</v>
      </c>
      <c r="S1055" s="110"/>
    </row>
    <row r="1056" spans="2:19" x14ac:dyDescent="0.2">
      <c r="B1056">
        <v>5601</v>
      </c>
      <c r="C1056" t="s">
        <v>1578</v>
      </c>
      <c r="D1056" s="200" t="s">
        <v>1579</v>
      </c>
      <c r="G1056" s="110" t="str">
        <f t="shared" si="16"/>
        <v>1</v>
      </c>
      <c r="I1056">
        <v>141.371364</v>
      </c>
      <c r="J1056">
        <v>40.674756000000002</v>
      </c>
      <c r="S1056" s="110"/>
    </row>
    <row r="1057" spans="2:19" x14ac:dyDescent="0.2">
      <c r="B1057">
        <v>5611</v>
      </c>
      <c r="C1057" t="s">
        <v>1580</v>
      </c>
      <c r="D1057" t="s">
        <v>1581</v>
      </c>
      <c r="G1057" s="110" t="str">
        <f t="shared" si="16"/>
        <v>1</v>
      </c>
      <c r="I1057">
        <v>141.386312</v>
      </c>
      <c r="J1057">
        <v>40.675172000000003</v>
      </c>
      <c r="S1057" s="110"/>
    </row>
    <row r="1058" spans="2:19" x14ac:dyDescent="0.2">
      <c r="B1058">
        <v>5621</v>
      </c>
      <c r="C1058" t="s">
        <v>1582</v>
      </c>
      <c r="D1058" t="s">
        <v>1583</v>
      </c>
      <c r="G1058" s="110" t="str">
        <f t="shared" si="16"/>
        <v>1</v>
      </c>
      <c r="I1058">
        <v>141.39255700000001</v>
      </c>
      <c r="J1058">
        <v>40.675961000000001</v>
      </c>
      <c r="S1058" s="110"/>
    </row>
    <row r="1059" spans="2:19" x14ac:dyDescent="0.2">
      <c r="B1059">
        <v>5631</v>
      </c>
      <c r="C1059" t="s">
        <v>1584</v>
      </c>
      <c r="D1059" t="s">
        <v>1585</v>
      </c>
      <c r="G1059" s="110" t="str">
        <f t="shared" si="16"/>
        <v>1</v>
      </c>
      <c r="I1059">
        <v>141.399348</v>
      </c>
      <c r="J1059">
        <v>40.673592999999997</v>
      </c>
      <c r="S1059" s="110"/>
    </row>
    <row r="1060" spans="2:19" x14ac:dyDescent="0.2">
      <c r="B1060">
        <v>5641</v>
      </c>
      <c r="C1060" t="s">
        <v>1586</v>
      </c>
      <c r="D1060" t="s">
        <v>1587</v>
      </c>
      <c r="G1060" s="110" t="str">
        <f t="shared" si="16"/>
        <v>1</v>
      </c>
      <c r="I1060">
        <v>141.40079600000001</v>
      </c>
      <c r="J1060">
        <v>40.679313999999998</v>
      </c>
      <c r="S1060" s="110"/>
    </row>
    <row r="1061" spans="2:19" x14ac:dyDescent="0.2">
      <c r="B1061">
        <v>5651</v>
      </c>
      <c r="C1061" t="s">
        <v>1588</v>
      </c>
      <c r="D1061" t="s">
        <v>1589</v>
      </c>
      <c r="G1061" s="110" t="str">
        <f t="shared" si="16"/>
        <v>1</v>
      </c>
      <c r="I1061">
        <v>141.41090299999999</v>
      </c>
      <c r="J1061">
        <v>40.678134</v>
      </c>
      <c r="S1061" s="110"/>
    </row>
    <row r="1062" spans="2:19" x14ac:dyDescent="0.2">
      <c r="B1062">
        <v>5661</v>
      </c>
      <c r="C1062" t="s">
        <v>1590</v>
      </c>
      <c r="D1062" s="200" t="s">
        <v>1591</v>
      </c>
      <c r="G1062" s="110" t="str">
        <f t="shared" si="16"/>
        <v>1</v>
      </c>
      <c r="I1062">
        <v>141.41359600000001</v>
      </c>
      <c r="J1062">
        <v>40.681023000000003</v>
      </c>
      <c r="S1062" s="110"/>
    </row>
    <row r="1063" spans="2:19" x14ac:dyDescent="0.2">
      <c r="B1063">
        <v>5671</v>
      </c>
      <c r="C1063" t="s">
        <v>1592</v>
      </c>
      <c r="D1063" t="s">
        <v>1432</v>
      </c>
      <c r="G1063" s="110" t="str">
        <f t="shared" si="16"/>
        <v>1</v>
      </c>
      <c r="I1063">
        <v>141.429743</v>
      </c>
      <c r="J1063">
        <v>40.673788999999999</v>
      </c>
      <c r="S1063" s="110"/>
    </row>
    <row r="1064" spans="2:19" x14ac:dyDescent="0.2">
      <c r="B1064">
        <v>5681</v>
      </c>
      <c r="C1064" t="s">
        <v>1593</v>
      </c>
      <c r="D1064" t="s">
        <v>1594</v>
      </c>
      <c r="G1064" s="110" t="str">
        <f t="shared" si="16"/>
        <v>1</v>
      </c>
      <c r="I1064">
        <v>141.41659999999999</v>
      </c>
      <c r="J1064">
        <v>40.677598000000003</v>
      </c>
      <c r="S1064" s="110"/>
    </row>
    <row r="1065" spans="2:19" x14ac:dyDescent="0.2">
      <c r="B1065">
        <v>5691</v>
      </c>
      <c r="C1065" t="s">
        <v>1595</v>
      </c>
      <c r="D1065" t="s">
        <v>1596</v>
      </c>
      <c r="G1065" s="110" t="str">
        <f t="shared" si="16"/>
        <v>1</v>
      </c>
      <c r="I1065">
        <v>141.413016</v>
      </c>
      <c r="J1065">
        <v>40.674366999999997</v>
      </c>
      <c r="S1065" s="110"/>
    </row>
    <row r="1066" spans="2:19" x14ac:dyDescent="0.2">
      <c r="B1066">
        <v>5701</v>
      </c>
      <c r="C1066" t="s">
        <v>1597</v>
      </c>
      <c r="D1066" t="s">
        <v>1598</v>
      </c>
      <c r="G1066" s="110" t="str">
        <f t="shared" si="16"/>
        <v>1</v>
      </c>
      <c r="I1066">
        <v>141.41018399999999</v>
      </c>
      <c r="J1066">
        <v>40.672584000000001</v>
      </c>
      <c r="S1066" s="110"/>
    </row>
    <row r="1067" spans="2:19" x14ac:dyDescent="0.2">
      <c r="B1067">
        <v>5711</v>
      </c>
      <c r="C1067" t="s">
        <v>1599</v>
      </c>
      <c r="D1067" t="s">
        <v>1600</v>
      </c>
      <c r="G1067" s="110" t="str">
        <f t="shared" si="16"/>
        <v>1</v>
      </c>
      <c r="I1067">
        <v>141.408897</v>
      </c>
      <c r="J1067">
        <v>40.671168000000002</v>
      </c>
      <c r="S1067" s="110"/>
    </row>
    <row r="1068" spans="2:19" x14ac:dyDescent="0.2">
      <c r="B1068">
        <v>5721</v>
      </c>
      <c r="C1068" t="s">
        <v>1601</v>
      </c>
      <c r="D1068" t="s">
        <v>1602</v>
      </c>
      <c r="G1068" s="110" t="str">
        <f t="shared" si="16"/>
        <v>1</v>
      </c>
      <c r="I1068">
        <v>141.40561400000001</v>
      </c>
      <c r="J1068">
        <v>40.670696</v>
      </c>
      <c r="S1068" s="110"/>
    </row>
    <row r="1069" spans="2:19" x14ac:dyDescent="0.2">
      <c r="B1069">
        <v>5722</v>
      </c>
      <c r="C1069" t="s">
        <v>1601</v>
      </c>
      <c r="D1069" t="s">
        <v>1602</v>
      </c>
      <c r="G1069" s="110" t="str">
        <f t="shared" si="16"/>
        <v>2</v>
      </c>
      <c r="I1069">
        <v>141.40562399999999</v>
      </c>
      <c r="J1069">
        <v>40.670810000000003</v>
      </c>
      <c r="S1069" s="110"/>
    </row>
    <row r="1070" spans="2:19" x14ac:dyDescent="0.2">
      <c r="B1070">
        <v>5712</v>
      </c>
      <c r="C1070" t="s">
        <v>1599</v>
      </c>
      <c r="D1070" t="s">
        <v>1600</v>
      </c>
      <c r="G1070" s="110" t="str">
        <f t="shared" si="16"/>
        <v>2</v>
      </c>
      <c r="I1070">
        <v>141.408907</v>
      </c>
      <c r="J1070">
        <v>40.671266000000003</v>
      </c>
      <c r="S1070" s="110"/>
    </row>
    <row r="1071" spans="2:19" x14ac:dyDescent="0.2">
      <c r="B1071">
        <v>5702</v>
      </c>
      <c r="C1071" t="s">
        <v>1597</v>
      </c>
      <c r="D1071" t="s">
        <v>1598</v>
      </c>
      <c r="G1071" s="110" t="str">
        <f t="shared" si="16"/>
        <v>2</v>
      </c>
      <c r="I1071">
        <v>141.410034</v>
      </c>
      <c r="J1071">
        <v>40.672601</v>
      </c>
      <c r="S1071" s="110"/>
    </row>
    <row r="1072" spans="2:19" x14ac:dyDescent="0.2">
      <c r="B1072">
        <v>5692</v>
      </c>
      <c r="C1072" t="s">
        <v>1595</v>
      </c>
      <c r="D1072" t="s">
        <v>1596</v>
      </c>
      <c r="G1072" s="110" t="str">
        <f t="shared" si="16"/>
        <v>2</v>
      </c>
      <c r="I1072">
        <v>141.412995</v>
      </c>
      <c r="J1072">
        <v>40.674472999999999</v>
      </c>
      <c r="S1072" s="110"/>
    </row>
    <row r="1073" spans="2:19" x14ac:dyDescent="0.2">
      <c r="B1073">
        <v>5682</v>
      </c>
      <c r="C1073" t="s">
        <v>1593</v>
      </c>
      <c r="D1073" t="s">
        <v>1594</v>
      </c>
      <c r="G1073" s="110" t="str">
        <f t="shared" si="16"/>
        <v>2</v>
      </c>
      <c r="I1073">
        <v>141.41659999999999</v>
      </c>
      <c r="J1073">
        <v>40.677703000000001</v>
      </c>
      <c r="S1073" s="110"/>
    </row>
    <row r="1074" spans="2:19" x14ac:dyDescent="0.2">
      <c r="B1074">
        <v>5672</v>
      </c>
      <c r="C1074" t="s">
        <v>1592</v>
      </c>
      <c r="D1074" t="s">
        <v>1432</v>
      </c>
      <c r="G1074" s="110" t="str">
        <f t="shared" si="16"/>
        <v>2</v>
      </c>
      <c r="I1074">
        <v>141.42979600000001</v>
      </c>
      <c r="J1074">
        <v>40.673887000000001</v>
      </c>
      <c r="S1074" s="110"/>
    </row>
    <row r="1075" spans="2:19" x14ac:dyDescent="0.2">
      <c r="B1075">
        <v>5662</v>
      </c>
      <c r="C1075" t="s">
        <v>1590</v>
      </c>
      <c r="D1075" t="s">
        <v>1591</v>
      </c>
      <c r="G1075" s="110" t="str">
        <f t="shared" si="16"/>
        <v>2</v>
      </c>
      <c r="I1075">
        <v>141.413735</v>
      </c>
      <c r="J1075">
        <v>40.681038999999998</v>
      </c>
      <c r="S1075" s="110"/>
    </row>
    <row r="1076" spans="2:19" x14ac:dyDescent="0.2">
      <c r="B1076">
        <v>5652</v>
      </c>
      <c r="C1076" t="s">
        <v>1588</v>
      </c>
      <c r="D1076" t="s">
        <v>1589</v>
      </c>
      <c r="G1076" s="110" t="str">
        <f t="shared" si="16"/>
        <v>2</v>
      </c>
      <c r="I1076">
        <v>141.41091399999999</v>
      </c>
      <c r="J1076">
        <v>40.678044</v>
      </c>
      <c r="S1076" s="110"/>
    </row>
    <row r="1077" spans="2:19" x14ac:dyDescent="0.2">
      <c r="B1077">
        <v>5642</v>
      </c>
      <c r="C1077" t="s">
        <v>1586</v>
      </c>
      <c r="D1077" t="s">
        <v>1587</v>
      </c>
      <c r="G1077" s="110" t="str">
        <f t="shared" si="16"/>
        <v>2</v>
      </c>
      <c r="I1077">
        <v>141.400882</v>
      </c>
      <c r="J1077">
        <v>40.679338000000001</v>
      </c>
      <c r="S1077" s="110"/>
    </row>
    <row r="1078" spans="2:19" x14ac:dyDescent="0.2">
      <c r="B1078">
        <v>5632</v>
      </c>
      <c r="C1078" t="s">
        <v>1584</v>
      </c>
      <c r="D1078" t="s">
        <v>1585</v>
      </c>
      <c r="G1078" s="110" t="str">
        <f t="shared" si="16"/>
        <v>2</v>
      </c>
      <c r="I1078">
        <v>141.39948699999999</v>
      </c>
      <c r="J1078">
        <v>40.673560000000002</v>
      </c>
      <c r="S1078" s="110"/>
    </row>
    <row r="1079" spans="2:19" x14ac:dyDescent="0.2">
      <c r="B1079">
        <v>5622</v>
      </c>
      <c r="C1079" t="s">
        <v>1582</v>
      </c>
      <c r="D1079" t="s">
        <v>1583</v>
      </c>
      <c r="G1079" s="110" t="str">
        <f t="shared" si="16"/>
        <v>2</v>
      </c>
      <c r="I1079">
        <v>141.39254600000001</v>
      </c>
      <c r="J1079">
        <v>40.675846999999997</v>
      </c>
      <c r="S1079" s="110"/>
    </row>
    <row r="1080" spans="2:19" x14ac:dyDescent="0.2">
      <c r="B1080">
        <v>5612</v>
      </c>
      <c r="C1080" t="s">
        <v>1580</v>
      </c>
      <c r="D1080" t="s">
        <v>1581</v>
      </c>
      <c r="G1080" s="110" t="str">
        <f t="shared" si="16"/>
        <v>2</v>
      </c>
      <c r="I1080">
        <v>141.38646299999999</v>
      </c>
      <c r="J1080">
        <v>40.675147000000003</v>
      </c>
      <c r="S1080" s="110"/>
    </row>
    <row r="1081" spans="2:19" x14ac:dyDescent="0.2">
      <c r="B1081">
        <v>5602</v>
      </c>
      <c r="C1081" t="s">
        <v>1578</v>
      </c>
      <c r="D1081" t="s">
        <v>1603</v>
      </c>
      <c r="G1081" s="110" t="str">
        <f t="shared" si="16"/>
        <v>2</v>
      </c>
      <c r="I1081">
        <v>141.37119300000001</v>
      </c>
      <c r="J1081">
        <v>40.67465</v>
      </c>
      <c r="S1081" s="110"/>
    </row>
    <row r="1082" spans="2:19" x14ac:dyDescent="0.2">
      <c r="B1082">
        <v>5582</v>
      </c>
      <c r="C1082" t="s">
        <v>1574</v>
      </c>
      <c r="D1082" s="200" t="s">
        <v>1575</v>
      </c>
      <c r="G1082" s="110" t="str">
        <f t="shared" si="16"/>
        <v>2</v>
      </c>
      <c r="I1082">
        <v>141.36511999999999</v>
      </c>
      <c r="J1082">
        <v>40.676054000000001</v>
      </c>
      <c r="S1082" s="110"/>
    </row>
    <row r="1083" spans="2:19" x14ac:dyDescent="0.2">
      <c r="B1083">
        <v>5572</v>
      </c>
      <c r="C1083" t="s">
        <v>1572</v>
      </c>
      <c r="D1083" t="s">
        <v>1573</v>
      </c>
      <c r="G1083" s="110" t="str">
        <f t="shared" si="16"/>
        <v>2</v>
      </c>
      <c r="I1083">
        <v>141.35627199999999</v>
      </c>
      <c r="J1083">
        <v>40.678842000000003</v>
      </c>
      <c r="S1083" s="110"/>
    </row>
    <row r="1084" spans="2:19" x14ac:dyDescent="0.2">
      <c r="B1084">
        <v>5562</v>
      </c>
      <c r="C1084" t="s">
        <v>1570</v>
      </c>
      <c r="D1084" t="s">
        <v>1571</v>
      </c>
      <c r="G1084" s="110" t="str">
        <f t="shared" si="16"/>
        <v>2</v>
      </c>
      <c r="I1084">
        <v>141.354748</v>
      </c>
      <c r="J1084">
        <v>40.676856000000001</v>
      </c>
      <c r="S1084" s="110"/>
    </row>
    <row r="1085" spans="2:19" x14ac:dyDescent="0.2">
      <c r="B1085">
        <v>5552</v>
      </c>
      <c r="C1085" t="s">
        <v>1568</v>
      </c>
      <c r="D1085" s="200" t="s">
        <v>1569</v>
      </c>
      <c r="G1085" s="110" t="str">
        <f t="shared" si="16"/>
        <v>2</v>
      </c>
      <c r="I1085">
        <v>141.35255900000001</v>
      </c>
      <c r="J1085">
        <v>40.673755999999997</v>
      </c>
      <c r="S1085" s="110"/>
    </row>
    <row r="1086" spans="2:19" x14ac:dyDescent="0.2">
      <c r="B1086">
        <v>5542</v>
      </c>
      <c r="C1086" t="s">
        <v>1566</v>
      </c>
      <c r="D1086" t="s">
        <v>1604</v>
      </c>
      <c r="G1086" s="110" t="str">
        <f t="shared" si="16"/>
        <v>2</v>
      </c>
      <c r="I1086">
        <v>141.342378</v>
      </c>
      <c r="J1086">
        <v>40.662613</v>
      </c>
      <c r="S1086" s="110"/>
    </row>
    <row r="1087" spans="2:19" x14ac:dyDescent="0.2">
      <c r="B1087">
        <v>5532</v>
      </c>
      <c r="C1087" t="s">
        <v>1564</v>
      </c>
      <c r="D1087" s="200" t="s">
        <v>1565</v>
      </c>
      <c r="G1087" s="110" t="str">
        <f t="shared" si="16"/>
        <v>2</v>
      </c>
      <c r="I1087" s="200">
        <v>141.338089</v>
      </c>
      <c r="J1087" s="200">
        <v>40.666226000000002</v>
      </c>
      <c r="S1087" s="110"/>
    </row>
    <row r="1088" spans="2:19" x14ac:dyDescent="0.2">
      <c r="B1088">
        <v>5522</v>
      </c>
      <c r="C1088" t="s">
        <v>1562</v>
      </c>
      <c r="D1088" t="s">
        <v>1563</v>
      </c>
      <c r="G1088" s="110" t="str">
        <f t="shared" si="16"/>
        <v>2</v>
      </c>
      <c r="I1088">
        <v>141.340079</v>
      </c>
      <c r="J1088">
        <v>40.669868000000001</v>
      </c>
      <c r="S1088" s="110"/>
    </row>
    <row r="1089" spans="2:19" x14ac:dyDescent="0.2">
      <c r="B1089">
        <v>5512</v>
      </c>
      <c r="C1089" t="s">
        <v>1560</v>
      </c>
      <c r="D1089" t="s">
        <v>1561</v>
      </c>
      <c r="G1089" s="110" t="str">
        <f t="shared" si="16"/>
        <v>2</v>
      </c>
      <c r="I1089">
        <v>141.34351799999999</v>
      </c>
      <c r="J1089">
        <v>40.670332000000002</v>
      </c>
      <c r="S1089" s="110"/>
    </row>
    <row r="1090" spans="2:19" x14ac:dyDescent="0.2">
      <c r="B1090">
        <v>5941</v>
      </c>
      <c r="C1090" t="s">
        <v>1605</v>
      </c>
      <c r="D1090" t="s">
        <v>1606</v>
      </c>
      <c r="G1090" s="110" t="str">
        <f t="shared" si="16"/>
        <v>1</v>
      </c>
      <c r="I1090">
        <v>141.34213099999999</v>
      </c>
      <c r="J1090">
        <v>40.674363</v>
      </c>
      <c r="S1090" s="110"/>
    </row>
    <row r="1091" spans="2:19" x14ac:dyDescent="0.2">
      <c r="B1091">
        <v>5942</v>
      </c>
      <c r="C1091" t="s">
        <v>1605</v>
      </c>
      <c r="D1091" t="s">
        <v>1606</v>
      </c>
      <c r="G1091" s="110" t="str">
        <f t="shared" si="16"/>
        <v>2</v>
      </c>
      <c r="I1091">
        <v>141.34200200000001</v>
      </c>
      <c r="J1091">
        <v>40.674371000000001</v>
      </c>
      <c r="S1091" s="110"/>
    </row>
    <row r="1092" spans="2:19" x14ac:dyDescent="0.2">
      <c r="B1092">
        <v>6971</v>
      </c>
      <c r="C1092" t="s">
        <v>1607</v>
      </c>
      <c r="D1092" t="s">
        <v>1608</v>
      </c>
      <c r="G1092" s="110" t="str">
        <f t="shared" si="16"/>
        <v>1</v>
      </c>
      <c r="I1092">
        <v>141.12227300000001</v>
      </c>
      <c r="J1092">
        <v>40.850639000000001</v>
      </c>
      <c r="S1092" s="110" t="s">
        <v>1609</v>
      </c>
    </row>
    <row r="1093" spans="2:19" x14ac:dyDescent="0.2">
      <c r="B1093">
        <v>6981</v>
      </c>
      <c r="C1093" t="s">
        <v>1610</v>
      </c>
      <c r="D1093" t="s">
        <v>1611</v>
      </c>
      <c r="G1093" s="110" t="str">
        <f t="shared" ref="G1093:G1156" si="17">RIGHT(B1093,1)</f>
        <v>1</v>
      </c>
      <c r="I1093">
        <v>141.11780999999999</v>
      </c>
      <c r="J1093">
        <v>40.853520000000003</v>
      </c>
      <c r="S1093" s="110" t="s">
        <v>1612</v>
      </c>
    </row>
    <row r="1094" spans="2:19" x14ac:dyDescent="0.2">
      <c r="B1094">
        <v>6991</v>
      </c>
      <c r="C1094" t="s">
        <v>1613</v>
      </c>
      <c r="D1094" s="200" t="s">
        <v>1614</v>
      </c>
      <c r="G1094" s="110" t="str">
        <f t="shared" si="17"/>
        <v>1</v>
      </c>
      <c r="I1094">
        <v>141.114822</v>
      </c>
      <c r="J1094">
        <v>40.854827</v>
      </c>
      <c r="S1094" s="110" t="s">
        <v>1615</v>
      </c>
    </row>
    <row r="1095" spans="2:19" x14ac:dyDescent="0.2">
      <c r="B1095">
        <v>7001</v>
      </c>
      <c r="C1095" t="s">
        <v>1616</v>
      </c>
      <c r="D1095" s="200" t="s">
        <v>463</v>
      </c>
      <c r="G1095" s="110" t="str">
        <f t="shared" si="17"/>
        <v>1</v>
      </c>
      <c r="I1095">
        <v>141.112177</v>
      </c>
      <c r="J1095">
        <v>40.853484000000002</v>
      </c>
      <c r="S1095" s="110" t="s">
        <v>1617</v>
      </c>
    </row>
    <row r="1096" spans="2:19" x14ac:dyDescent="0.2">
      <c r="B1096">
        <v>7011</v>
      </c>
      <c r="C1096" t="s">
        <v>1618</v>
      </c>
      <c r="D1096" s="200" t="s">
        <v>1619</v>
      </c>
      <c r="G1096" s="110" t="str">
        <f t="shared" si="17"/>
        <v>1</v>
      </c>
      <c r="I1096">
        <v>141.11085800000001</v>
      </c>
      <c r="J1096">
        <v>40.852477</v>
      </c>
      <c r="S1096" s="110" t="s">
        <v>1620</v>
      </c>
    </row>
    <row r="1097" spans="2:19" x14ac:dyDescent="0.2">
      <c r="B1097">
        <v>7021</v>
      </c>
      <c r="C1097" t="s">
        <v>1621</v>
      </c>
      <c r="D1097" t="s">
        <v>1622</v>
      </c>
      <c r="G1097" s="110" t="str">
        <f t="shared" si="17"/>
        <v>1</v>
      </c>
      <c r="I1097">
        <v>141.10823400000001</v>
      </c>
      <c r="J1097">
        <v>40.851239</v>
      </c>
      <c r="S1097" s="110" t="s">
        <v>1623</v>
      </c>
    </row>
    <row r="1098" spans="2:19" x14ac:dyDescent="0.2">
      <c r="B1098">
        <v>7012</v>
      </c>
      <c r="C1098" t="s">
        <v>1618</v>
      </c>
      <c r="D1098" s="200" t="s">
        <v>1619</v>
      </c>
      <c r="G1098" s="110" t="str">
        <f t="shared" si="17"/>
        <v>2</v>
      </c>
      <c r="I1098">
        <v>141.110804</v>
      </c>
      <c r="J1098">
        <v>40.852525999999997</v>
      </c>
      <c r="S1098" s="110" t="s">
        <v>1620</v>
      </c>
    </row>
    <row r="1099" spans="2:19" x14ac:dyDescent="0.2">
      <c r="B1099">
        <v>7002</v>
      </c>
      <c r="C1099" t="s">
        <v>1616</v>
      </c>
      <c r="D1099" s="201" t="s">
        <v>463</v>
      </c>
      <c r="G1099" s="110" t="str">
        <f t="shared" si="17"/>
        <v>2</v>
      </c>
      <c r="I1099">
        <v>141.11210199999999</v>
      </c>
      <c r="J1099">
        <v>40.853532000000001</v>
      </c>
      <c r="S1099" s="110" t="s">
        <v>1617</v>
      </c>
    </row>
    <row r="1100" spans="2:19" x14ac:dyDescent="0.2">
      <c r="B1100">
        <v>6992</v>
      </c>
      <c r="C1100" t="s">
        <v>1613</v>
      </c>
      <c r="D1100" s="201" t="s">
        <v>1614</v>
      </c>
      <c r="G1100" s="110" t="str">
        <f t="shared" si="17"/>
        <v>2</v>
      </c>
      <c r="I1100">
        <v>141.11529400000001</v>
      </c>
      <c r="J1100">
        <v>40.854725999999999</v>
      </c>
      <c r="S1100" s="110" t="s">
        <v>1615</v>
      </c>
    </row>
    <row r="1101" spans="2:19" x14ac:dyDescent="0.2">
      <c r="B1101">
        <v>6982</v>
      </c>
      <c r="C1101" t="s">
        <v>1610</v>
      </c>
      <c r="D1101" t="s">
        <v>1611</v>
      </c>
      <c r="G1101" s="110" t="str">
        <f t="shared" si="17"/>
        <v>2</v>
      </c>
      <c r="I1101">
        <v>141.11756800000001</v>
      </c>
      <c r="J1101">
        <v>40.853755999999997</v>
      </c>
      <c r="S1101" s="110" t="s">
        <v>1612</v>
      </c>
    </row>
    <row r="1102" spans="2:19" x14ac:dyDescent="0.2">
      <c r="B1102">
        <v>6972</v>
      </c>
      <c r="C1102" t="s">
        <v>1607</v>
      </c>
      <c r="D1102" t="s">
        <v>1608</v>
      </c>
      <c r="G1102" s="110" t="str">
        <f t="shared" si="17"/>
        <v>2</v>
      </c>
      <c r="I1102">
        <v>141.12309400000001</v>
      </c>
      <c r="J1102">
        <v>40.849791000000003</v>
      </c>
      <c r="S1102" s="110" t="s">
        <v>1609</v>
      </c>
    </row>
    <row r="1103" spans="2:19" x14ac:dyDescent="0.2">
      <c r="B1103">
        <v>7081</v>
      </c>
      <c r="C1103" t="s">
        <v>1624</v>
      </c>
      <c r="D1103" s="200" t="s">
        <v>1625</v>
      </c>
      <c r="G1103" s="110" t="str">
        <f t="shared" si="17"/>
        <v>1</v>
      </c>
      <c r="I1103">
        <v>141.12780599999999</v>
      </c>
      <c r="J1103">
        <v>40.85913</v>
      </c>
      <c r="S1103" s="110" t="s">
        <v>1626</v>
      </c>
    </row>
    <row r="1104" spans="2:19" x14ac:dyDescent="0.2">
      <c r="B1104">
        <v>7091</v>
      </c>
      <c r="C1104" t="s">
        <v>1627</v>
      </c>
      <c r="D1104" s="147" t="s">
        <v>1628</v>
      </c>
      <c r="G1104" s="110" t="str">
        <f t="shared" si="17"/>
        <v>1</v>
      </c>
      <c r="I1104">
        <v>141.126653</v>
      </c>
      <c r="J1104">
        <v>40.855103</v>
      </c>
      <c r="S1104" s="110"/>
    </row>
    <row r="1105" spans="2:19" x14ac:dyDescent="0.2">
      <c r="B1105">
        <v>7092</v>
      </c>
      <c r="C1105" t="s">
        <v>1627</v>
      </c>
      <c r="D1105" s="202" t="s">
        <v>1628</v>
      </c>
      <c r="G1105" s="110" t="str">
        <f t="shared" si="17"/>
        <v>2</v>
      </c>
      <c r="I1105">
        <v>141.12669600000001</v>
      </c>
      <c r="J1105">
        <v>40.855212000000002</v>
      </c>
      <c r="S1105" s="110"/>
    </row>
    <row r="1106" spans="2:19" x14ac:dyDescent="0.2">
      <c r="B1106">
        <v>7082</v>
      </c>
      <c r="C1106" t="s">
        <v>1624</v>
      </c>
      <c r="D1106" s="200" t="s">
        <v>1625</v>
      </c>
      <c r="G1106" s="110" t="str">
        <f t="shared" si="17"/>
        <v>2</v>
      </c>
      <c r="I1106">
        <v>141.12768800000001</v>
      </c>
      <c r="J1106">
        <v>40.859163000000002</v>
      </c>
      <c r="S1106" s="110" t="s">
        <v>1626</v>
      </c>
    </row>
    <row r="1107" spans="2:19" x14ac:dyDescent="0.2">
      <c r="B1107">
        <v>6281</v>
      </c>
      <c r="C1107" t="s">
        <v>1629</v>
      </c>
      <c r="D1107" s="200" t="s">
        <v>1630</v>
      </c>
      <c r="G1107" s="110" t="str">
        <f t="shared" si="17"/>
        <v>1</v>
      </c>
      <c r="I1107">
        <v>141.11280500000001</v>
      </c>
      <c r="J1107">
        <v>40.866073999999998</v>
      </c>
      <c r="S1107" s="110" t="s">
        <v>1631</v>
      </c>
    </row>
    <row r="1108" spans="2:19" x14ac:dyDescent="0.2">
      <c r="B1108">
        <v>6291</v>
      </c>
      <c r="C1108" t="s">
        <v>1632</v>
      </c>
      <c r="D1108" s="200" t="s">
        <v>1633</v>
      </c>
      <c r="G1108" s="110" t="str">
        <f t="shared" si="17"/>
        <v>1</v>
      </c>
      <c r="I1108">
        <v>141.11503099999999</v>
      </c>
      <c r="J1108">
        <v>40.863149</v>
      </c>
      <c r="S1108" s="110" t="s">
        <v>1634</v>
      </c>
    </row>
    <row r="1109" spans="2:19" x14ac:dyDescent="0.2">
      <c r="B1109">
        <v>6301</v>
      </c>
      <c r="C1109" t="s">
        <v>1635</v>
      </c>
      <c r="D1109" t="s">
        <v>1636</v>
      </c>
      <c r="G1109" s="110" t="str">
        <f t="shared" si="17"/>
        <v>1</v>
      </c>
      <c r="I1109">
        <v>141.117987</v>
      </c>
      <c r="J1109">
        <v>40.858075999999997</v>
      </c>
      <c r="S1109" s="110" t="s">
        <v>1637</v>
      </c>
    </row>
    <row r="1110" spans="2:19" x14ac:dyDescent="0.2">
      <c r="B1110">
        <v>6311</v>
      </c>
      <c r="C1110" t="s">
        <v>1638</v>
      </c>
      <c r="D1110" t="s">
        <v>1639</v>
      </c>
      <c r="G1110" s="110" t="str">
        <f t="shared" si="17"/>
        <v>1</v>
      </c>
      <c r="I1110">
        <v>141.11886699999999</v>
      </c>
      <c r="J1110">
        <v>40.859873999999998</v>
      </c>
      <c r="S1110" s="110" t="s">
        <v>1640</v>
      </c>
    </row>
    <row r="1111" spans="2:19" x14ac:dyDescent="0.2">
      <c r="B1111">
        <v>6321</v>
      </c>
      <c r="C1111" t="s">
        <v>1641</v>
      </c>
      <c r="D1111" t="s">
        <v>1642</v>
      </c>
      <c r="G1111" s="110" t="str">
        <f t="shared" si="17"/>
        <v>1</v>
      </c>
      <c r="I1111">
        <v>141.121726</v>
      </c>
      <c r="J1111">
        <v>40.863339000000003</v>
      </c>
      <c r="S1111" s="110" t="s">
        <v>1643</v>
      </c>
    </row>
    <row r="1112" spans="2:19" x14ac:dyDescent="0.2">
      <c r="B1112">
        <v>6331</v>
      </c>
      <c r="C1112" s="200" t="s">
        <v>1644</v>
      </c>
      <c r="D1112" s="201" t="s">
        <v>1645</v>
      </c>
      <c r="G1112" s="110" t="str">
        <f t="shared" si="17"/>
        <v>1</v>
      </c>
      <c r="I1112">
        <v>141.122895</v>
      </c>
      <c r="J1112">
        <v>40.866881999999997</v>
      </c>
      <c r="S1112" s="110" t="s">
        <v>1646</v>
      </c>
    </row>
    <row r="1113" spans="2:19" x14ac:dyDescent="0.2">
      <c r="B1113">
        <v>7083</v>
      </c>
      <c r="C1113" t="s">
        <v>1624</v>
      </c>
      <c r="D1113" s="200" t="s">
        <v>1625</v>
      </c>
      <c r="G1113" s="110" t="str">
        <f t="shared" si="17"/>
        <v>3</v>
      </c>
      <c r="I1113">
        <v>141.128367</v>
      </c>
      <c r="J1113">
        <v>40.860340999999998</v>
      </c>
      <c r="S1113" s="110" t="s">
        <v>1626</v>
      </c>
    </row>
    <row r="1114" spans="2:19" x14ac:dyDescent="0.2">
      <c r="B1114">
        <v>6351</v>
      </c>
      <c r="C1114" s="200" t="s">
        <v>1647</v>
      </c>
      <c r="D1114" s="200" t="s">
        <v>1648</v>
      </c>
      <c r="G1114" s="110" t="str">
        <f t="shared" si="17"/>
        <v>1</v>
      </c>
      <c r="I1114">
        <v>141.130438</v>
      </c>
      <c r="J1114">
        <v>40.863275000000002</v>
      </c>
      <c r="S1114" s="110" t="s">
        <v>1649</v>
      </c>
    </row>
    <row r="1115" spans="2:19" x14ac:dyDescent="0.2">
      <c r="B1115">
        <v>6361</v>
      </c>
      <c r="C1115" t="s">
        <v>1650</v>
      </c>
      <c r="D1115" t="s">
        <v>1651</v>
      </c>
      <c r="G1115" s="110" t="str">
        <f t="shared" si="17"/>
        <v>1</v>
      </c>
      <c r="I1115">
        <v>141.13113000000001</v>
      </c>
      <c r="J1115">
        <v>40.866605999999997</v>
      </c>
      <c r="S1115" s="110" t="s">
        <v>1652</v>
      </c>
    </row>
    <row r="1116" spans="2:19" x14ac:dyDescent="0.2">
      <c r="B1116">
        <v>6371</v>
      </c>
      <c r="C1116" t="s">
        <v>1653</v>
      </c>
      <c r="D1116" t="s">
        <v>1654</v>
      </c>
      <c r="G1116" s="110" t="str">
        <f t="shared" si="17"/>
        <v>1</v>
      </c>
      <c r="I1116">
        <v>141.13538399999999</v>
      </c>
      <c r="J1116">
        <v>40.868313999999998</v>
      </c>
      <c r="S1116" s="110" t="s">
        <v>1655</v>
      </c>
    </row>
    <row r="1117" spans="2:19" x14ac:dyDescent="0.2">
      <c r="B1117">
        <v>6381</v>
      </c>
      <c r="C1117" t="s">
        <v>1656</v>
      </c>
      <c r="D1117" t="s">
        <v>1657</v>
      </c>
      <c r="G1117" s="110" t="str">
        <f t="shared" si="17"/>
        <v>1</v>
      </c>
      <c r="I1117">
        <v>141.140861</v>
      </c>
      <c r="J1117">
        <v>40.871167999999997</v>
      </c>
      <c r="S1117" s="110" t="s">
        <v>1658</v>
      </c>
    </row>
    <row r="1118" spans="2:19" x14ac:dyDescent="0.2">
      <c r="B1118">
        <v>6391</v>
      </c>
      <c r="C1118" t="s">
        <v>1659</v>
      </c>
      <c r="D1118" t="s">
        <v>1660</v>
      </c>
      <c r="G1118" s="110" t="str">
        <f t="shared" si="17"/>
        <v>1</v>
      </c>
      <c r="I1118">
        <v>141.141032</v>
      </c>
      <c r="J1118">
        <v>40.876047999999997</v>
      </c>
      <c r="S1118" s="110" t="s">
        <v>1661</v>
      </c>
    </row>
    <row r="1119" spans="2:19" x14ac:dyDescent="0.2">
      <c r="B1119">
        <v>6401</v>
      </c>
      <c r="C1119" t="s">
        <v>1662</v>
      </c>
      <c r="D1119" s="200" t="s">
        <v>1663</v>
      </c>
      <c r="G1119" s="110" t="str">
        <f t="shared" si="17"/>
        <v>1</v>
      </c>
      <c r="I1119">
        <v>141.151128</v>
      </c>
      <c r="J1119">
        <v>40.880344999999998</v>
      </c>
      <c r="S1119" s="110" t="s">
        <v>1664</v>
      </c>
    </row>
    <row r="1120" spans="2:19" x14ac:dyDescent="0.2">
      <c r="B1120">
        <v>6411</v>
      </c>
      <c r="C1120" t="s">
        <v>1665</v>
      </c>
      <c r="D1120" t="s">
        <v>1666</v>
      </c>
      <c r="G1120" s="110" t="str">
        <f t="shared" si="17"/>
        <v>1</v>
      </c>
      <c r="I1120">
        <v>141.16007099999999</v>
      </c>
      <c r="J1120">
        <v>40.885272999999998</v>
      </c>
      <c r="S1120" s="110" t="s">
        <v>1667</v>
      </c>
    </row>
    <row r="1121" spans="2:19" x14ac:dyDescent="0.2">
      <c r="B1121">
        <v>6421</v>
      </c>
      <c r="C1121" t="s">
        <v>1668</v>
      </c>
      <c r="D1121" t="s">
        <v>1669</v>
      </c>
      <c r="G1121" s="110" t="str">
        <f t="shared" si="17"/>
        <v>1</v>
      </c>
      <c r="I1121">
        <v>141.16735</v>
      </c>
      <c r="J1121">
        <v>40.885581000000002</v>
      </c>
      <c r="S1121" s="110" t="s">
        <v>1670</v>
      </c>
    </row>
    <row r="1122" spans="2:19" x14ac:dyDescent="0.2">
      <c r="B1122">
        <v>6431</v>
      </c>
      <c r="C1122" t="s">
        <v>1671</v>
      </c>
      <c r="D1122" t="s">
        <v>1672</v>
      </c>
      <c r="G1122" s="110" t="str">
        <f t="shared" si="17"/>
        <v>1</v>
      </c>
      <c r="I1122">
        <v>141.19749300000001</v>
      </c>
      <c r="J1122">
        <v>40.889909000000003</v>
      </c>
      <c r="S1122" s="110" t="s">
        <v>1673</v>
      </c>
    </row>
    <row r="1123" spans="2:19" x14ac:dyDescent="0.2">
      <c r="B1123">
        <v>6441</v>
      </c>
      <c r="C1123" t="s">
        <v>1674</v>
      </c>
      <c r="D1123" t="s">
        <v>1675</v>
      </c>
      <c r="G1123" s="110" t="str">
        <f t="shared" si="17"/>
        <v>1</v>
      </c>
      <c r="I1123">
        <v>141.22134800000001</v>
      </c>
      <c r="J1123">
        <v>40.884034999999997</v>
      </c>
      <c r="S1123" s="110" t="s">
        <v>1676</v>
      </c>
    </row>
    <row r="1124" spans="2:19" x14ac:dyDescent="0.2">
      <c r="B1124">
        <v>6451</v>
      </c>
      <c r="C1124" t="s">
        <v>1677</v>
      </c>
      <c r="D1124" t="s">
        <v>1678</v>
      </c>
      <c r="G1124" s="110" t="str">
        <f t="shared" si="17"/>
        <v>1</v>
      </c>
      <c r="I1124">
        <v>141.23175800000001</v>
      </c>
      <c r="J1124">
        <v>40.889270000000003</v>
      </c>
      <c r="S1124" s="110" t="s">
        <v>1679</v>
      </c>
    </row>
    <row r="1125" spans="2:19" x14ac:dyDescent="0.2">
      <c r="B1125">
        <v>6461</v>
      </c>
      <c r="C1125" t="s">
        <v>1680</v>
      </c>
      <c r="D1125" t="s">
        <v>1681</v>
      </c>
      <c r="G1125" s="110" t="str">
        <f t="shared" si="17"/>
        <v>1</v>
      </c>
      <c r="I1125">
        <v>141.254324</v>
      </c>
      <c r="J1125">
        <v>40.889887999999999</v>
      </c>
      <c r="S1125" s="110" t="s">
        <v>1682</v>
      </c>
    </row>
    <row r="1126" spans="2:19" x14ac:dyDescent="0.2">
      <c r="B1126">
        <v>6471</v>
      </c>
      <c r="C1126" t="s">
        <v>1683</v>
      </c>
      <c r="D1126" t="s">
        <v>1684</v>
      </c>
      <c r="G1126" s="110" t="str">
        <f t="shared" si="17"/>
        <v>1</v>
      </c>
      <c r="I1126">
        <v>141.268824</v>
      </c>
      <c r="J1126">
        <v>40.885463000000001</v>
      </c>
      <c r="S1126" s="110" t="s">
        <v>1685</v>
      </c>
    </row>
    <row r="1127" spans="2:19" x14ac:dyDescent="0.2">
      <c r="B1127">
        <v>6481</v>
      </c>
      <c r="C1127" t="s">
        <v>1686</v>
      </c>
      <c r="D1127" t="s">
        <v>1687</v>
      </c>
      <c r="G1127" s="110" t="str">
        <f t="shared" si="17"/>
        <v>1</v>
      </c>
      <c r="I1127">
        <v>141.27092099999999</v>
      </c>
      <c r="J1127">
        <v>40.888635000000001</v>
      </c>
      <c r="S1127" s="110" t="s">
        <v>1688</v>
      </c>
    </row>
    <row r="1128" spans="2:19" x14ac:dyDescent="0.2">
      <c r="B1128">
        <v>6491</v>
      </c>
      <c r="C1128" t="s">
        <v>1689</v>
      </c>
      <c r="D1128" s="200" t="s">
        <v>1690</v>
      </c>
      <c r="G1128" s="110" t="str">
        <f t="shared" si="17"/>
        <v>1</v>
      </c>
      <c r="I1128">
        <v>141.27773400000001</v>
      </c>
      <c r="J1128">
        <v>40.888679000000003</v>
      </c>
      <c r="S1128" s="110" t="s">
        <v>1691</v>
      </c>
    </row>
    <row r="1129" spans="2:19" x14ac:dyDescent="0.2">
      <c r="B1129">
        <v>6501</v>
      </c>
      <c r="C1129" t="s">
        <v>1692</v>
      </c>
      <c r="D1129" t="s">
        <v>1693</v>
      </c>
      <c r="G1129" s="110" t="str">
        <f t="shared" si="17"/>
        <v>1</v>
      </c>
      <c r="I1129">
        <v>141.28395699999999</v>
      </c>
      <c r="J1129">
        <v>40.888115999999997</v>
      </c>
      <c r="S1129" s="110" t="s">
        <v>1694</v>
      </c>
    </row>
    <row r="1130" spans="2:19" x14ac:dyDescent="0.2">
      <c r="B1130">
        <v>6511</v>
      </c>
      <c r="C1130" t="s">
        <v>1695</v>
      </c>
      <c r="D1130" t="s">
        <v>1696</v>
      </c>
      <c r="G1130" s="110" t="str">
        <f t="shared" si="17"/>
        <v>1</v>
      </c>
      <c r="I1130">
        <v>141.28433699999999</v>
      </c>
      <c r="J1130">
        <v>40.886671999999997</v>
      </c>
      <c r="S1130" s="110" t="s">
        <v>1697</v>
      </c>
    </row>
    <row r="1131" spans="2:19" x14ac:dyDescent="0.2">
      <c r="B1131">
        <v>6521</v>
      </c>
      <c r="C1131" t="s">
        <v>1698</v>
      </c>
      <c r="D1131" t="s">
        <v>1699</v>
      </c>
      <c r="G1131" s="110" t="str">
        <f t="shared" si="17"/>
        <v>1</v>
      </c>
      <c r="I1131">
        <v>141.285008</v>
      </c>
      <c r="J1131">
        <v>40.881264999999999</v>
      </c>
      <c r="S1131" s="110" t="s">
        <v>1700</v>
      </c>
    </row>
    <row r="1132" spans="2:19" x14ac:dyDescent="0.2">
      <c r="B1132">
        <v>6531</v>
      </c>
      <c r="C1132" t="s">
        <v>1701</v>
      </c>
      <c r="D1132" t="s">
        <v>1702</v>
      </c>
      <c r="G1132" s="110" t="str">
        <f t="shared" si="17"/>
        <v>1</v>
      </c>
      <c r="I1132">
        <v>141.287363</v>
      </c>
      <c r="J1132">
        <v>40.880437000000001</v>
      </c>
      <c r="S1132" s="110" t="s">
        <v>1703</v>
      </c>
    </row>
    <row r="1133" spans="2:19" x14ac:dyDescent="0.2">
      <c r="B1133">
        <v>6541</v>
      </c>
      <c r="C1133" t="s">
        <v>1704</v>
      </c>
      <c r="D1133" s="200" t="s">
        <v>1705</v>
      </c>
      <c r="G1133" s="110" t="str">
        <f t="shared" si="17"/>
        <v>1</v>
      </c>
      <c r="I1133">
        <v>141.293902</v>
      </c>
      <c r="J1133">
        <v>40.878067999999999</v>
      </c>
      <c r="S1133" s="110" t="s">
        <v>1706</v>
      </c>
    </row>
    <row r="1134" spans="2:19" x14ac:dyDescent="0.2">
      <c r="B1134">
        <v>6551</v>
      </c>
      <c r="C1134" t="s">
        <v>1707</v>
      </c>
      <c r="D1134" t="s">
        <v>1708</v>
      </c>
      <c r="G1134" s="110" t="str">
        <f t="shared" si="17"/>
        <v>1</v>
      </c>
      <c r="I1134">
        <v>141.31308000000001</v>
      </c>
      <c r="J1134">
        <v>40.876336000000002</v>
      </c>
      <c r="S1134" s="110" t="s">
        <v>1709</v>
      </c>
    </row>
    <row r="1135" spans="2:19" x14ac:dyDescent="0.2">
      <c r="B1135">
        <v>6561</v>
      </c>
      <c r="C1135" t="s">
        <v>1710</v>
      </c>
      <c r="D1135" t="s">
        <v>1711</v>
      </c>
      <c r="G1135" s="110" t="str">
        <f t="shared" si="17"/>
        <v>1</v>
      </c>
      <c r="I1135">
        <v>141.321878</v>
      </c>
      <c r="J1135">
        <v>40.874388000000003</v>
      </c>
      <c r="S1135" s="110" t="s">
        <v>1712</v>
      </c>
    </row>
    <row r="1136" spans="2:19" x14ac:dyDescent="0.2">
      <c r="B1136">
        <v>6571</v>
      </c>
      <c r="C1136" t="s">
        <v>1713</v>
      </c>
      <c r="D1136" t="s">
        <v>1714</v>
      </c>
      <c r="G1136" s="110" t="str">
        <f t="shared" si="17"/>
        <v>1</v>
      </c>
      <c r="I1136">
        <v>141.33829299999999</v>
      </c>
      <c r="J1136">
        <v>40.869556000000003</v>
      </c>
      <c r="S1136" s="110" t="s">
        <v>1715</v>
      </c>
    </row>
    <row r="1137" spans="2:19" x14ac:dyDescent="0.2">
      <c r="B1137">
        <v>6581</v>
      </c>
      <c r="C1137" t="s">
        <v>1716</v>
      </c>
      <c r="D1137" t="s">
        <v>1717</v>
      </c>
      <c r="G1137" s="110" t="str">
        <f t="shared" si="17"/>
        <v>1</v>
      </c>
      <c r="I1137">
        <v>141.37818300000001</v>
      </c>
      <c r="J1137">
        <v>40.920991999999998</v>
      </c>
      <c r="S1137" s="110" t="s">
        <v>1718</v>
      </c>
    </row>
    <row r="1138" spans="2:19" x14ac:dyDescent="0.2">
      <c r="B1138">
        <v>6591</v>
      </c>
      <c r="C1138" t="s">
        <v>1719</v>
      </c>
      <c r="D1138" t="s">
        <v>1720</v>
      </c>
      <c r="G1138" s="110" t="str">
        <f t="shared" si="17"/>
        <v>1</v>
      </c>
      <c r="I1138">
        <v>141.37291500000001</v>
      </c>
      <c r="J1138">
        <v>40.960839</v>
      </c>
      <c r="S1138" s="110" t="s">
        <v>1721</v>
      </c>
    </row>
    <row r="1139" spans="2:19" x14ac:dyDescent="0.2">
      <c r="B1139">
        <v>6601</v>
      </c>
      <c r="C1139" t="s">
        <v>1722</v>
      </c>
      <c r="D1139" t="s">
        <v>1723</v>
      </c>
      <c r="G1139" s="110" t="str">
        <f t="shared" si="17"/>
        <v>1</v>
      </c>
      <c r="I1139">
        <v>141.374728</v>
      </c>
      <c r="J1139">
        <v>40.965057000000002</v>
      </c>
      <c r="S1139" s="110" t="s">
        <v>1724</v>
      </c>
    </row>
    <row r="1140" spans="2:19" x14ac:dyDescent="0.2">
      <c r="B1140">
        <v>6611</v>
      </c>
      <c r="C1140" s="200" t="s">
        <v>1725</v>
      </c>
      <c r="D1140" s="200" t="s">
        <v>1726</v>
      </c>
      <c r="G1140" s="110" t="str">
        <f t="shared" si="17"/>
        <v>1</v>
      </c>
      <c r="I1140">
        <v>141.37473299999999</v>
      </c>
      <c r="J1140">
        <v>40.966771000000001</v>
      </c>
      <c r="S1140" s="110" t="s">
        <v>1727</v>
      </c>
    </row>
    <row r="1141" spans="2:19" x14ac:dyDescent="0.2">
      <c r="B1141">
        <v>6621</v>
      </c>
      <c r="C1141" t="s">
        <v>1728</v>
      </c>
      <c r="D1141" t="s">
        <v>1729</v>
      </c>
      <c r="G1141" s="110" t="str">
        <f t="shared" si="17"/>
        <v>1</v>
      </c>
      <c r="I1141">
        <v>141.36937699999999</v>
      </c>
      <c r="J1141">
        <v>40.969234999999998</v>
      </c>
      <c r="S1141" s="110" t="s">
        <v>1730</v>
      </c>
    </row>
    <row r="1142" spans="2:19" x14ac:dyDescent="0.2">
      <c r="B1142">
        <v>6612</v>
      </c>
      <c r="C1142" s="200" t="s">
        <v>1725</v>
      </c>
      <c r="D1142" s="200" t="s">
        <v>1726</v>
      </c>
      <c r="G1142" s="110" t="str">
        <f t="shared" si="17"/>
        <v>2</v>
      </c>
      <c r="I1142">
        <v>141.37484599999999</v>
      </c>
      <c r="J1142">
        <v>40.966718</v>
      </c>
      <c r="S1142" s="110" t="s">
        <v>1727</v>
      </c>
    </row>
    <row r="1143" spans="2:19" x14ac:dyDescent="0.2">
      <c r="B1143">
        <v>6602</v>
      </c>
      <c r="C1143" t="s">
        <v>1722</v>
      </c>
      <c r="D1143" t="s">
        <v>1723</v>
      </c>
      <c r="G1143" s="110" t="str">
        <f t="shared" si="17"/>
        <v>2</v>
      </c>
      <c r="I1143">
        <v>141.37459899999999</v>
      </c>
      <c r="J1143">
        <v>40.965072999999997</v>
      </c>
      <c r="S1143" s="110" t="s">
        <v>1724</v>
      </c>
    </row>
    <row r="1144" spans="2:19" x14ac:dyDescent="0.2">
      <c r="B1144">
        <v>6592</v>
      </c>
      <c r="C1144" t="s">
        <v>1719</v>
      </c>
      <c r="D1144" t="s">
        <v>1720</v>
      </c>
      <c r="G1144" s="110" t="str">
        <f t="shared" si="17"/>
        <v>2</v>
      </c>
      <c r="I1144">
        <v>141.373076</v>
      </c>
      <c r="J1144">
        <v>40.960822999999998</v>
      </c>
      <c r="S1144" s="110" t="s">
        <v>1721</v>
      </c>
    </row>
    <row r="1145" spans="2:19" x14ac:dyDescent="0.2">
      <c r="B1145">
        <v>6582</v>
      </c>
      <c r="C1145" t="s">
        <v>1716</v>
      </c>
      <c r="D1145" t="s">
        <v>1717</v>
      </c>
      <c r="G1145" s="110" t="str">
        <f t="shared" si="17"/>
        <v>2</v>
      </c>
      <c r="I1145">
        <v>141.37827899999999</v>
      </c>
      <c r="J1145">
        <v>40.92098</v>
      </c>
      <c r="S1145" s="110" t="s">
        <v>1718</v>
      </c>
    </row>
    <row r="1146" spans="2:19" x14ac:dyDescent="0.2">
      <c r="B1146">
        <v>6572</v>
      </c>
      <c r="C1146" t="s">
        <v>1713</v>
      </c>
      <c r="D1146" t="s">
        <v>1714</v>
      </c>
      <c r="G1146" s="110" t="str">
        <f t="shared" si="17"/>
        <v>2</v>
      </c>
      <c r="I1146">
        <v>141.33828700000001</v>
      </c>
      <c r="J1146">
        <v>40.869450999999998</v>
      </c>
      <c r="S1146" s="110" t="s">
        <v>1715</v>
      </c>
    </row>
    <row r="1147" spans="2:19" x14ac:dyDescent="0.2">
      <c r="B1147">
        <v>6562</v>
      </c>
      <c r="C1147" t="s">
        <v>1710</v>
      </c>
      <c r="D1147" t="s">
        <v>1711</v>
      </c>
      <c r="G1147" s="110" t="str">
        <f t="shared" si="17"/>
        <v>2</v>
      </c>
      <c r="I1147">
        <v>141.32181299999999</v>
      </c>
      <c r="J1147">
        <v>40.874310999999999</v>
      </c>
      <c r="S1147" s="110" t="s">
        <v>1712</v>
      </c>
    </row>
    <row r="1148" spans="2:19" x14ac:dyDescent="0.2">
      <c r="B1148">
        <v>6552</v>
      </c>
      <c r="C1148" t="s">
        <v>1707</v>
      </c>
      <c r="D1148" t="s">
        <v>1708</v>
      </c>
      <c r="G1148" s="110" t="str">
        <f t="shared" si="17"/>
        <v>2</v>
      </c>
      <c r="I1148">
        <v>141.31309099999999</v>
      </c>
      <c r="J1148">
        <v>40.876241999999998</v>
      </c>
      <c r="S1148" s="110" t="s">
        <v>1709</v>
      </c>
    </row>
    <row r="1149" spans="2:19" x14ac:dyDescent="0.2">
      <c r="B1149">
        <v>6542</v>
      </c>
      <c r="C1149" t="s">
        <v>1704</v>
      </c>
      <c r="D1149" s="200" t="s">
        <v>1705</v>
      </c>
      <c r="G1149" s="110" t="str">
        <f t="shared" si="17"/>
        <v>2</v>
      </c>
      <c r="I1149">
        <v>141.29385400000001</v>
      </c>
      <c r="J1149">
        <v>40.877986999999997</v>
      </c>
      <c r="S1149" s="110" t="s">
        <v>1706</v>
      </c>
    </row>
    <row r="1150" spans="2:19" x14ac:dyDescent="0.2">
      <c r="B1150">
        <v>6532</v>
      </c>
      <c r="C1150" t="s">
        <v>1701</v>
      </c>
      <c r="D1150" t="s">
        <v>1702</v>
      </c>
      <c r="G1150" s="110" t="str">
        <f t="shared" si="17"/>
        <v>2</v>
      </c>
      <c r="I1150">
        <v>141.28732500000001</v>
      </c>
      <c r="J1150">
        <v>40.880375999999998</v>
      </c>
      <c r="S1150" s="110" t="s">
        <v>1703</v>
      </c>
    </row>
    <row r="1151" spans="2:19" x14ac:dyDescent="0.2">
      <c r="B1151">
        <v>6522</v>
      </c>
      <c r="C1151" t="s">
        <v>1698</v>
      </c>
      <c r="D1151" t="s">
        <v>1699</v>
      </c>
      <c r="G1151" s="110" t="str">
        <f t="shared" si="17"/>
        <v>2</v>
      </c>
      <c r="I1151">
        <v>141.28496799999999</v>
      </c>
      <c r="J1151">
        <v>40.881202000000002</v>
      </c>
      <c r="S1151" s="110" t="s">
        <v>1700</v>
      </c>
    </row>
    <row r="1152" spans="2:19" x14ac:dyDescent="0.2">
      <c r="B1152">
        <v>6512</v>
      </c>
      <c r="C1152" t="s">
        <v>1695</v>
      </c>
      <c r="D1152" t="s">
        <v>1696</v>
      </c>
      <c r="G1152" s="110" t="str">
        <f t="shared" si="17"/>
        <v>2</v>
      </c>
      <c r="I1152">
        <v>141.28411199999999</v>
      </c>
      <c r="J1152">
        <v>40.886719999999997</v>
      </c>
      <c r="S1152" s="110" t="s">
        <v>1697</v>
      </c>
    </row>
    <row r="1153" spans="2:19" x14ac:dyDescent="0.2">
      <c r="B1153">
        <v>6502</v>
      </c>
      <c r="C1153" t="s">
        <v>1692</v>
      </c>
      <c r="D1153" t="s">
        <v>1693</v>
      </c>
      <c r="G1153" s="110" t="str">
        <f t="shared" si="17"/>
        <v>2</v>
      </c>
      <c r="I1153">
        <v>141.283849</v>
      </c>
      <c r="J1153">
        <v>40.888013999999998</v>
      </c>
      <c r="S1153" s="110" t="s">
        <v>1694</v>
      </c>
    </row>
    <row r="1154" spans="2:19" x14ac:dyDescent="0.2">
      <c r="B1154">
        <v>6492</v>
      </c>
      <c r="C1154" t="s">
        <v>1689</v>
      </c>
      <c r="D1154" s="200" t="s">
        <v>1731</v>
      </c>
      <c r="G1154" s="110" t="str">
        <f t="shared" si="17"/>
        <v>2</v>
      </c>
      <c r="I1154">
        <v>141.277793</v>
      </c>
      <c r="J1154">
        <v>40.888545999999998</v>
      </c>
      <c r="S1154" s="110" t="s">
        <v>1691</v>
      </c>
    </row>
    <row r="1155" spans="2:19" x14ac:dyDescent="0.2">
      <c r="B1155">
        <v>6482</v>
      </c>
      <c r="C1155" t="s">
        <v>1686</v>
      </c>
      <c r="D1155" t="s">
        <v>1687</v>
      </c>
      <c r="G1155" s="110" t="str">
        <f t="shared" si="17"/>
        <v>2</v>
      </c>
      <c r="I1155">
        <v>141.270937</v>
      </c>
      <c r="J1155">
        <v>40.888513000000003</v>
      </c>
      <c r="S1155" s="110" t="s">
        <v>1688</v>
      </c>
    </row>
    <row r="1156" spans="2:19" x14ac:dyDescent="0.2">
      <c r="B1156">
        <v>6472</v>
      </c>
      <c r="C1156" t="s">
        <v>1683</v>
      </c>
      <c r="D1156" t="s">
        <v>1684</v>
      </c>
      <c r="G1156" s="110" t="str">
        <f t="shared" si="17"/>
        <v>2</v>
      </c>
      <c r="I1156">
        <v>141.26875899999999</v>
      </c>
      <c r="J1156">
        <v>40.885393999999998</v>
      </c>
      <c r="S1156" s="110" t="s">
        <v>1685</v>
      </c>
    </row>
    <row r="1157" spans="2:19" x14ac:dyDescent="0.2">
      <c r="B1157">
        <v>6462</v>
      </c>
      <c r="C1157" t="s">
        <v>1680</v>
      </c>
      <c r="D1157" t="s">
        <v>1681</v>
      </c>
      <c r="G1157" s="110" t="str">
        <f t="shared" ref="G1157:G1207" si="18">RIGHT(B1157,1)</f>
        <v>2</v>
      </c>
      <c r="I1157">
        <v>141.25422699999999</v>
      </c>
      <c r="J1157">
        <v>40.889798999999996</v>
      </c>
      <c r="S1157" s="110" t="s">
        <v>1682</v>
      </c>
    </row>
    <row r="1158" spans="2:19" x14ac:dyDescent="0.2">
      <c r="B1158">
        <v>6452</v>
      </c>
      <c r="C1158" t="s">
        <v>1677</v>
      </c>
      <c r="D1158" t="s">
        <v>1678</v>
      </c>
      <c r="G1158" s="110" t="str">
        <f t="shared" si="18"/>
        <v>2</v>
      </c>
      <c r="I1158">
        <v>141.231796</v>
      </c>
      <c r="J1158">
        <v>40.889187999999997</v>
      </c>
      <c r="S1158" s="110" t="s">
        <v>1679</v>
      </c>
    </row>
    <row r="1159" spans="2:19" x14ac:dyDescent="0.2">
      <c r="B1159">
        <v>6442</v>
      </c>
      <c r="C1159" t="s">
        <v>1674</v>
      </c>
      <c r="D1159" t="s">
        <v>1675</v>
      </c>
      <c r="G1159" s="110" t="str">
        <f t="shared" si="18"/>
        <v>2</v>
      </c>
      <c r="I1159">
        <v>141.221295</v>
      </c>
      <c r="J1159">
        <v>40.883921999999998</v>
      </c>
      <c r="S1159" s="110" t="s">
        <v>1676</v>
      </c>
    </row>
    <row r="1160" spans="2:19" x14ac:dyDescent="0.2">
      <c r="B1160">
        <v>6432</v>
      </c>
      <c r="C1160" t="s">
        <v>1671</v>
      </c>
      <c r="D1160" t="s">
        <v>1672</v>
      </c>
      <c r="G1160" s="110" t="str">
        <f t="shared" si="18"/>
        <v>2</v>
      </c>
      <c r="I1160">
        <v>141.19746599999999</v>
      </c>
      <c r="J1160">
        <v>40.889843999999997</v>
      </c>
      <c r="S1160" s="110" t="s">
        <v>1673</v>
      </c>
    </row>
    <row r="1161" spans="2:19" x14ac:dyDescent="0.2">
      <c r="B1161">
        <v>6422</v>
      </c>
      <c r="C1161" t="s">
        <v>1668</v>
      </c>
      <c r="D1161" t="s">
        <v>1669</v>
      </c>
      <c r="G1161" s="110" t="str">
        <f t="shared" si="18"/>
        <v>2</v>
      </c>
      <c r="I1161">
        <v>141.16740899999999</v>
      </c>
      <c r="J1161">
        <v>40.885511999999999</v>
      </c>
      <c r="S1161" s="110" t="s">
        <v>1670</v>
      </c>
    </row>
    <row r="1162" spans="2:19" x14ac:dyDescent="0.2">
      <c r="B1162">
        <v>6412</v>
      </c>
      <c r="C1162" t="s">
        <v>1665</v>
      </c>
      <c r="D1162" t="s">
        <v>1666</v>
      </c>
      <c r="G1162" s="110" t="str">
        <f t="shared" si="18"/>
        <v>2</v>
      </c>
      <c r="I1162">
        <v>141.16000600000001</v>
      </c>
      <c r="J1162">
        <v>40.885187999999999</v>
      </c>
      <c r="S1162" s="110" t="s">
        <v>1667</v>
      </c>
    </row>
    <row r="1163" spans="2:19" x14ac:dyDescent="0.2">
      <c r="B1163">
        <v>6402</v>
      </c>
      <c r="C1163" t="s">
        <v>1662</v>
      </c>
      <c r="D1163" s="200" t="s">
        <v>1663</v>
      </c>
      <c r="G1163" s="110" t="str">
        <f t="shared" si="18"/>
        <v>2</v>
      </c>
      <c r="I1163">
        <v>141.15121400000001</v>
      </c>
      <c r="J1163">
        <v>40.880262999999999</v>
      </c>
      <c r="S1163" s="110" t="s">
        <v>1664</v>
      </c>
    </row>
    <row r="1164" spans="2:19" x14ac:dyDescent="0.2">
      <c r="B1164">
        <v>6392</v>
      </c>
      <c r="C1164" t="s">
        <v>1659</v>
      </c>
      <c r="D1164" t="s">
        <v>1660</v>
      </c>
      <c r="G1164" s="110" t="str">
        <f t="shared" si="18"/>
        <v>2</v>
      </c>
      <c r="I1164">
        <v>141.140737</v>
      </c>
      <c r="J1164">
        <v>40.875858000000001</v>
      </c>
      <c r="S1164" s="110" t="s">
        <v>1661</v>
      </c>
    </row>
    <row r="1165" spans="2:19" x14ac:dyDescent="0.2">
      <c r="B1165">
        <v>6382</v>
      </c>
      <c r="C1165" t="s">
        <v>1656</v>
      </c>
      <c r="D1165" t="s">
        <v>1657</v>
      </c>
      <c r="G1165" s="110" t="str">
        <f t="shared" si="18"/>
        <v>2</v>
      </c>
      <c r="I1165">
        <v>141.140941</v>
      </c>
      <c r="J1165">
        <v>40.871099000000001</v>
      </c>
      <c r="S1165" s="110" t="s">
        <v>1658</v>
      </c>
    </row>
    <row r="1166" spans="2:19" x14ac:dyDescent="0.2">
      <c r="B1166">
        <v>6372</v>
      </c>
      <c r="C1166" t="s">
        <v>1653</v>
      </c>
      <c r="D1166" t="s">
        <v>1654</v>
      </c>
      <c r="G1166" s="110" t="str">
        <f t="shared" si="18"/>
        <v>2</v>
      </c>
      <c r="I1166">
        <v>141.13541599999999</v>
      </c>
      <c r="J1166">
        <v>40.868257</v>
      </c>
      <c r="S1166" s="110" t="s">
        <v>1655</v>
      </c>
    </row>
    <row r="1167" spans="2:19" x14ac:dyDescent="0.2">
      <c r="B1167">
        <v>6362</v>
      </c>
      <c r="C1167" t="s">
        <v>1650</v>
      </c>
      <c r="D1167" t="s">
        <v>1651</v>
      </c>
      <c r="G1167" s="110" t="str">
        <f t="shared" si="18"/>
        <v>2</v>
      </c>
      <c r="I1167">
        <v>141.13127399999999</v>
      </c>
      <c r="J1167">
        <v>40.866613999999998</v>
      </c>
      <c r="S1167" s="110" t="s">
        <v>1652</v>
      </c>
    </row>
    <row r="1168" spans="2:19" x14ac:dyDescent="0.2">
      <c r="B1168">
        <v>6352</v>
      </c>
      <c r="C1168" s="200" t="s">
        <v>1647</v>
      </c>
      <c r="D1168" s="201" t="s">
        <v>1648</v>
      </c>
      <c r="G1168" s="110" t="str">
        <f t="shared" si="18"/>
        <v>2</v>
      </c>
      <c r="I1168">
        <v>141.130561</v>
      </c>
      <c r="J1168">
        <v>40.863238000000003</v>
      </c>
      <c r="S1168" s="110" t="s">
        <v>1649</v>
      </c>
    </row>
    <row r="1169" spans="2:19" x14ac:dyDescent="0.2">
      <c r="B1169">
        <v>7084</v>
      </c>
      <c r="C1169" t="s">
        <v>1624</v>
      </c>
      <c r="D1169" t="s">
        <v>1732</v>
      </c>
      <c r="G1169" s="110" t="str">
        <f t="shared" si="18"/>
        <v>4</v>
      </c>
      <c r="I1169">
        <v>141.128254</v>
      </c>
      <c r="J1169">
        <v>40.860380999999997</v>
      </c>
      <c r="S1169" s="110" t="s">
        <v>1626</v>
      </c>
    </row>
    <row r="1170" spans="2:19" x14ac:dyDescent="0.2">
      <c r="B1170">
        <v>6332</v>
      </c>
      <c r="C1170" s="200" t="s">
        <v>1733</v>
      </c>
      <c r="D1170" s="200" t="s">
        <v>1734</v>
      </c>
      <c r="G1170" s="110" t="str">
        <f t="shared" si="18"/>
        <v>2</v>
      </c>
      <c r="I1170">
        <v>141.123062</v>
      </c>
      <c r="J1170">
        <v>40.866909999999997</v>
      </c>
      <c r="S1170" s="110" t="s">
        <v>1646</v>
      </c>
    </row>
    <row r="1171" spans="2:19" x14ac:dyDescent="0.2">
      <c r="B1171">
        <v>6322</v>
      </c>
      <c r="C1171" t="s">
        <v>1641</v>
      </c>
      <c r="D1171" t="s">
        <v>1642</v>
      </c>
      <c r="G1171" s="110" t="str">
        <f t="shared" si="18"/>
        <v>2</v>
      </c>
      <c r="I1171">
        <v>141.121678</v>
      </c>
      <c r="J1171">
        <v>40.863408</v>
      </c>
      <c r="S1171" s="110" t="s">
        <v>1643</v>
      </c>
    </row>
    <row r="1172" spans="2:19" x14ac:dyDescent="0.2">
      <c r="B1172">
        <v>6312</v>
      </c>
      <c r="C1172" t="s">
        <v>1638</v>
      </c>
      <c r="D1172" t="s">
        <v>1639</v>
      </c>
      <c r="G1172" s="110" t="str">
        <f t="shared" si="18"/>
        <v>2</v>
      </c>
      <c r="I1172">
        <v>141.119001</v>
      </c>
      <c r="J1172">
        <v>40.859842</v>
      </c>
      <c r="S1172" s="110" t="s">
        <v>1640</v>
      </c>
    </row>
    <row r="1173" spans="2:19" x14ac:dyDescent="0.2">
      <c r="B1173">
        <v>6302</v>
      </c>
      <c r="C1173" t="s">
        <v>1635</v>
      </c>
      <c r="D1173" t="s">
        <v>1636</v>
      </c>
      <c r="G1173" s="110" t="str">
        <f t="shared" si="18"/>
        <v>2</v>
      </c>
      <c r="I1173">
        <v>141.118089</v>
      </c>
      <c r="J1173">
        <v>40.858105000000002</v>
      </c>
      <c r="S1173" s="110" t="s">
        <v>1637</v>
      </c>
    </row>
    <row r="1174" spans="2:19" x14ac:dyDescent="0.2">
      <c r="B1174">
        <v>6292</v>
      </c>
      <c r="C1174" t="s">
        <v>1632</v>
      </c>
      <c r="D1174" s="200" t="s">
        <v>1633</v>
      </c>
      <c r="G1174" s="110" t="str">
        <f t="shared" si="18"/>
        <v>2</v>
      </c>
      <c r="I1174">
        <v>141.11491799999999</v>
      </c>
      <c r="J1174">
        <v>40.863104</v>
      </c>
      <c r="S1174" s="110" t="s">
        <v>1634</v>
      </c>
    </row>
    <row r="1175" spans="2:19" x14ac:dyDescent="0.2">
      <c r="B1175">
        <v>6282</v>
      </c>
      <c r="C1175" t="s">
        <v>1629</v>
      </c>
      <c r="D1175" s="200" t="s">
        <v>1630</v>
      </c>
      <c r="G1175" s="110" t="str">
        <f t="shared" si="18"/>
        <v>2</v>
      </c>
      <c r="I1175">
        <v>141.11223100000001</v>
      </c>
      <c r="J1175">
        <v>40.866719000000003</v>
      </c>
      <c r="S1175" s="110" t="s">
        <v>1631</v>
      </c>
    </row>
    <row r="1176" spans="2:19" x14ac:dyDescent="0.2">
      <c r="B1176">
        <v>5961</v>
      </c>
      <c r="C1176" t="s">
        <v>1735</v>
      </c>
      <c r="D1176" t="s">
        <v>1736</v>
      </c>
      <c r="G1176" s="110" t="str">
        <f t="shared" si="18"/>
        <v>1</v>
      </c>
      <c r="I1176">
        <v>141.35434799999999</v>
      </c>
      <c r="J1176">
        <v>40.67004</v>
      </c>
      <c r="S1176" s="110"/>
    </row>
    <row r="1177" spans="2:19" x14ac:dyDescent="0.2">
      <c r="B1177">
        <v>5971</v>
      </c>
      <c r="C1177" t="s">
        <v>1737</v>
      </c>
      <c r="D1177" s="200" t="s">
        <v>1738</v>
      </c>
      <c r="G1177" s="110" t="str">
        <f t="shared" si="18"/>
        <v>1</v>
      </c>
      <c r="I1177">
        <v>141.36078599999999</v>
      </c>
      <c r="J1177">
        <v>40.670479999999998</v>
      </c>
      <c r="S1177" s="110"/>
    </row>
    <row r="1178" spans="2:19" x14ac:dyDescent="0.2">
      <c r="B1178">
        <v>5981</v>
      </c>
      <c r="C1178" t="s">
        <v>1739</v>
      </c>
      <c r="D1178" s="200" t="s">
        <v>1740</v>
      </c>
      <c r="G1178" s="110" t="str">
        <f t="shared" si="18"/>
        <v>1</v>
      </c>
      <c r="I1178">
        <v>141.364417</v>
      </c>
      <c r="J1178">
        <v>40.670845999999997</v>
      </c>
      <c r="S1178" s="110"/>
    </row>
    <row r="1179" spans="2:19" x14ac:dyDescent="0.2">
      <c r="B1179">
        <v>5991</v>
      </c>
      <c r="C1179" t="s">
        <v>1741</v>
      </c>
      <c r="D1179" t="s">
        <v>1742</v>
      </c>
      <c r="G1179" s="110" t="str">
        <f t="shared" si="18"/>
        <v>1</v>
      </c>
      <c r="I1179">
        <v>141.378692</v>
      </c>
      <c r="J1179">
        <v>40.664648</v>
      </c>
      <c r="S1179" s="110"/>
    </row>
    <row r="1180" spans="2:19" x14ac:dyDescent="0.2">
      <c r="B1180">
        <v>6001</v>
      </c>
      <c r="C1180" t="s">
        <v>1743</v>
      </c>
      <c r="D1180" s="200" t="s">
        <v>1744</v>
      </c>
      <c r="G1180" s="110" t="str">
        <f t="shared" si="18"/>
        <v>1</v>
      </c>
      <c r="I1180">
        <v>141.379143</v>
      </c>
      <c r="J1180">
        <v>40.666829</v>
      </c>
      <c r="S1180" s="110"/>
    </row>
    <row r="1181" spans="2:19" x14ac:dyDescent="0.2">
      <c r="B1181">
        <v>6011</v>
      </c>
      <c r="C1181" t="s">
        <v>1745</v>
      </c>
      <c r="D1181" t="s">
        <v>1746</v>
      </c>
      <c r="G1181" s="110" t="str">
        <f t="shared" si="18"/>
        <v>1</v>
      </c>
      <c r="I1181">
        <v>141.39771400000001</v>
      </c>
      <c r="J1181">
        <v>40.679374000000003</v>
      </c>
      <c r="S1181" s="110"/>
    </row>
    <row r="1182" spans="2:19" x14ac:dyDescent="0.2">
      <c r="B1182">
        <v>6021</v>
      </c>
      <c r="C1182" t="s">
        <v>1747</v>
      </c>
      <c r="D1182" t="s">
        <v>1748</v>
      </c>
      <c r="G1182" s="110" t="str">
        <f t="shared" si="18"/>
        <v>1</v>
      </c>
      <c r="I1182">
        <v>141.38939999999999</v>
      </c>
      <c r="J1182">
        <v>40.679442999999999</v>
      </c>
      <c r="S1182" s="110"/>
    </row>
    <row r="1183" spans="2:19" x14ac:dyDescent="0.2">
      <c r="B1183">
        <v>6031</v>
      </c>
      <c r="C1183" t="s">
        <v>1749</v>
      </c>
      <c r="D1183" t="s">
        <v>1750</v>
      </c>
      <c r="G1183" s="110" t="str">
        <f t="shared" si="18"/>
        <v>1</v>
      </c>
      <c r="I1183">
        <v>141.38509999999999</v>
      </c>
      <c r="J1183">
        <v>40.683123000000002</v>
      </c>
      <c r="S1183" s="110"/>
    </row>
    <row r="1184" spans="2:19" x14ac:dyDescent="0.2">
      <c r="B1184">
        <v>6041</v>
      </c>
      <c r="C1184" t="s">
        <v>1751</v>
      </c>
      <c r="D1184" t="s">
        <v>1752</v>
      </c>
      <c r="G1184" s="110" t="str">
        <f t="shared" si="18"/>
        <v>1</v>
      </c>
      <c r="I1184">
        <v>141.382203</v>
      </c>
      <c r="J1184">
        <v>40.684652999999997</v>
      </c>
      <c r="S1184" s="110"/>
    </row>
    <row r="1185" spans="2:19" x14ac:dyDescent="0.2">
      <c r="B1185">
        <v>6051</v>
      </c>
      <c r="C1185" t="s">
        <v>1753</v>
      </c>
      <c r="D1185" t="s">
        <v>1754</v>
      </c>
      <c r="G1185" s="110" t="str">
        <f t="shared" si="18"/>
        <v>1</v>
      </c>
      <c r="I1185">
        <v>141.38340500000001</v>
      </c>
      <c r="J1185">
        <v>40.687004000000002</v>
      </c>
      <c r="S1185" s="110"/>
    </row>
    <row r="1186" spans="2:19" x14ac:dyDescent="0.2">
      <c r="B1186">
        <v>6061</v>
      </c>
      <c r="C1186" t="s">
        <v>1755</v>
      </c>
      <c r="D1186" t="s">
        <v>1756</v>
      </c>
      <c r="G1186" s="110" t="str">
        <f t="shared" si="18"/>
        <v>1</v>
      </c>
      <c r="I1186">
        <v>141.387922</v>
      </c>
      <c r="J1186">
        <v>40.689884999999997</v>
      </c>
      <c r="S1186" s="110"/>
    </row>
    <row r="1187" spans="2:19" x14ac:dyDescent="0.2">
      <c r="B1187">
        <v>6071</v>
      </c>
      <c r="C1187" t="s">
        <v>1757</v>
      </c>
      <c r="D1187" t="s">
        <v>1758</v>
      </c>
      <c r="G1187" s="110" t="str">
        <f t="shared" si="18"/>
        <v>1</v>
      </c>
      <c r="I1187">
        <v>141.38747100000001</v>
      </c>
      <c r="J1187">
        <v>40.693809000000002</v>
      </c>
      <c r="S1187" s="110"/>
    </row>
    <row r="1188" spans="2:19" x14ac:dyDescent="0.2">
      <c r="B1188">
        <v>6081</v>
      </c>
      <c r="C1188" t="s">
        <v>1759</v>
      </c>
      <c r="D1188" t="s">
        <v>1760</v>
      </c>
      <c r="G1188" s="110" t="str">
        <f t="shared" si="18"/>
        <v>1</v>
      </c>
      <c r="I1188">
        <v>141.37707499999999</v>
      </c>
      <c r="J1188">
        <v>40.692734999999999</v>
      </c>
      <c r="S1188" s="110"/>
    </row>
    <row r="1189" spans="2:19" x14ac:dyDescent="0.2">
      <c r="B1189">
        <v>6091</v>
      </c>
      <c r="C1189" t="s">
        <v>1761</v>
      </c>
      <c r="D1189" t="s">
        <v>1762</v>
      </c>
      <c r="G1189" s="110" t="str">
        <f t="shared" si="18"/>
        <v>1</v>
      </c>
      <c r="I1189">
        <v>141.37720400000001</v>
      </c>
      <c r="J1189">
        <v>40.689349999999997</v>
      </c>
      <c r="S1189" s="110"/>
    </row>
    <row r="1190" spans="2:19" x14ac:dyDescent="0.2">
      <c r="B1190">
        <v>6101</v>
      </c>
      <c r="C1190" t="s">
        <v>1763</v>
      </c>
      <c r="D1190" s="200" t="s">
        <v>394</v>
      </c>
      <c r="G1190" s="110" t="str">
        <f t="shared" si="18"/>
        <v>1</v>
      </c>
      <c r="I1190">
        <v>141.37468000000001</v>
      </c>
      <c r="J1190">
        <v>40.686034999999997</v>
      </c>
      <c r="S1190" s="110"/>
    </row>
    <row r="1191" spans="2:19" x14ac:dyDescent="0.2">
      <c r="B1191">
        <v>5982</v>
      </c>
      <c r="C1191" t="s">
        <v>1739</v>
      </c>
      <c r="D1191" s="201" t="s">
        <v>1740</v>
      </c>
      <c r="G1191" s="110" t="str">
        <f t="shared" si="18"/>
        <v>2</v>
      </c>
      <c r="I1191">
        <v>141.364439</v>
      </c>
      <c r="J1191">
        <v>40.670769</v>
      </c>
      <c r="S1191" s="110"/>
    </row>
    <row r="1192" spans="2:19" x14ac:dyDescent="0.2">
      <c r="B1192">
        <v>5972</v>
      </c>
      <c r="C1192" t="s">
        <v>1737</v>
      </c>
      <c r="D1192" s="201" t="s">
        <v>1738</v>
      </c>
      <c r="G1192" s="110" t="str">
        <f t="shared" si="18"/>
        <v>2</v>
      </c>
      <c r="I1192">
        <v>141.360716</v>
      </c>
      <c r="J1192">
        <v>40.670426999999997</v>
      </c>
      <c r="S1192" s="110"/>
    </row>
    <row r="1193" spans="2:19" x14ac:dyDescent="0.2">
      <c r="B1193">
        <v>6102</v>
      </c>
      <c r="C1193" t="s">
        <v>1763</v>
      </c>
      <c r="D1193" s="200" t="s">
        <v>394</v>
      </c>
      <c r="G1193" s="110" t="str">
        <f t="shared" si="18"/>
        <v>2</v>
      </c>
      <c r="I1193">
        <v>141.37537699999999</v>
      </c>
      <c r="J1193">
        <v>40.686357000000001</v>
      </c>
      <c r="S1193" s="110"/>
    </row>
    <row r="1194" spans="2:19" x14ac:dyDescent="0.2">
      <c r="B1194">
        <v>6092</v>
      </c>
      <c r="C1194" t="s">
        <v>1761</v>
      </c>
      <c r="D1194" t="s">
        <v>1762</v>
      </c>
      <c r="G1194" s="110" t="str">
        <f t="shared" si="18"/>
        <v>2</v>
      </c>
      <c r="I1194">
        <v>141.37708599999999</v>
      </c>
      <c r="J1194">
        <v>40.689276999999997</v>
      </c>
      <c r="S1194" s="110"/>
    </row>
    <row r="1195" spans="2:19" x14ac:dyDescent="0.2">
      <c r="B1195">
        <v>6082</v>
      </c>
      <c r="C1195" t="s">
        <v>1759</v>
      </c>
      <c r="D1195" t="s">
        <v>1760</v>
      </c>
      <c r="G1195" s="110" t="str">
        <f t="shared" si="18"/>
        <v>2</v>
      </c>
      <c r="I1195">
        <v>141.376935</v>
      </c>
      <c r="J1195">
        <v>40.692734999999999</v>
      </c>
      <c r="S1195" s="110"/>
    </row>
    <row r="1196" spans="2:19" x14ac:dyDescent="0.2">
      <c r="B1196">
        <v>6072</v>
      </c>
      <c r="C1196" t="s">
        <v>1757</v>
      </c>
      <c r="D1196" t="s">
        <v>1758</v>
      </c>
      <c r="G1196" s="110" t="str">
        <f t="shared" si="18"/>
        <v>2</v>
      </c>
      <c r="I1196">
        <v>141.387621</v>
      </c>
      <c r="J1196">
        <v>40.693801000000001</v>
      </c>
      <c r="S1196" s="110"/>
    </row>
    <row r="1197" spans="2:19" x14ac:dyDescent="0.2">
      <c r="B1197">
        <v>6062</v>
      </c>
      <c r="C1197" t="s">
        <v>1755</v>
      </c>
      <c r="D1197" t="s">
        <v>1756</v>
      </c>
      <c r="G1197" s="110" t="str">
        <f t="shared" si="18"/>
        <v>2</v>
      </c>
      <c r="I1197">
        <v>141.38806099999999</v>
      </c>
      <c r="J1197">
        <v>40.689892999999998</v>
      </c>
      <c r="S1197" s="110"/>
    </row>
    <row r="1198" spans="2:19" x14ac:dyDescent="0.2">
      <c r="B1198">
        <v>6052</v>
      </c>
      <c r="C1198" t="s">
        <v>1753</v>
      </c>
      <c r="D1198" t="s">
        <v>1754</v>
      </c>
      <c r="G1198" s="110" t="str">
        <f t="shared" si="18"/>
        <v>2</v>
      </c>
      <c r="I1198">
        <v>141.38314700000001</v>
      </c>
      <c r="J1198">
        <v>40.686793000000002</v>
      </c>
      <c r="S1198" s="110"/>
    </row>
    <row r="1199" spans="2:19" x14ac:dyDescent="0.2">
      <c r="B1199">
        <v>6042</v>
      </c>
      <c r="C1199" t="s">
        <v>1751</v>
      </c>
      <c r="D1199" t="s">
        <v>1752</v>
      </c>
      <c r="G1199" s="110" t="str">
        <f t="shared" si="18"/>
        <v>2</v>
      </c>
      <c r="I1199">
        <v>141.38233199999999</v>
      </c>
      <c r="J1199">
        <v>40.684660999999998</v>
      </c>
      <c r="S1199" s="110"/>
    </row>
    <row r="1200" spans="2:19" x14ac:dyDescent="0.2">
      <c r="B1200">
        <v>6032</v>
      </c>
      <c r="C1200" t="s">
        <v>1749</v>
      </c>
      <c r="D1200" t="s">
        <v>1750</v>
      </c>
      <c r="G1200" s="110" t="str">
        <f t="shared" si="18"/>
        <v>2</v>
      </c>
      <c r="I1200">
        <v>141.385143</v>
      </c>
      <c r="J1200">
        <v>40.683155999999997</v>
      </c>
      <c r="S1200" s="110"/>
    </row>
    <row r="1201" spans="2:19" x14ac:dyDescent="0.2">
      <c r="B1201">
        <v>6022</v>
      </c>
      <c r="C1201" t="s">
        <v>1747</v>
      </c>
      <c r="D1201" t="s">
        <v>1748</v>
      </c>
      <c r="G1201" s="110" t="str">
        <f t="shared" si="18"/>
        <v>2</v>
      </c>
      <c r="I1201">
        <v>141.38951800000001</v>
      </c>
      <c r="J1201">
        <v>40.679454999999997</v>
      </c>
      <c r="S1201" s="110"/>
    </row>
    <row r="1202" spans="2:19" x14ac:dyDescent="0.2">
      <c r="B1202">
        <v>6012</v>
      </c>
      <c r="C1202" t="s">
        <v>1745</v>
      </c>
      <c r="D1202" t="s">
        <v>1746</v>
      </c>
      <c r="G1202" s="110" t="str">
        <f t="shared" si="18"/>
        <v>2</v>
      </c>
      <c r="I1202">
        <v>141.39782199999999</v>
      </c>
      <c r="J1202">
        <v>40.679389999999998</v>
      </c>
      <c r="S1202" s="110"/>
    </row>
    <row r="1203" spans="2:19" x14ac:dyDescent="0.2">
      <c r="B1203">
        <v>6013</v>
      </c>
      <c r="C1203" t="s">
        <v>1745</v>
      </c>
      <c r="D1203" t="s">
        <v>1746</v>
      </c>
      <c r="G1203" s="110" t="str">
        <f t="shared" si="18"/>
        <v>3</v>
      </c>
      <c r="I1203">
        <v>141.39799600000001</v>
      </c>
      <c r="J1203">
        <v>40.679766000000001</v>
      </c>
      <c r="S1203" s="110"/>
    </row>
    <row r="1204" spans="2:19" x14ac:dyDescent="0.2">
      <c r="B1204">
        <v>6241</v>
      </c>
      <c r="C1204" t="s">
        <v>1764</v>
      </c>
      <c r="D1204" t="s">
        <v>1765</v>
      </c>
      <c r="G1204" s="110" t="str">
        <f t="shared" si="18"/>
        <v>1</v>
      </c>
      <c r="I1204">
        <v>141.41317699999999</v>
      </c>
      <c r="J1204">
        <v>40.671393000000002</v>
      </c>
      <c r="S1204" s="110"/>
    </row>
    <row r="1205" spans="2:19" x14ac:dyDescent="0.2">
      <c r="B1205">
        <v>6251</v>
      </c>
      <c r="C1205" t="s">
        <v>1766</v>
      </c>
      <c r="D1205" t="s">
        <v>1767</v>
      </c>
      <c r="G1205" s="110" t="str">
        <f t="shared" si="18"/>
        <v>1</v>
      </c>
      <c r="I1205">
        <v>141.41661300000001</v>
      </c>
      <c r="J1205">
        <v>40.602048000000003</v>
      </c>
      <c r="S1205" s="110"/>
    </row>
    <row r="1206" spans="2:19" x14ac:dyDescent="0.2">
      <c r="B1206">
        <v>6242</v>
      </c>
      <c r="C1206" t="s">
        <v>1764</v>
      </c>
      <c r="D1206" t="s">
        <v>1765</v>
      </c>
      <c r="G1206" s="110" t="str">
        <f t="shared" si="18"/>
        <v>2</v>
      </c>
      <c r="I1206">
        <v>141.413252</v>
      </c>
      <c r="J1206">
        <v>40.671270999999997</v>
      </c>
      <c r="S1206" s="110"/>
    </row>
    <row r="1207" spans="2:19" x14ac:dyDescent="0.2">
      <c r="B1207">
        <v>6014</v>
      </c>
      <c r="C1207" t="s">
        <v>1745</v>
      </c>
      <c r="D1207" t="s">
        <v>1746</v>
      </c>
      <c r="G1207" s="110" t="str">
        <f t="shared" si="18"/>
        <v>4</v>
      </c>
      <c r="I1207">
        <v>141.39801800000001</v>
      </c>
      <c r="J1207">
        <v>40.679659999999998</v>
      </c>
      <c r="S1207" s="110"/>
    </row>
  </sheetData>
  <phoneticPr fontId="1"/>
  <conditionalFormatting sqref="B2:B1207">
    <cfRule type="duplicateValues" dxfId="0" priority="1"/>
  </conditionalFormatting>
  <dataValidations count="6">
    <dataValidation imeMode="hiragana" allowBlank="1" showInputMessage="1" showErrorMessage="1" sqref="K2:L2351 C2:H2351 O18:O1002" xr:uid="{40A6E1F5-C141-4E91-A597-DF970EBCA871}"/>
    <dataValidation imeMode="off" allowBlank="1" showInputMessage="1" showErrorMessage="1" sqref="I1208:J2351 A2:B2351 O2:O17 J2:J1207 I2:I858 I860:I1207" xr:uid="{03AFC0FE-10E1-48D6-AAD8-07AB662E86E3}"/>
    <dataValidation imeMode="disabled" allowBlank="1" showInputMessage="1" showErrorMessage="1" prompt="停留所新設の場合は&quot;1&quot;と入力してください" sqref="P2:P1002" xr:uid="{589F2DCE-3BED-4F73-9198-8B21104CEE1D}"/>
    <dataValidation imeMode="disabled" allowBlank="1" showInputMessage="1" showErrorMessage="1" prompt="位置、名称変更の場合は&quot;1&quot;と入力してください" sqref="Q2:Q1002" xr:uid="{5D2885F4-FFEA-481A-A1AB-8B88FFC41034}"/>
    <dataValidation imeMode="disabled" allowBlank="1" showInputMessage="1" showErrorMessage="1" prompt="廃止の場合は&quot;1&quot;と入力してください" sqref="R2:R1002" xr:uid="{18752216-A544-4BB1-9EB9-37F7E5FCECD3}"/>
    <dataValidation imeMode="disabled" allowBlank="1" showErrorMessage="1" sqref="T1:T1048576" xr:uid="{E74FD879-9E8D-476A-9927-F7981CC6E8CD}"/>
  </dataValidations>
  <pageMargins left="0.7" right="0.7" top="0.75" bottom="0.75" header="0.3" footer="0.3"/>
  <pageSetup paperSize="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49" r:id="rId4" name="Button 1">
              <controlPr defaultSize="0" print="0" autoFill="0" autoPict="0" macro="[0]!OutputBusstop">
                <anchor moveWithCells="1" sizeWithCells="1">
                  <from>
                    <xdr:col>20</xdr:col>
                    <xdr:colOff>190500</xdr:colOff>
                    <xdr:row>0</xdr:row>
                    <xdr:rowOff>0</xdr:rowOff>
                  </from>
                  <to>
                    <xdr:col>22</xdr:col>
                    <xdr:colOff>222250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E2207-2640-4895-A13E-2203417B48E2}">
  <sheetPr codeName="Sheet88"/>
  <dimension ref="A1:F1501"/>
  <sheetViews>
    <sheetView workbookViewId="0">
      <selection activeCell="B2" sqref="B2"/>
    </sheetView>
  </sheetViews>
  <sheetFormatPr defaultRowHeight="13" x14ac:dyDescent="0.2"/>
  <cols>
    <col min="1" max="1" width="4.6328125" customWidth="1"/>
    <col min="2" max="2" width="7.08984375" customWidth="1"/>
    <col min="3" max="3" width="23.08984375" customWidth="1"/>
    <col min="4" max="4" width="9.26953125" bestFit="1" customWidth="1"/>
    <col min="5" max="5" width="24.90625" customWidth="1"/>
    <col min="6" max="6" width="20.90625" customWidth="1"/>
  </cols>
  <sheetData>
    <row r="1" spans="1:6" x14ac:dyDescent="0.2">
      <c r="A1" s="3" t="s">
        <v>7</v>
      </c>
      <c r="B1" s="4" t="s">
        <v>2</v>
      </c>
      <c r="C1" s="4" t="s">
        <v>27</v>
      </c>
      <c r="D1" s="4" t="s">
        <v>87</v>
      </c>
      <c r="E1" s="4" t="s">
        <v>46</v>
      </c>
      <c r="F1" s="4" t="s">
        <v>72</v>
      </c>
    </row>
    <row r="2" spans="1:6" x14ac:dyDescent="0.2">
      <c r="A2" s="2">
        <v>1</v>
      </c>
      <c r="B2" s="5"/>
      <c r="C2" s="10" t="str">
        <f>IF(B2="","←停留所idを選択",VLOOKUP(B2,'06停留所'!$B$2:$C$10500,2,0))</f>
        <v>←停留所idを選択</v>
      </c>
      <c r="D2" s="5"/>
      <c r="E2" s="5"/>
      <c r="F2" s="6"/>
    </row>
    <row r="3" spans="1:6" x14ac:dyDescent="0.2">
      <c r="A3" s="2">
        <v>2</v>
      </c>
      <c r="B3" s="5"/>
      <c r="C3" s="10" t="str">
        <f>IF(B3="","←停留所idを選択",VLOOKUP(B3,'06停留所'!$B$2:$C$10500,2,0))</f>
        <v>←停留所idを選択</v>
      </c>
      <c r="D3" s="5"/>
      <c r="E3" s="5"/>
      <c r="F3" s="6"/>
    </row>
    <row r="4" spans="1:6" x14ac:dyDescent="0.2">
      <c r="A4" s="2">
        <v>3</v>
      </c>
      <c r="B4" s="5"/>
      <c r="C4" s="10" t="str">
        <f>IF(B4="","←停留所idを選択",VLOOKUP(B4,'06停留所'!$B$2:$C$10500,2,0))</f>
        <v>←停留所idを選択</v>
      </c>
      <c r="D4" s="5"/>
      <c r="E4" s="5"/>
      <c r="F4" s="6"/>
    </row>
    <row r="5" spans="1:6" x14ac:dyDescent="0.2">
      <c r="A5" s="2">
        <v>4</v>
      </c>
      <c r="B5" s="5"/>
      <c r="C5" s="10" t="str">
        <f>IF(B5="","←停留所idを選択",VLOOKUP(B5,'06停留所'!$B$2:$C$10500,2,0))</f>
        <v>←停留所idを選択</v>
      </c>
      <c r="D5" s="5"/>
      <c r="E5" s="5"/>
      <c r="F5" s="6"/>
    </row>
    <row r="6" spans="1:6" x14ac:dyDescent="0.2">
      <c r="A6" s="2">
        <v>5</v>
      </c>
      <c r="B6" s="5"/>
      <c r="C6" s="10" t="str">
        <f>IF(B6="","←停留所idを選択",VLOOKUP(B6,'06停留所'!$B$2:$C$10500,2,0))</f>
        <v>←停留所idを選択</v>
      </c>
      <c r="D6" s="5"/>
      <c r="E6" s="5"/>
      <c r="F6" s="6"/>
    </row>
    <row r="7" spans="1:6" x14ac:dyDescent="0.2">
      <c r="A7" s="2">
        <v>6</v>
      </c>
      <c r="B7" s="5"/>
      <c r="C7" s="10" t="str">
        <f>IF(B7="","←停留所idを選択",VLOOKUP(B7,'06停留所'!$B$2:$C$10500,2,0))</f>
        <v>←停留所idを選択</v>
      </c>
      <c r="D7" s="5"/>
      <c r="E7" s="5"/>
      <c r="F7" s="6"/>
    </row>
    <row r="8" spans="1:6" x14ac:dyDescent="0.2">
      <c r="A8" s="2">
        <v>7</v>
      </c>
      <c r="B8" s="5"/>
      <c r="C8" s="10" t="str">
        <f>IF(B8="","←停留所idを選択",VLOOKUP(B8,'06停留所'!$B$2:$C$10500,2,0))</f>
        <v>←停留所idを選択</v>
      </c>
      <c r="D8" s="5"/>
      <c r="E8" s="5"/>
      <c r="F8" s="6"/>
    </row>
    <row r="9" spans="1:6" x14ac:dyDescent="0.2">
      <c r="A9" s="2">
        <v>8</v>
      </c>
      <c r="B9" s="5"/>
      <c r="C9" s="10" t="str">
        <f>IF(B9="","←停留所idを選択",VLOOKUP(B9,'06停留所'!$B$2:$C$10500,2,0))</f>
        <v>←停留所idを選択</v>
      </c>
      <c r="D9" s="5"/>
      <c r="E9" s="5"/>
      <c r="F9" s="6"/>
    </row>
    <row r="10" spans="1:6" x14ac:dyDescent="0.2">
      <c r="A10" s="2">
        <v>9</v>
      </c>
      <c r="B10" s="5"/>
      <c r="C10" s="10" t="str">
        <f>IF(B10="","←停留所idを選択",VLOOKUP(B10,'06停留所'!$B$2:$C$10500,2,0))</f>
        <v>←停留所idを選択</v>
      </c>
      <c r="D10" s="5"/>
      <c r="E10" s="5"/>
      <c r="F10" s="6"/>
    </row>
    <row r="11" spans="1:6" x14ac:dyDescent="0.2">
      <c r="A11" s="2">
        <v>10</v>
      </c>
      <c r="B11" s="5"/>
      <c r="C11" s="10" t="str">
        <f>IF(B11="","←停留所idを選択",VLOOKUP(B11,'06停留所'!$B$2:$C$10500,2,0))</f>
        <v>←停留所idを選択</v>
      </c>
      <c r="D11" s="5"/>
      <c r="E11" s="5"/>
      <c r="F11" s="6"/>
    </row>
    <row r="12" spans="1:6" x14ac:dyDescent="0.2">
      <c r="A12" s="2">
        <v>11</v>
      </c>
      <c r="B12" s="5"/>
      <c r="C12" s="10" t="str">
        <f>IF(B12="","←停留所idを選択",VLOOKUP(B12,'06停留所'!$B$2:$C$10500,2,0))</f>
        <v>←停留所idを選択</v>
      </c>
      <c r="D12" s="5"/>
      <c r="E12" s="5"/>
      <c r="F12" s="6"/>
    </row>
    <row r="13" spans="1:6" x14ac:dyDescent="0.2">
      <c r="A13" s="2">
        <v>12</v>
      </c>
      <c r="B13" s="5"/>
      <c r="C13" s="10" t="str">
        <f>IF(B13="","←停留所idを選択",VLOOKUP(B13,'06停留所'!$B$2:$C$10500,2,0))</f>
        <v>←停留所idを選択</v>
      </c>
      <c r="D13" s="5"/>
      <c r="E13" s="5"/>
      <c r="F13" s="6"/>
    </row>
    <row r="14" spans="1:6" x14ac:dyDescent="0.2">
      <c r="A14" s="2">
        <v>13</v>
      </c>
      <c r="B14" s="5"/>
      <c r="C14" s="10" t="str">
        <f>IF(B14="","←停留所idを選択",VLOOKUP(B14,'06停留所'!$B$2:$C$10500,2,0))</f>
        <v>←停留所idを選択</v>
      </c>
      <c r="D14" s="5"/>
      <c r="E14" s="5"/>
      <c r="F14" s="6"/>
    </row>
    <row r="15" spans="1:6" x14ac:dyDescent="0.2">
      <c r="A15" s="2">
        <v>14</v>
      </c>
      <c r="B15" s="5"/>
      <c r="C15" s="10" t="str">
        <f>IF(B15="","←停留所idを選択",VLOOKUP(B15,'06停留所'!$B$2:$C$10500,2,0))</f>
        <v>←停留所idを選択</v>
      </c>
      <c r="D15" s="5"/>
      <c r="E15" s="5"/>
      <c r="F15" s="6"/>
    </row>
    <row r="16" spans="1:6" x14ac:dyDescent="0.2">
      <c r="A16" s="2">
        <v>15</v>
      </c>
      <c r="B16" s="5"/>
      <c r="C16" s="10" t="str">
        <f>IF(B16="","←停留所idを選択",VLOOKUP(B16,'06停留所'!$B$2:$C$10500,2,0))</f>
        <v>←停留所idを選択</v>
      </c>
      <c r="D16" s="5"/>
      <c r="E16" s="5"/>
      <c r="F16" s="6"/>
    </row>
    <row r="17" spans="1:6" x14ac:dyDescent="0.2">
      <c r="A17" s="2">
        <v>16</v>
      </c>
      <c r="B17" s="5"/>
      <c r="C17" s="10" t="str">
        <f>IF(B17="","←停留所idを選択",VLOOKUP(B17,'06停留所'!$B$2:$C$10500,2,0))</f>
        <v>←停留所idを選択</v>
      </c>
      <c r="D17" s="5"/>
      <c r="E17" s="5"/>
      <c r="F17" s="6"/>
    </row>
    <row r="18" spans="1:6" x14ac:dyDescent="0.2">
      <c r="A18" s="2">
        <v>17</v>
      </c>
      <c r="B18" s="5"/>
      <c r="C18" s="10" t="str">
        <f>IF(B18="","←停留所idを選択",VLOOKUP(B18,'06停留所'!$B$2:$C$10500,2,0))</f>
        <v>←停留所idを選択</v>
      </c>
      <c r="D18" s="5"/>
      <c r="E18" s="5"/>
      <c r="F18" s="6"/>
    </row>
    <row r="19" spans="1:6" x14ac:dyDescent="0.2">
      <c r="A19" s="2">
        <v>18</v>
      </c>
      <c r="B19" s="5"/>
      <c r="C19" s="10" t="str">
        <f>IF(B19="","←停留所idを選択",VLOOKUP(B19,'06停留所'!$B$2:$C$10500,2,0))</f>
        <v>←停留所idを選択</v>
      </c>
      <c r="D19" s="5"/>
      <c r="E19" s="5"/>
      <c r="F19" s="6"/>
    </row>
    <row r="20" spans="1:6" x14ac:dyDescent="0.2">
      <c r="A20" s="2">
        <v>19</v>
      </c>
      <c r="B20" s="5"/>
      <c r="C20" s="10" t="str">
        <f>IF(B20="","←停留所idを選択",VLOOKUP(B20,'06停留所'!$B$2:$C$10500,2,0))</f>
        <v>←停留所idを選択</v>
      </c>
      <c r="D20" s="5"/>
      <c r="E20" s="5"/>
      <c r="F20" s="6"/>
    </row>
    <row r="21" spans="1:6" x14ac:dyDescent="0.2">
      <c r="A21" s="2">
        <v>20</v>
      </c>
      <c r="B21" s="5"/>
      <c r="C21" s="10" t="str">
        <f>IF(B21="","←停留所idを選択",VLOOKUP(B21,'06停留所'!$B$2:$C$10500,2,0))</f>
        <v>←停留所idを選択</v>
      </c>
      <c r="D21" s="5"/>
      <c r="E21" s="5"/>
      <c r="F21" s="6"/>
    </row>
    <row r="22" spans="1:6" x14ac:dyDescent="0.2">
      <c r="A22" s="2">
        <v>21</v>
      </c>
      <c r="B22" s="5"/>
      <c r="C22" s="10" t="str">
        <f>IF(B22="","←停留所idを選択",VLOOKUP(B22,'06停留所'!$B$2:$C$10500,2,0))</f>
        <v>←停留所idを選択</v>
      </c>
      <c r="D22" s="5"/>
      <c r="E22" s="5"/>
      <c r="F22" s="6"/>
    </row>
    <row r="23" spans="1:6" x14ac:dyDescent="0.2">
      <c r="A23" s="2">
        <v>22</v>
      </c>
      <c r="B23" s="5"/>
      <c r="C23" s="10" t="str">
        <f>IF(B23="","←停留所idを選択",VLOOKUP(B23,'06停留所'!$B$2:$C$10500,2,0))</f>
        <v>←停留所idを選択</v>
      </c>
      <c r="D23" s="5"/>
      <c r="E23" s="5"/>
      <c r="F23" s="6"/>
    </row>
    <row r="24" spans="1:6" x14ac:dyDescent="0.2">
      <c r="A24" s="2">
        <v>23</v>
      </c>
      <c r="B24" s="5"/>
      <c r="C24" s="10" t="str">
        <f>IF(B24="","←停留所idを選択",VLOOKUP(B24,'06停留所'!$B$2:$C$10500,2,0))</f>
        <v>←停留所idを選択</v>
      </c>
      <c r="D24" s="5"/>
      <c r="E24" s="5"/>
      <c r="F24" s="6"/>
    </row>
    <row r="25" spans="1:6" x14ac:dyDescent="0.2">
      <c r="A25" s="2">
        <v>24</v>
      </c>
      <c r="B25" s="5"/>
      <c r="C25" s="10" t="str">
        <f>IF(B25="","←停留所idを選択",VLOOKUP(B25,'06停留所'!$B$2:$C$10500,2,0))</f>
        <v>←停留所idを選択</v>
      </c>
      <c r="D25" s="5"/>
      <c r="E25" s="5"/>
      <c r="F25" s="6"/>
    </row>
    <row r="26" spans="1:6" x14ac:dyDescent="0.2">
      <c r="A26" s="2">
        <v>25</v>
      </c>
      <c r="B26" s="5"/>
      <c r="C26" s="10" t="str">
        <f>IF(B26="","←停留所idを選択",VLOOKUP(B26,'06停留所'!$B$2:$C$10500,2,0))</f>
        <v>←停留所idを選択</v>
      </c>
      <c r="D26" s="5"/>
      <c r="E26" s="5"/>
      <c r="F26" s="6"/>
    </row>
    <row r="27" spans="1:6" x14ac:dyDescent="0.2">
      <c r="A27" s="2">
        <v>26</v>
      </c>
      <c r="B27" s="5"/>
      <c r="C27" s="10" t="str">
        <f>IF(B27="","←停留所idを選択",VLOOKUP(B27,'06停留所'!$B$2:$C$10500,2,0))</f>
        <v>←停留所idを選択</v>
      </c>
      <c r="D27" s="5"/>
      <c r="E27" s="5"/>
      <c r="F27" s="6"/>
    </row>
    <row r="28" spans="1:6" x14ac:dyDescent="0.2">
      <c r="A28" s="2">
        <v>27</v>
      </c>
      <c r="B28" s="5"/>
      <c r="C28" s="10" t="str">
        <f>IF(B28="","←停留所idを選択",VLOOKUP(B28,'06停留所'!$B$2:$C$10500,2,0))</f>
        <v>←停留所idを選択</v>
      </c>
      <c r="D28" s="5"/>
      <c r="E28" s="5"/>
      <c r="F28" s="6"/>
    </row>
    <row r="29" spans="1:6" x14ac:dyDescent="0.2">
      <c r="A29" s="2">
        <v>28</v>
      </c>
      <c r="B29" s="5"/>
      <c r="C29" s="10" t="str">
        <f>IF(B29="","←停留所idを選択",VLOOKUP(B29,'06停留所'!$B$2:$C$10500,2,0))</f>
        <v>←停留所idを選択</v>
      </c>
      <c r="D29" s="5"/>
      <c r="E29" s="5"/>
      <c r="F29" s="6"/>
    </row>
    <row r="30" spans="1:6" x14ac:dyDescent="0.2">
      <c r="A30" s="2">
        <v>29</v>
      </c>
      <c r="B30" s="5"/>
      <c r="C30" s="10" t="str">
        <f>IF(B30="","←停留所idを選択",VLOOKUP(B30,'06停留所'!$B$2:$C$10500,2,0))</f>
        <v>←停留所idを選択</v>
      </c>
      <c r="D30" s="5"/>
      <c r="E30" s="5"/>
      <c r="F30" s="6"/>
    </row>
    <row r="31" spans="1:6" x14ac:dyDescent="0.2">
      <c r="A31" s="2">
        <v>30</v>
      </c>
      <c r="B31" s="5"/>
      <c r="C31" s="10" t="str">
        <f>IF(B31="","←停留所idを選択",VLOOKUP(B31,'06停留所'!$B$2:$C$10500,2,0))</f>
        <v>←停留所idを選択</v>
      </c>
      <c r="D31" s="5"/>
      <c r="E31" s="5"/>
      <c r="F31" s="6"/>
    </row>
    <row r="32" spans="1:6" x14ac:dyDescent="0.2">
      <c r="A32" s="2">
        <v>31</v>
      </c>
      <c r="B32" s="5"/>
      <c r="C32" s="10" t="str">
        <f>IF(B32="","←停留所idを選択",VLOOKUP(B32,'06停留所'!$B$2:$C$10500,2,0))</f>
        <v>←停留所idを選択</v>
      </c>
      <c r="D32" s="5"/>
      <c r="E32" s="5"/>
      <c r="F32" s="6"/>
    </row>
    <row r="33" spans="1:6" x14ac:dyDescent="0.2">
      <c r="A33" s="2">
        <v>32</v>
      </c>
      <c r="B33" s="5"/>
      <c r="C33" s="10" t="str">
        <f>IF(B33="","←停留所idを選択",VLOOKUP(B33,'06停留所'!$B$2:$C$10500,2,0))</f>
        <v>←停留所idを選択</v>
      </c>
      <c r="D33" s="5"/>
      <c r="E33" s="5"/>
      <c r="F33" s="6"/>
    </row>
    <row r="34" spans="1:6" x14ac:dyDescent="0.2">
      <c r="A34" s="2">
        <v>33</v>
      </c>
      <c r="B34" s="5"/>
      <c r="C34" s="10" t="str">
        <f>IF(B34="","←停留所idを選択",VLOOKUP(B34,'06停留所'!$B$2:$C$10500,2,0))</f>
        <v>←停留所idを選択</v>
      </c>
      <c r="D34" s="5"/>
      <c r="E34" s="5"/>
      <c r="F34" s="6"/>
    </row>
    <row r="35" spans="1:6" x14ac:dyDescent="0.2">
      <c r="A35" s="2">
        <v>34</v>
      </c>
      <c r="B35" s="5"/>
      <c r="C35" s="10" t="str">
        <f>IF(B35="","←停留所idを選択",VLOOKUP(B35,'06停留所'!$B$2:$C$10500,2,0))</f>
        <v>←停留所idを選択</v>
      </c>
      <c r="D35" s="5"/>
      <c r="E35" s="5"/>
      <c r="F35" s="6"/>
    </row>
    <row r="36" spans="1:6" x14ac:dyDescent="0.2">
      <c r="A36" s="2">
        <v>35</v>
      </c>
      <c r="B36" s="5"/>
      <c r="C36" s="10" t="str">
        <f>IF(B36="","←停留所idを選択",VLOOKUP(B36,'06停留所'!$B$2:$C$10500,2,0))</f>
        <v>←停留所idを選択</v>
      </c>
      <c r="D36" s="5"/>
      <c r="E36" s="5"/>
      <c r="F36" s="6"/>
    </row>
    <row r="37" spans="1:6" x14ac:dyDescent="0.2">
      <c r="A37" s="2">
        <v>36</v>
      </c>
      <c r="B37" s="5"/>
      <c r="C37" s="10" t="str">
        <f>IF(B37="","←停留所idを選択",VLOOKUP(B37,'06停留所'!$B$2:$C$10500,2,0))</f>
        <v>←停留所idを選択</v>
      </c>
      <c r="D37" s="5"/>
      <c r="E37" s="5"/>
      <c r="F37" s="6"/>
    </row>
    <row r="38" spans="1:6" x14ac:dyDescent="0.2">
      <c r="A38" s="2">
        <v>37</v>
      </c>
      <c r="B38" s="5"/>
      <c r="C38" s="10" t="str">
        <f>IF(B38="","←停留所idを選択",VLOOKUP(B38,'06停留所'!$B$2:$C$10500,2,0))</f>
        <v>←停留所idを選択</v>
      </c>
      <c r="D38" s="5"/>
      <c r="E38" s="5"/>
      <c r="F38" s="6"/>
    </row>
    <row r="39" spans="1:6" x14ac:dyDescent="0.2">
      <c r="A39" s="2">
        <v>38</v>
      </c>
      <c r="B39" s="5"/>
      <c r="C39" s="10" t="str">
        <f>IF(B39="","←停留所idを選択",VLOOKUP(B39,'06停留所'!$B$2:$C$10500,2,0))</f>
        <v>←停留所idを選択</v>
      </c>
      <c r="D39" s="5"/>
      <c r="E39" s="5"/>
      <c r="F39" s="6"/>
    </row>
    <row r="40" spans="1:6" x14ac:dyDescent="0.2">
      <c r="A40" s="2">
        <v>39</v>
      </c>
      <c r="B40" s="5"/>
      <c r="C40" s="10" t="str">
        <f>IF(B40="","←停留所idを選択",VLOOKUP(B40,'06停留所'!$B$2:$C$10500,2,0))</f>
        <v>←停留所idを選択</v>
      </c>
      <c r="D40" s="5"/>
      <c r="E40" s="5"/>
      <c r="F40" s="6"/>
    </row>
    <row r="41" spans="1:6" x14ac:dyDescent="0.2">
      <c r="A41" s="2">
        <v>40</v>
      </c>
      <c r="B41" s="5"/>
      <c r="C41" s="10" t="str">
        <f>IF(B41="","←停留所idを選択",VLOOKUP(B41,'06停留所'!$B$2:$C$10500,2,0))</f>
        <v>←停留所idを選択</v>
      </c>
      <c r="D41" s="5"/>
      <c r="E41" s="5"/>
      <c r="F41" s="6"/>
    </row>
    <row r="42" spans="1:6" x14ac:dyDescent="0.2">
      <c r="A42" s="2">
        <v>41</v>
      </c>
      <c r="B42" s="5"/>
      <c r="C42" s="10" t="str">
        <f>IF(B42="","←停留所idを選択",VLOOKUP(B42,'06停留所'!$B$2:$C$10500,2,0))</f>
        <v>←停留所idを選択</v>
      </c>
      <c r="D42" s="5"/>
      <c r="E42" s="5"/>
      <c r="F42" s="6"/>
    </row>
    <row r="43" spans="1:6" x14ac:dyDescent="0.2">
      <c r="A43" s="2">
        <v>42</v>
      </c>
      <c r="B43" s="5"/>
      <c r="C43" s="10" t="str">
        <f>IF(B43="","←停留所idを選択",VLOOKUP(B43,'06停留所'!$B$2:$C$10500,2,0))</f>
        <v>←停留所idを選択</v>
      </c>
      <c r="D43" s="5"/>
      <c r="E43" s="5"/>
      <c r="F43" s="6"/>
    </row>
    <row r="44" spans="1:6" x14ac:dyDescent="0.2">
      <c r="A44" s="2">
        <v>43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6"/>
    </row>
    <row r="45" spans="1:6" x14ac:dyDescent="0.2">
      <c r="A45" s="2">
        <v>44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6"/>
    </row>
    <row r="46" spans="1:6" x14ac:dyDescent="0.2">
      <c r="A46" s="2">
        <v>45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6"/>
    </row>
    <row r="47" spans="1:6" x14ac:dyDescent="0.2">
      <c r="A47" s="2">
        <v>46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6"/>
    </row>
    <row r="48" spans="1:6" x14ac:dyDescent="0.2">
      <c r="A48" s="2">
        <v>47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6"/>
    </row>
    <row r="49" spans="1:6" x14ac:dyDescent="0.2">
      <c r="A49" s="2">
        <v>48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6"/>
    </row>
    <row r="50" spans="1:6" x14ac:dyDescent="0.2">
      <c r="A50" s="2">
        <v>49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6"/>
    </row>
    <row r="51" spans="1:6" x14ac:dyDescent="0.2">
      <c r="A51" s="2">
        <v>50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6"/>
    </row>
    <row r="52" spans="1:6" x14ac:dyDescent="0.2">
      <c r="A52" s="2">
        <v>51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6"/>
    </row>
    <row r="53" spans="1:6" x14ac:dyDescent="0.2">
      <c r="A53" s="2">
        <v>52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6"/>
    </row>
    <row r="54" spans="1:6" x14ac:dyDescent="0.2">
      <c r="A54" s="2">
        <v>53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6"/>
    </row>
    <row r="55" spans="1:6" x14ac:dyDescent="0.2">
      <c r="A55" s="2">
        <v>54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6"/>
    </row>
    <row r="56" spans="1:6" x14ac:dyDescent="0.2">
      <c r="A56" s="2">
        <v>55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6"/>
    </row>
    <row r="57" spans="1:6" x14ac:dyDescent="0.2">
      <c r="A57" s="2">
        <v>56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6"/>
    </row>
    <row r="58" spans="1:6" x14ac:dyDescent="0.2">
      <c r="A58" s="2">
        <v>57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6"/>
    </row>
    <row r="59" spans="1:6" x14ac:dyDescent="0.2">
      <c r="A59" s="2">
        <v>58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6"/>
    </row>
    <row r="60" spans="1:6" x14ac:dyDescent="0.2">
      <c r="A60" s="2">
        <v>59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6"/>
    </row>
    <row r="61" spans="1:6" x14ac:dyDescent="0.2">
      <c r="A61" s="2">
        <v>60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6"/>
    </row>
    <row r="62" spans="1:6" x14ac:dyDescent="0.2">
      <c r="A62" s="2">
        <v>61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6"/>
    </row>
    <row r="63" spans="1:6" x14ac:dyDescent="0.2">
      <c r="A63" s="2">
        <v>62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6"/>
    </row>
    <row r="64" spans="1:6" x14ac:dyDescent="0.2">
      <c r="A64" s="2">
        <v>63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6"/>
    </row>
    <row r="65" spans="1:6" x14ac:dyDescent="0.2">
      <c r="A65" s="2">
        <v>64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6"/>
    </row>
    <row r="66" spans="1:6" x14ac:dyDescent="0.2">
      <c r="A66" s="2">
        <v>65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6"/>
    </row>
    <row r="67" spans="1:6" x14ac:dyDescent="0.2">
      <c r="A67" s="2">
        <v>66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6"/>
    </row>
    <row r="68" spans="1:6" x14ac:dyDescent="0.2">
      <c r="A68" s="2">
        <v>67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6"/>
    </row>
    <row r="69" spans="1:6" x14ac:dyDescent="0.2">
      <c r="A69" s="2">
        <v>68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6"/>
    </row>
    <row r="70" spans="1:6" x14ac:dyDescent="0.2">
      <c r="A70" s="2">
        <v>69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6"/>
    </row>
    <row r="71" spans="1:6" x14ac:dyDescent="0.2">
      <c r="A71" s="2">
        <v>70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6"/>
    </row>
    <row r="72" spans="1:6" x14ac:dyDescent="0.2">
      <c r="A72" s="2">
        <v>71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6"/>
    </row>
    <row r="73" spans="1:6" x14ac:dyDescent="0.2">
      <c r="A73" s="2">
        <v>72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6"/>
    </row>
    <row r="74" spans="1:6" x14ac:dyDescent="0.2">
      <c r="A74" s="2">
        <v>73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6"/>
    </row>
    <row r="75" spans="1:6" x14ac:dyDescent="0.2">
      <c r="A75" s="2">
        <v>74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6"/>
    </row>
    <row r="76" spans="1:6" x14ac:dyDescent="0.2">
      <c r="A76" s="2">
        <v>75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6"/>
    </row>
    <row r="77" spans="1:6" x14ac:dyDescent="0.2">
      <c r="A77" s="2">
        <v>76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6"/>
    </row>
    <row r="78" spans="1:6" x14ac:dyDescent="0.2">
      <c r="A78" s="2">
        <v>77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6"/>
    </row>
    <row r="79" spans="1:6" x14ac:dyDescent="0.2">
      <c r="A79" s="2">
        <v>78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6"/>
    </row>
    <row r="80" spans="1:6" x14ac:dyDescent="0.2">
      <c r="A80" s="2">
        <v>79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6"/>
    </row>
    <row r="81" spans="1:6" x14ac:dyDescent="0.2">
      <c r="A81" s="2">
        <v>80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6"/>
    </row>
    <row r="82" spans="1:6" x14ac:dyDescent="0.2">
      <c r="A82" s="2">
        <v>81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6"/>
    </row>
    <row r="83" spans="1:6" x14ac:dyDescent="0.2">
      <c r="A83" s="2">
        <v>82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6"/>
    </row>
    <row r="84" spans="1:6" x14ac:dyDescent="0.2">
      <c r="A84" s="2">
        <v>83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6"/>
    </row>
    <row r="85" spans="1:6" x14ac:dyDescent="0.2">
      <c r="A85" s="2">
        <v>84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6"/>
    </row>
    <row r="86" spans="1:6" x14ac:dyDescent="0.2">
      <c r="A86" s="2">
        <v>85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6"/>
    </row>
    <row r="87" spans="1:6" x14ac:dyDescent="0.2">
      <c r="A87" s="2">
        <v>86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6"/>
    </row>
    <row r="88" spans="1:6" x14ac:dyDescent="0.2">
      <c r="A88" s="2">
        <v>87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6"/>
    </row>
    <row r="89" spans="1:6" x14ac:dyDescent="0.2">
      <c r="A89" s="2">
        <v>88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6"/>
    </row>
    <row r="90" spans="1:6" x14ac:dyDescent="0.2">
      <c r="A90" s="2">
        <v>89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6"/>
    </row>
    <row r="91" spans="1:6" x14ac:dyDescent="0.2">
      <c r="A91" s="2">
        <v>90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6"/>
    </row>
    <row r="92" spans="1:6" x14ac:dyDescent="0.2">
      <c r="A92" s="2">
        <v>91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6"/>
    </row>
    <row r="93" spans="1:6" x14ac:dyDescent="0.2">
      <c r="A93" s="2">
        <v>92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6"/>
    </row>
    <row r="94" spans="1:6" x14ac:dyDescent="0.2">
      <c r="A94" s="2">
        <v>93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6"/>
    </row>
    <row r="95" spans="1:6" x14ac:dyDescent="0.2">
      <c r="A95" s="2">
        <v>94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6"/>
    </row>
    <row r="96" spans="1:6" x14ac:dyDescent="0.2">
      <c r="A96" s="2">
        <v>95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6"/>
    </row>
    <row r="97" spans="1:6" x14ac:dyDescent="0.2">
      <c r="A97" s="2">
        <v>96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6"/>
    </row>
    <row r="98" spans="1:6" x14ac:dyDescent="0.2">
      <c r="A98" s="2">
        <v>97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6"/>
    </row>
    <row r="99" spans="1:6" x14ac:dyDescent="0.2">
      <c r="A99" s="2">
        <v>98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6"/>
    </row>
    <row r="100" spans="1:6" x14ac:dyDescent="0.2">
      <c r="A100" s="2">
        <v>99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6"/>
    </row>
    <row r="101" spans="1:6" x14ac:dyDescent="0.2">
      <c r="A101" s="2">
        <v>100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6"/>
    </row>
    <row r="102" spans="1:6" x14ac:dyDescent="0.2">
      <c r="A102" s="2">
        <v>101</v>
      </c>
      <c r="B102" s="5"/>
      <c r="C102" s="10" t="str">
        <f>IF(B102="","←停留所idを選択",VLOOKUP(B102,'06停留所'!$B$2:$C$10500,2,0))</f>
        <v>←停留所idを選択</v>
      </c>
      <c r="D102" s="5"/>
      <c r="E102" s="5"/>
      <c r="F102" s="6"/>
    </row>
    <row r="103" spans="1:6" x14ac:dyDescent="0.2">
      <c r="A103" s="2">
        <v>102</v>
      </c>
      <c r="B103" s="5"/>
      <c r="C103" s="10" t="str">
        <f>IF(B103="","←停留所idを選択",VLOOKUP(B103,'06停留所'!$B$2:$C$10500,2,0))</f>
        <v>←停留所idを選択</v>
      </c>
      <c r="D103" s="5"/>
      <c r="E103" s="5"/>
      <c r="F103" s="6"/>
    </row>
    <row r="104" spans="1:6" x14ac:dyDescent="0.2">
      <c r="A104" s="2">
        <v>103</v>
      </c>
      <c r="B104" s="5"/>
      <c r="C104" s="10" t="str">
        <f>IF(B104="","←停留所idを選択",VLOOKUP(B104,'06停留所'!$B$2:$C$10500,2,0))</f>
        <v>←停留所idを選択</v>
      </c>
      <c r="D104" s="5"/>
      <c r="E104" s="5"/>
      <c r="F104" s="6"/>
    </row>
    <row r="105" spans="1:6" x14ac:dyDescent="0.2">
      <c r="A105" s="2">
        <v>104</v>
      </c>
      <c r="B105" s="5"/>
      <c r="C105" s="10" t="str">
        <f>IF(B105="","←停留所idを選択",VLOOKUP(B105,'06停留所'!$B$2:$C$10500,2,0))</f>
        <v>←停留所idを選択</v>
      </c>
      <c r="D105" s="5"/>
      <c r="E105" s="5"/>
      <c r="F105" s="6"/>
    </row>
    <row r="106" spans="1:6" x14ac:dyDescent="0.2">
      <c r="A106" s="2">
        <v>105</v>
      </c>
      <c r="B106" s="5"/>
      <c r="C106" s="10" t="str">
        <f>IF(B106="","←停留所idを選択",VLOOKUP(B106,'06停留所'!$B$2:$C$10500,2,0))</f>
        <v>←停留所idを選択</v>
      </c>
      <c r="D106" s="5"/>
      <c r="E106" s="5"/>
      <c r="F106" s="6"/>
    </row>
    <row r="107" spans="1:6" x14ac:dyDescent="0.2">
      <c r="A107" s="2">
        <v>106</v>
      </c>
      <c r="B107" s="5"/>
      <c r="C107" s="10" t="str">
        <f>IF(B107="","←停留所idを選択",VLOOKUP(B107,'06停留所'!$B$2:$C$10500,2,0))</f>
        <v>←停留所idを選択</v>
      </c>
      <c r="D107" s="5"/>
      <c r="E107" s="5"/>
      <c r="F107" s="6"/>
    </row>
    <row r="108" spans="1:6" x14ac:dyDescent="0.2">
      <c r="A108" s="2">
        <v>107</v>
      </c>
      <c r="B108" s="5"/>
      <c r="C108" s="10" t="str">
        <f>IF(B108="","←停留所idを選択",VLOOKUP(B108,'06停留所'!$B$2:$C$10500,2,0))</f>
        <v>←停留所idを選択</v>
      </c>
      <c r="D108" s="5"/>
      <c r="E108" s="5"/>
      <c r="F108" s="6"/>
    </row>
    <row r="109" spans="1:6" x14ac:dyDescent="0.2">
      <c r="A109" s="2">
        <v>108</v>
      </c>
      <c r="B109" s="5"/>
      <c r="C109" s="10" t="str">
        <f>IF(B109="","←停留所idを選択",VLOOKUP(B109,'06停留所'!$B$2:$C$10500,2,0))</f>
        <v>←停留所idを選択</v>
      </c>
      <c r="D109" s="5"/>
      <c r="E109" s="5"/>
      <c r="F109" s="6"/>
    </row>
    <row r="110" spans="1:6" x14ac:dyDescent="0.2">
      <c r="A110" s="2">
        <v>109</v>
      </c>
      <c r="B110" s="5"/>
      <c r="C110" s="10" t="str">
        <f>IF(B110="","←停留所idを選択",VLOOKUP(B110,'06停留所'!$B$2:$C$10500,2,0))</f>
        <v>←停留所idを選択</v>
      </c>
      <c r="D110" s="5"/>
      <c r="E110" s="5"/>
      <c r="F110" s="6"/>
    </row>
    <row r="111" spans="1:6" x14ac:dyDescent="0.2">
      <c r="A111" s="2">
        <v>110</v>
      </c>
      <c r="B111" s="5"/>
      <c r="C111" s="10" t="str">
        <f>IF(B111="","←停留所idを選択",VLOOKUP(B111,'06停留所'!$B$2:$C$10500,2,0))</f>
        <v>←停留所idを選択</v>
      </c>
      <c r="D111" s="5"/>
      <c r="E111" s="5"/>
      <c r="F111" s="6"/>
    </row>
    <row r="112" spans="1:6" x14ac:dyDescent="0.2">
      <c r="A112" s="2">
        <v>111</v>
      </c>
      <c r="B112" s="5"/>
      <c r="C112" s="10" t="str">
        <f>IF(B112="","←停留所idを選択",VLOOKUP(B112,'06停留所'!$B$2:$C$10500,2,0))</f>
        <v>←停留所idを選択</v>
      </c>
      <c r="D112" s="5"/>
      <c r="E112" s="5"/>
      <c r="F112" s="6"/>
    </row>
    <row r="113" spans="1:6" x14ac:dyDescent="0.2">
      <c r="A113" s="2">
        <v>112</v>
      </c>
      <c r="B113" s="5"/>
      <c r="C113" s="10" t="str">
        <f>IF(B113="","←停留所idを選択",VLOOKUP(B113,'06停留所'!$B$2:$C$10500,2,0))</f>
        <v>←停留所idを選択</v>
      </c>
      <c r="D113" s="5"/>
      <c r="E113" s="5"/>
      <c r="F113" s="6"/>
    </row>
    <row r="114" spans="1:6" x14ac:dyDescent="0.2">
      <c r="A114" s="2">
        <v>113</v>
      </c>
      <c r="B114" s="5"/>
      <c r="C114" s="10" t="str">
        <f>IF(B114="","←停留所idを選択",VLOOKUP(B114,'06停留所'!$B$2:$C$10500,2,0))</f>
        <v>←停留所idを選択</v>
      </c>
      <c r="D114" s="5"/>
      <c r="E114" s="5"/>
      <c r="F114" s="6"/>
    </row>
    <row r="115" spans="1:6" x14ac:dyDescent="0.2">
      <c r="A115" s="2">
        <v>114</v>
      </c>
      <c r="B115" s="5"/>
      <c r="C115" s="10" t="str">
        <f>IF(B115="","←停留所idを選択",VLOOKUP(B115,'06停留所'!$B$2:$C$10500,2,0))</f>
        <v>←停留所idを選択</v>
      </c>
      <c r="D115" s="5"/>
      <c r="E115" s="5"/>
      <c r="F115" s="6"/>
    </row>
    <row r="116" spans="1:6" x14ac:dyDescent="0.2">
      <c r="A116" s="2">
        <v>115</v>
      </c>
      <c r="B116" s="5"/>
      <c r="C116" s="10" t="str">
        <f>IF(B116="","←停留所idを選択",VLOOKUP(B116,'06停留所'!$B$2:$C$10500,2,0))</f>
        <v>←停留所idを選択</v>
      </c>
      <c r="D116" s="5"/>
      <c r="E116" s="5"/>
      <c r="F116" s="6"/>
    </row>
    <row r="117" spans="1:6" x14ac:dyDescent="0.2">
      <c r="A117" s="2">
        <v>116</v>
      </c>
      <c r="B117" s="5"/>
      <c r="C117" s="10" t="str">
        <f>IF(B117="","←停留所idを選択",VLOOKUP(B117,'06停留所'!$B$2:$C$10500,2,0))</f>
        <v>←停留所idを選択</v>
      </c>
      <c r="D117" s="5"/>
      <c r="E117" s="5"/>
      <c r="F117" s="6"/>
    </row>
    <row r="118" spans="1:6" x14ac:dyDescent="0.2">
      <c r="A118" s="2">
        <v>117</v>
      </c>
      <c r="B118" s="5"/>
      <c r="C118" s="10" t="str">
        <f>IF(B118="","←停留所idを選択",VLOOKUP(B118,'06停留所'!$B$2:$C$10500,2,0))</f>
        <v>←停留所idを選択</v>
      </c>
      <c r="D118" s="5"/>
      <c r="E118" s="5"/>
      <c r="F118" s="6"/>
    </row>
    <row r="119" spans="1:6" x14ac:dyDescent="0.2">
      <c r="A119" s="2">
        <v>118</v>
      </c>
      <c r="B119" s="5"/>
      <c r="C119" s="10" t="str">
        <f>IF(B119="","←停留所idを選択",VLOOKUP(B119,'06停留所'!$B$2:$C$10500,2,0))</f>
        <v>←停留所idを選択</v>
      </c>
      <c r="D119" s="5"/>
      <c r="E119" s="5"/>
      <c r="F119" s="6"/>
    </row>
    <row r="120" spans="1:6" x14ac:dyDescent="0.2">
      <c r="A120" s="2">
        <v>119</v>
      </c>
      <c r="B120" s="5"/>
      <c r="C120" s="10" t="str">
        <f>IF(B120="","←停留所idを選択",VLOOKUP(B120,'06停留所'!$B$2:$C$10500,2,0))</f>
        <v>←停留所idを選択</v>
      </c>
      <c r="D120" s="5"/>
      <c r="E120" s="5"/>
      <c r="F120" s="6"/>
    </row>
    <row r="121" spans="1:6" x14ac:dyDescent="0.2">
      <c r="A121" s="2">
        <v>120</v>
      </c>
      <c r="B121" s="5"/>
      <c r="C121" s="10" t="str">
        <f>IF(B121="","←停留所idを選択",VLOOKUP(B121,'06停留所'!$B$2:$C$10500,2,0))</f>
        <v>←停留所idを選択</v>
      </c>
      <c r="D121" s="5"/>
      <c r="E121" s="5"/>
      <c r="F121" s="6"/>
    </row>
    <row r="122" spans="1:6" x14ac:dyDescent="0.2">
      <c r="A122" s="2">
        <v>121</v>
      </c>
      <c r="B122" s="5"/>
      <c r="C122" s="10" t="str">
        <f>IF(B122="","←停留所idを選択",VLOOKUP(B122,'06停留所'!$B$2:$C$10500,2,0))</f>
        <v>←停留所idを選択</v>
      </c>
      <c r="D122" s="5"/>
      <c r="E122" s="5"/>
      <c r="F122" s="6"/>
    </row>
    <row r="123" spans="1:6" x14ac:dyDescent="0.2">
      <c r="A123" s="2">
        <v>122</v>
      </c>
      <c r="B123" s="5"/>
      <c r="C123" s="10" t="str">
        <f>IF(B123="","←停留所idを選択",VLOOKUP(B123,'06停留所'!$B$2:$C$10500,2,0))</f>
        <v>←停留所idを選択</v>
      </c>
      <c r="D123" s="5"/>
      <c r="E123" s="5"/>
      <c r="F123" s="6"/>
    </row>
    <row r="124" spans="1:6" x14ac:dyDescent="0.2">
      <c r="A124" s="2">
        <v>123</v>
      </c>
      <c r="B124" s="5"/>
      <c r="C124" s="10" t="str">
        <f>IF(B124="","←停留所idを選択",VLOOKUP(B124,'06停留所'!$B$2:$C$10500,2,0))</f>
        <v>←停留所idを選択</v>
      </c>
      <c r="D124" s="5"/>
      <c r="E124" s="5"/>
      <c r="F124" s="6"/>
    </row>
    <row r="125" spans="1:6" x14ac:dyDescent="0.2">
      <c r="A125" s="2">
        <v>124</v>
      </c>
      <c r="B125" s="5"/>
      <c r="C125" s="10" t="str">
        <f>IF(B125="","←停留所idを選択",VLOOKUP(B125,'06停留所'!$B$2:$C$10500,2,0))</f>
        <v>←停留所idを選択</v>
      </c>
      <c r="D125" s="5"/>
      <c r="E125" s="5"/>
      <c r="F125" s="6"/>
    </row>
    <row r="126" spans="1:6" x14ac:dyDescent="0.2">
      <c r="A126" s="2">
        <v>125</v>
      </c>
      <c r="B126" s="5"/>
      <c r="C126" s="10" t="str">
        <f>IF(B126="","←停留所idを選択",VLOOKUP(B126,'06停留所'!$B$2:$C$10500,2,0))</f>
        <v>←停留所idを選択</v>
      </c>
      <c r="D126" s="5"/>
      <c r="E126" s="5"/>
      <c r="F126" s="6"/>
    </row>
    <row r="127" spans="1:6" x14ac:dyDescent="0.2">
      <c r="A127" s="2">
        <v>126</v>
      </c>
      <c r="B127" s="5"/>
      <c r="C127" s="10" t="str">
        <f>IF(B127="","←停留所idを選択",VLOOKUP(B127,'06停留所'!$B$2:$C$10500,2,0))</f>
        <v>←停留所idを選択</v>
      </c>
      <c r="D127" s="5"/>
      <c r="E127" s="5"/>
      <c r="F127" s="6"/>
    </row>
    <row r="128" spans="1:6" x14ac:dyDescent="0.2">
      <c r="A128" s="2">
        <v>127</v>
      </c>
      <c r="B128" s="5"/>
      <c r="C128" s="10" t="str">
        <f>IF(B128="","←停留所idを選択",VLOOKUP(B128,'06停留所'!$B$2:$C$10500,2,0))</f>
        <v>←停留所idを選択</v>
      </c>
      <c r="D128" s="5"/>
      <c r="E128" s="5"/>
      <c r="F128" s="6"/>
    </row>
    <row r="129" spans="1:6" x14ac:dyDescent="0.2">
      <c r="A129" s="2">
        <v>128</v>
      </c>
      <c r="B129" s="5"/>
      <c r="C129" s="10" t="str">
        <f>IF(B129="","←停留所idを選択",VLOOKUP(B129,'06停留所'!$B$2:$C$10500,2,0))</f>
        <v>←停留所idを選択</v>
      </c>
      <c r="D129" s="5"/>
      <c r="E129" s="5"/>
      <c r="F129" s="6"/>
    </row>
    <row r="130" spans="1:6" x14ac:dyDescent="0.2">
      <c r="A130" s="2">
        <v>129</v>
      </c>
      <c r="B130" s="5"/>
      <c r="C130" s="10" t="str">
        <f>IF(B130="","←停留所idを選択",VLOOKUP(B130,'06停留所'!$B$2:$C$10500,2,0))</f>
        <v>←停留所idを選択</v>
      </c>
      <c r="D130" s="5"/>
      <c r="E130" s="5"/>
      <c r="F130" s="6"/>
    </row>
    <row r="131" spans="1:6" x14ac:dyDescent="0.2">
      <c r="A131" s="2">
        <v>130</v>
      </c>
      <c r="B131" s="5"/>
      <c r="C131" s="10" t="str">
        <f>IF(B131="","←停留所idを選択",VLOOKUP(B131,'06停留所'!$B$2:$C$10500,2,0))</f>
        <v>←停留所idを選択</v>
      </c>
      <c r="D131" s="5"/>
      <c r="E131" s="5"/>
      <c r="F131" s="6"/>
    </row>
    <row r="132" spans="1:6" x14ac:dyDescent="0.2">
      <c r="A132" s="2">
        <v>131</v>
      </c>
      <c r="B132" s="5"/>
      <c r="C132" s="10" t="str">
        <f>IF(B132="","←停留所idを選択",VLOOKUP(B132,'06停留所'!$B$2:$C$10500,2,0))</f>
        <v>←停留所idを選択</v>
      </c>
      <c r="D132" s="5"/>
      <c r="E132" s="5"/>
      <c r="F132" s="6"/>
    </row>
    <row r="133" spans="1:6" x14ac:dyDescent="0.2">
      <c r="A133" s="2">
        <v>132</v>
      </c>
      <c r="B133" s="5"/>
      <c r="C133" s="10" t="str">
        <f>IF(B133="","←停留所idを選択",VLOOKUP(B133,'06停留所'!$B$2:$C$10500,2,0))</f>
        <v>←停留所idを選択</v>
      </c>
      <c r="D133" s="5"/>
      <c r="E133" s="5"/>
      <c r="F133" s="6"/>
    </row>
    <row r="134" spans="1:6" x14ac:dyDescent="0.2">
      <c r="A134" s="2">
        <v>133</v>
      </c>
      <c r="B134" s="5"/>
      <c r="C134" s="10" t="str">
        <f>IF(B134="","←停留所idを選択",VLOOKUP(B134,'06停留所'!$B$2:$C$10500,2,0))</f>
        <v>←停留所idを選択</v>
      </c>
      <c r="D134" s="5"/>
      <c r="E134" s="5"/>
      <c r="F134" s="6"/>
    </row>
    <row r="135" spans="1:6" x14ac:dyDescent="0.2">
      <c r="A135" s="2">
        <v>134</v>
      </c>
      <c r="B135" s="5"/>
      <c r="C135" s="10" t="str">
        <f>IF(B135="","←停留所idを選択",VLOOKUP(B135,'06停留所'!$B$2:$C$10500,2,0))</f>
        <v>←停留所idを選択</v>
      </c>
      <c r="D135" s="5"/>
      <c r="E135" s="5"/>
      <c r="F135" s="6"/>
    </row>
    <row r="136" spans="1:6" x14ac:dyDescent="0.2">
      <c r="A136" s="2">
        <v>135</v>
      </c>
      <c r="B136" s="5"/>
      <c r="C136" s="10" t="str">
        <f>IF(B136="","←停留所idを選択",VLOOKUP(B136,'06停留所'!$B$2:$C$10500,2,0))</f>
        <v>←停留所idを選択</v>
      </c>
      <c r="D136" s="5"/>
      <c r="E136" s="5"/>
      <c r="F136" s="6"/>
    </row>
    <row r="137" spans="1:6" x14ac:dyDescent="0.2">
      <c r="A137" s="2">
        <v>136</v>
      </c>
      <c r="B137" s="5"/>
      <c r="C137" s="10" t="str">
        <f>IF(B137="","←停留所idを選択",VLOOKUP(B137,'06停留所'!$B$2:$C$10500,2,0))</f>
        <v>←停留所idを選択</v>
      </c>
      <c r="D137" s="5"/>
      <c r="E137" s="5"/>
      <c r="F137" s="6"/>
    </row>
    <row r="138" spans="1:6" x14ac:dyDescent="0.2">
      <c r="A138" s="2">
        <v>137</v>
      </c>
      <c r="B138" s="5"/>
      <c r="C138" s="10" t="str">
        <f>IF(B138="","←停留所idを選択",VLOOKUP(B138,'06停留所'!$B$2:$C$10500,2,0))</f>
        <v>←停留所idを選択</v>
      </c>
      <c r="D138" s="5"/>
      <c r="E138" s="5"/>
      <c r="F138" s="6"/>
    </row>
    <row r="139" spans="1:6" x14ac:dyDescent="0.2">
      <c r="A139" s="2">
        <v>138</v>
      </c>
      <c r="B139" s="5"/>
      <c r="C139" s="10" t="str">
        <f>IF(B139="","←停留所idを選択",VLOOKUP(B139,'06停留所'!$B$2:$C$10500,2,0))</f>
        <v>←停留所idを選択</v>
      </c>
      <c r="D139" s="5"/>
      <c r="E139" s="5"/>
      <c r="F139" s="6"/>
    </row>
    <row r="140" spans="1:6" x14ac:dyDescent="0.2">
      <c r="A140" s="2">
        <v>139</v>
      </c>
      <c r="B140" s="5"/>
      <c r="C140" s="10" t="str">
        <f>IF(B140="","←停留所idを選択",VLOOKUP(B140,'06停留所'!$B$2:$C$10500,2,0))</f>
        <v>←停留所idを選択</v>
      </c>
      <c r="D140" s="5"/>
      <c r="E140" s="5"/>
      <c r="F140" s="6"/>
    </row>
    <row r="141" spans="1:6" x14ac:dyDescent="0.2">
      <c r="A141" s="2">
        <v>140</v>
      </c>
      <c r="B141" s="5"/>
      <c r="C141" s="10" t="str">
        <f>IF(B141="","←停留所idを選択",VLOOKUP(B141,'06停留所'!$B$2:$C$10500,2,0))</f>
        <v>←停留所idを選択</v>
      </c>
      <c r="D141" s="5"/>
      <c r="E141" s="5"/>
      <c r="F141" s="6"/>
    </row>
    <row r="142" spans="1:6" x14ac:dyDescent="0.2">
      <c r="A142" s="2">
        <v>141</v>
      </c>
      <c r="B142" s="5"/>
      <c r="C142" s="10" t="str">
        <f>IF(B142="","←停留所idを選択",VLOOKUP(B142,'06停留所'!$B$2:$C$10500,2,0))</f>
        <v>←停留所idを選択</v>
      </c>
      <c r="D142" s="5"/>
      <c r="E142" s="5"/>
      <c r="F142" s="6"/>
    </row>
    <row r="143" spans="1:6" x14ac:dyDescent="0.2">
      <c r="A143" s="2">
        <v>142</v>
      </c>
      <c r="B143" s="5"/>
      <c r="C143" s="10" t="str">
        <f>IF(B143="","←停留所idを選択",VLOOKUP(B143,'06停留所'!$B$2:$C$10500,2,0))</f>
        <v>←停留所idを選択</v>
      </c>
      <c r="D143" s="5"/>
      <c r="E143" s="5"/>
      <c r="F143" s="6"/>
    </row>
    <row r="144" spans="1:6" x14ac:dyDescent="0.2">
      <c r="A144" s="2">
        <v>143</v>
      </c>
      <c r="B144" s="5"/>
      <c r="C144" s="10" t="str">
        <f>IF(B144="","←停留所idを選択",VLOOKUP(B144,'06停留所'!$B$2:$C$10500,2,0))</f>
        <v>←停留所idを選択</v>
      </c>
      <c r="D144" s="5"/>
      <c r="E144" s="5"/>
      <c r="F144" s="6"/>
    </row>
    <row r="145" spans="1:6" x14ac:dyDescent="0.2">
      <c r="A145" s="2">
        <v>144</v>
      </c>
      <c r="B145" s="5"/>
      <c r="C145" s="10" t="str">
        <f>IF(B145="","←停留所idを選択",VLOOKUP(B145,'06停留所'!$B$2:$C$10500,2,0))</f>
        <v>←停留所idを選択</v>
      </c>
      <c r="D145" s="5"/>
      <c r="E145" s="5"/>
      <c r="F145" s="6"/>
    </row>
    <row r="146" spans="1:6" x14ac:dyDescent="0.2">
      <c r="A146" s="2">
        <v>145</v>
      </c>
      <c r="B146" s="5"/>
      <c r="C146" s="10" t="str">
        <f>IF(B146="","←停留所idを選択",VLOOKUP(B146,'06停留所'!$B$2:$C$10500,2,0))</f>
        <v>←停留所idを選択</v>
      </c>
      <c r="D146" s="5"/>
      <c r="E146" s="5"/>
      <c r="F146" s="6"/>
    </row>
    <row r="147" spans="1:6" x14ac:dyDescent="0.2">
      <c r="A147" s="2">
        <v>146</v>
      </c>
      <c r="B147" s="5"/>
      <c r="C147" s="10" t="str">
        <f>IF(B147="","←停留所idを選択",VLOOKUP(B147,'06停留所'!$B$2:$C$10500,2,0))</f>
        <v>←停留所idを選択</v>
      </c>
      <c r="D147" s="5"/>
      <c r="E147" s="5"/>
      <c r="F147" s="6"/>
    </row>
    <row r="148" spans="1:6" x14ac:dyDescent="0.2">
      <c r="A148" s="2">
        <v>147</v>
      </c>
      <c r="B148" s="5"/>
      <c r="C148" s="10" t="str">
        <f>IF(B148="","←停留所idを選択",VLOOKUP(B148,'06停留所'!$B$2:$C$10500,2,0))</f>
        <v>←停留所idを選択</v>
      </c>
      <c r="D148" s="5"/>
      <c r="E148" s="5"/>
      <c r="F148" s="6"/>
    </row>
    <row r="149" spans="1:6" x14ac:dyDescent="0.2">
      <c r="A149" s="2">
        <v>148</v>
      </c>
      <c r="B149" s="5"/>
      <c r="C149" s="10" t="str">
        <f>IF(B149="","←停留所idを選択",VLOOKUP(B149,'06停留所'!$B$2:$C$10500,2,0))</f>
        <v>←停留所idを選択</v>
      </c>
      <c r="D149" s="5"/>
      <c r="E149" s="5"/>
      <c r="F149" s="6"/>
    </row>
    <row r="150" spans="1:6" x14ac:dyDescent="0.2">
      <c r="A150" s="2">
        <v>149</v>
      </c>
      <c r="B150" s="5"/>
      <c r="C150" s="10" t="str">
        <f>IF(B150="","←停留所idを選択",VLOOKUP(B150,'06停留所'!$B$2:$C$10500,2,0))</f>
        <v>←停留所idを選択</v>
      </c>
      <c r="D150" s="5"/>
      <c r="E150" s="5"/>
      <c r="F150" s="6"/>
    </row>
    <row r="151" spans="1:6" x14ac:dyDescent="0.2">
      <c r="A151" s="2">
        <v>150</v>
      </c>
      <c r="B151" s="5"/>
      <c r="C151" s="10" t="str">
        <f>IF(B151="","←停留所idを選択",VLOOKUP(B151,'06停留所'!$B$2:$C$10500,2,0))</f>
        <v>←停留所idを選択</v>
      </c>
      <c r="D151" s="5"/>
      <c r="E151" s="5"/>
      <c r="F151" s="6"/>
    </row>
    <row r="152" spans="1:6" x14ac:dyDescent="0.2">
      <c r="A152" s="2">
        <v>151</v>
      </c>
      <c r="B152" s="5"/>
      <c r="C152" s="10" t="str">
        <f>IF(B152="","←停留所idを選択",VLOOKUP(B152,'06停留所'!$B$2:$C$10500,2,0))</f>
        <v>←停留所idを選択</v>
      </c>
      <c r="D152" s="5"/>
      <c r="E152" s="5"/>
      <c r="F152" s="6"/>
    </row>
    <row r="153" spans="1:6" x14ac:dyDescent="0.2">
      <c r="A153" s="2">
        <v>152</v>
      </c>
      <c r="B153" s="5"/>
      <c r="C153" s="10" t="str">
        <f>IF(B153="","←停留所idを選択",VLOOKUP(B153,'06停留所'!$B$2:$C$10500,2,0))</f>
        <v>←停留所idを選択</v>
      </c>
      <c r="D153" s="5"/>
      <c r="E153" s="5"/>
      <c r="F153" s="6"/>
    </row>
    <row r="154" spans="1:6" x14ac:dyDescent="0.2">
      <c r="A154" s="2">
        <v>153</v>
      </c>
      <c r="B154" s="5"/>
      <c r="C154" s="10" t="str">
        <f>IF(B154="","←停留所idを選択",VLOOKUP(B154,'06停留所'!$B$2:$C$10500,2,0))</f>
        <v>←停留所idを選択</v>
      </c>
      <c r="D154" s="5"/>
      <c r="E154" s="5"/>
      <c r="F154" s="6"/>
    </row>
    <row r="155" spans="1:6" x14ac:dyDescent="0.2">
      <c r="A155" s="2">
        <v>154</v>
      </c>
      <c r="B155" s="5"/>
      <c r="C155" s="10" t="str">
        <f>IF(B155="","←停留所idを選択",VLOOKUP(B155,'06停留所'!$B$2:$C$10500,2,0))</f>
        <v>←停留所idを選択</v>
      </c>
      <c r="D155" s="5"/>
      <c r="E155" s="5"/>
      <c r="F155" s="6"/>
    </row>
    <row r="156" spans="1:6" x14ac:dyDescent="0.2">
      <c r="A156" s="2">
        <v>155</v>
      </c>
      <c r="B156" s="5"/>
      <c r="C156" s="10" t="str">
        <f>IF(B156="","←停留所idを選択",VLOOKUP(B156,'06停留所'!$B$2:$C$10500,2,0))</f>
        <v>←停留所idを選択</v>
      </c>
      <c r="D156" s="5"/>
      <c r="E156" s="5"/>
      <c r="F156" s="6"/>
    </row>
    <row r="157" spans="1:6" x14ac:dyDescent="0.2">
      <c r="A157" s="2">
        <v>156</v>
      </c>
      <c r="B157" s="5"/>
      <c r="C157" s="10" t="str">
        <f>IF(B157="","←停留所idを選択",VLOOKUP(B157,'06停留所'!$B$2:$C$10500,2,0))</f>
        <v>←停留所idを選択</v>
      </c>
      <c r="D157" s="5"/>
      <c r="E157" s="5"/>
      <c r="F157" s="6"/>
    </row>
    <row r="158" spans="1:6" x14ac:dyDescent="0.2">
      <c r="A158" s="2">
        <v>157</v>
      </c>
      <c r="B158" s="5"/>
      <c r="C158" s="10" t="str">
        <f>IF(B158="","←停留所idを選択",VLOOKUP(B158,'06停留所'!$B$2:$C$10500,2,0))</f>
        <v>←停留所idを選択</v>
      </c>
      <c r="D158" s="5"/>
      <c r="E158" s="5"/>
      <c r="F158" s="6"/>
    </row>
    <row r="159" spans="1:6" x14ac:dyDescent="0.2">
      <c r="A159" s="2">
        <v>158</v>
      </c>
      <c r="B159" s="5"/>
      <c r="C159" s="10" t="str">
        <f>IF(B159="","←停留所idを選択",VLOOKUP(B159,'06停留所'!$B$2:$C$10500,2,0))</f>
        <v>←停留所idを選択</v>
      </c>
      <c r="D159" s="5"/>
      <c r="E159" s="5"/>
      <c r="F159" s="6"/>
    </row>
    <row r="160" spans="1:6" x14ac:dyDescent="0.2">
      <c r="A160" s="2">
        <v>159</v>
      </c>
      <c r="B160" s="5"/>
      <c r="C160" s="10" t="str">
        <f>IF(B160="","←停留所idを選択",VLOOKUP(B160,'06停留所'!$B$2:$C$10500,2,0))</f>
        <v>←停留所idを選択</v>
      </c>
      <c r="D160" s="5"/>
      <c r="E160" s="5"/>
      <c r="F160" s="6"/>
    </row>
    <row r="161" spans="1:6" x14ac:dyDescent="0.2">
      <c r="A161" s="2">
        <v>160</v>
      </c>
      <c r="B161" s="5"/>
      <c r="C161" s="10" t="str">
        <f>IF(B161="","←停留所idを選択",VLOOKUP(B161,'06停留所'!$B$2:$C$10500,2,0))</f>
        <v>←停留所idを選択</v>
      </c>
      <c r="D161" s="5"/>
      <c r="E161" s="5"/>
      <c r="F161" s="6"/>
    </row>
    <row r="162" spans="1:6" x14ac:dyDescent="0.2">
      <c r="A162" s="2">
        <v>161</v>
      </c>
      <c r="B162" s="5"/>
      <c r="C162" s="10" t="str">
        <f>IF(B162="","←停留所idを選択",VLOOKUP(B162,'06停留所'!$B$2:$C$10500,2,0))</f>
        <v>←停留所idを選択</v>
      </c>
      <c r="D162" s="5"/>
      <c r="E162" s="5"/>
      <c r="F162" s="6"/>
    </row>
    <row r="163" spans="1:6" x14ac:dyDescent="0.2">
      <c r="A163" s="2">
        <v>162</v>
      </c>
      <c r="B163" s="5"/>
      <c r="C163" s="10" t="str">
        <f>IF(B163="","←停留所idを選択",VLOOKUP(B163,'06停留所'!$B$2:$C$10500,2,0))</f>
        <v>←停留所idを選択</v>
      </c>
      <c r="D163" s="5"/>
      <c r="E163" s="5"/>
      <c r="F163" s="6"/>
    </row>
    <row r="164" spans="1:6" x14ac:dyDescent="0.2">
      <c r="A164" s="2">
        <v>163</v>
      </c>
      <c r="B164" s="5"/>
      <c r="C164" s="10" t="str">
        <f>IF(B164="","←停留所idを選択",VLOOKUP(B164,'06停留所'!$B$2:$C$10500,2,0))</f>
        <v>←停留所idを選択</v>
      </c>
      <c r="D164" s="5"/>
      <c r="E164" s="5"/>
      <c r="F164" s="6"/>
    </row>
    <row r="165" spans="1:6" x14ac:dyDescent="0.2">
      <c r="A165" s="2">
        <v>164</v>
      </c>
      <c r="B165" s="5"/>
      <c r="C165" s="10" t="str">
        <f>IF(B165="","←停留所idを選択",VLOOKUP(B165,'06停留所'!$B$2:$C$10500,2,0))</f>
        <v>←停留所idを選択</v>
      </c>
      <c r="D165" s="5"/>
      <c r="E165" s="5"/>
      <c r="F165" s="6"/>
    </row>
    <row r="166" spans="1:6" x14ac:dyDescent="0.2">
      <c r="A166" s="2">
        <v>165</v>
      </c>
      <c r="B166" s="5"/>
      <c r="C166" s="10" t="str">
        <f>IF(B166="","←停留所idを選択",VLOOKUP(B166,'06停留所'!$B$2:$C$10500,2,0))</f>
        <v>←停留所idを選択</v>
      </c>
      <c r="D166" s="5"/>
      <c r="E166" s="5"/>
      <c r="F166" s="6"/>
    </row>
    <row r="167" spans="1:6" x14ac:dyDescent="0.2">
      <c r="A167" s="2">
        <v>166</v>
      </c>
      <c r="B167" s="5"/>
      <c r="C167" s="10" t="str">
        <f>IF(B167="","←停留所idを選択",VLOOKUP(B167,'06停留所'!$B$2:$C$10500,2,0))</f>
        <v>←停留所idを選択</v>
      </c>
      <c r="D167" s="5"/>
      <c r="E167" s="5"/>
      <c r="F167" s="6"/>
    </row>
    <row r="168" spans="1:6" x14ac:dyDescent="0.2">
      <c r="A168" s="2">
        <v>167</v>
      </c>
      <c r="B168" s="5"/>
      <c r="C168" s="10" t="str">
        <f>IF(B168="","←停留所idを選択",VLOOKUP(B168,'06停留所'!$B$2:$C$10500,2,0))</f>
        <v>←停留所idを選択</v>
      </c>
      <c r="D168" s="5"/>
      <c r="E168" s="5"/>
      <c r="F168" s="6"/>
    </row>
    <row r="169" spans="1:6" x14ac:dyDescent="0.2">
      <c r="A169" s="2">
        <v>168</v>
      </c>
      <c r="B169" s="5"/>
      <c r="C169" s="10" t="str">
        <f>IF(B169="","←停留所idを選択",VLOOKUP(B169,'06停留所'!$B$2:$C$10500,2,0))</f>
        <v>←停留所idを選択</v>
      </c>
      <c r="D169" s="5"/>
      <c r="E169" s="5"/>
      <c r="F169" s="6"/>
    </row>
    <row r="170" spans="1:6" x14ac:dyDescent="0.2">
      <c r="A170" s="2">
        <v>169</v>
      </c>
      <c r="B170" s="5"/>
      <c r="C170" s="10" t="str">
        <f>IF(B170="","←停留所idを選択",VLOOKUP(B170,'06停留所'!$B$2:$C$10500,2,0))</f>
        <v>←停留所idを選択</v>
      </c>
      <c r="D170" s="5"/>
      <c r="E170" s="5"/>
      <c r="F170" s="6"/>
    </row>
    <row r="171" spans="1:6" x14ac:dyDescent="0.2">
      <c r="A171" s="2">
        <v>170</v>
      </c>
      <c r="B171" s="5"/>
      <c r="C171" s="10" t="str">
        <f>IF(B171="","←停留所idを選択",VLOOKUP(B171,'06停留所'!$B$2:$C$10500,2,0))</f>
        <v>←停留所idを選択</v>
      </c>
      <c r="D171" s="5"/>
      <c r="E171" s="5"/>
      <c r="F171" s="6"/>
    </row>
    <row r="172" spans="1:6" x14ac:dyDescent="0.2">
      <c r="A172" s="2">
        <v>171</v>
      </c>
      <c r="B172" s="5"/>
      <c r="C172" s="10" t="str">
        <f>IF(B172="","←停留所idを選択",VLOOKUP(B172,'06停留所'!$B$2:$C$10500,2,0))</f>
        <v>←停留所idを選択</v>
      </c>
      <c r="D172" s="5"/>
      <c r="E172" s="5"/>
      <c r="F172" s="6"/>
    </row>
    <row r="173" spans="1:6" x14ac:dyDescent="0.2">
      <c r="A173" s="2">
        <v>172</v>
      </c>
      <c r="B173" s="5"/>
      <c r="C173" s="10" t="str">
        <f>IF(B173="","←停留所idを選択",VLOOKUP(B173,'06停留所'!$B$2:$C$10500,2,0))</f>
        <v>←停留所idを選択</v>
      </c>
      <c r="D173" s="5"/>
      <c r="E173" s="5"/>
      <c r="F173" s="6"/>
    </row>
    <row r="174" spans="1:6" x14ac:dyDescent="0.2">
      <c r="A174" s="2">
        <v>173</v>
      </c>
      <c r="B174" s="5"/>
      <c r="C174" s="10" t="str">
        <f>IF(B174="","←停留所idを選択",VLOOKUP(B174,'06停留所'!$B$2:$C$10500,2,0))</f>
        <v>←停留所idを選択</v>
      </c>
      <c r="D174" s="5"/>
      <c r="E174" s="5"/>
      <c r="F174" s="6"/>
    </row>
    <row r="175" spans="1:6" x14ac:dyDescent="0.2">
      <c r="A175" s="2">
        <v>174</v>
      </c>
      <c r="B175" s="5"/>
      <c r="C175" s="10" t="str">
        <f>IF(B175="","←停留所idを選択",VLOOKUP(B175,'06停留所'!$B$2:$C$10500,2,0))</f>
        <v>←停留所idを選択</v>
      </c>
      <c r="D175" s="5"/>
      <c r="E175" s="5"/>
      <c r="F175" s="6"/>
    </row>
    <row r="176" spans="1:6" x14ac:dyDescent="0.2">
      <c r="A176" s="2">
        <v>175</v>
      </c>
      <c r="B176" s="5"/>
      <c r="C176" s="10" t="str">
        <f>IF(B176="","←停留所idを選択",VLOOKUP(B176,'06停留所'!$B$2:$C$10500,2,0))</f>
        <v>←停留所idを選択</v>
      </c>
      <c r="D176" s="5"/>
      <c r="E176" s="5"/>
      <c r="F176" s="6"/>
    </row>
    <row r="177" spans="1:6" x14ac:dyDescent="0.2">
      <c r="A177" s="2">
        <v>176</v>
      </c>
      <c r="B177" s="5"/>
      <c r="C177" s="10" t="str">
        <f>IF(B177="","←停留所idを選択",VLOOKUP(B177,'06停留所'!$B$2:$C$10500,2,0))</f>
        <v>←停留所idを選択</v>
      </c>
      <c r="D177" s="5"/>
      <c r="E177" s="5"/>
      <c r="F177" s="6"/>
    </row>
    <row r="178" spans="1:6" x14ac:dyDescent="0.2">
      <c r="A178" s="2">
        <v>177</v>
      </c>
      <c r="B178" s="5"/>
      <c r="C178" s="10" t="str">
        <f>IF(B178="","←停留所idを選択",VLOOKUP(B178,'06停留所'!$B$2:$C$10500,2,0))</f>
        <v>←停留所idを選択</v>
      </c>
      <c r="D178" s="5"/>
      <c r="E178" s="5"/>
      <c r="F178" s="6"/>
    </row>
    <row r="179" spans="1:6" x14ac:dyDescent="0.2">
      <c r="A179" s="2">
        <v>178</v>
      </c>
      <c r="B179" s="5"/>
      <c r="C179" s="10" t="str">
        <f>IF(B179="","←停留所idを選択",VLOOKUP(B179,'06停留所'!$B$2:$C$10500,2,0))</f>
        <v>←停留所idを選択</v>
      </c>
      <c r="D179" s="5"/>
      <c r="E179" s="5"/>
      <c r="F179" s="6"/>
    </row>
    <row r="180" spans="1:6" x14ac:dyDescent="0.2">
      <c r="A180" s="2">
        <v>179</v>
      </c>
      <c r="B180" s="5"/>
      <c r="C180" s="10" t="str">
        <f>IF(B180="","←停留所idを選択",VLOOKUP(B180,'06停留所'!$B$2:$C$10500,2,0))</f>
        <v>←停留所idを選択</v>
      </c>
      <c r="D180" s="5"/>
      <c r="E180" s="5"/>
      <c r="F180" s="6"/>
    </row>
    <row r="181" spans="1:6" x14ac:dyDescent="0.2">
      <c r="A181" s="2">
        <v>180</v>
      </c>
      <c r="B181" s="5"/>
      <c r="C181" s="10" t="str">
        <f>IF(B181="","←停留所idを選択",VLOOKUP(B181,'06停留所'!$B$2:$C$10500,2,0))</f>
        <v>←停留所idを選択</v>
      </c>
      <c r="D181" s="5"/>
      <c r="E181" s="5"/>
      <c r="F181" s="6"/>
    </row>
    <row r="182" spans="1:6" x14ac:dyDescent="0.2">
      <c r="A182" s="2">
        <v>181</v>
      </c>
      <c r="B182" s="5"/>
      <c r="C182" s="10" t="str">
        <f>IF(B182="","←停留所idを選択",VLOOKUP(B182,'06停留所'!$B$2:$C$10500,2,0))</f>
        <v>←停留所idを選択</v>
      </c>
      <c r="D182" s="5"/>
      <c r="E182" s="5"/>
      <c r="F182" s="6"/>
    </row>
    <row r="183" spans="1:6" x14ac:dyDescent="0.2">
      <c r="A183" s="2">
        <v>182</v>
      </c>
      <c r="B183" s="5"/>
      <c r="C183" s="10" t="str">
        <f>IF(B183="","←停留所idを選択",VLOOKUP(B183,'06停留所'!$B$2:$C$10500,2,0))</f>
        <v>←停留所idを選択</v>
      </c>
      <c r="D183" s="5"/>
      <c r="E183" s="5"/>
      <c r="F183" s="6"/>
    </row>
    <row r="184" spans="1:6" x14ac:dyDescent="0.2">
      <c r="A184" s="2">
        <v>183</v>
      </c>
      <c r="B184" s="5"/>
      <c r="C184" s="10" t="str">
        <f>IF(B184="","←停留所idを選択",VLOOKUP(B184,'06停留所'!$B$2:$C$10500,2,0))</f>
        <v>←停留所idを選択</v>
      </c>
      <c r="D184" s="5"/>
      <c r="E184" s="5"/>
      <c r="F184" s="6"/>
    </row>
    <row r="185" spans="1:6" x14ac:dyDescent="0.2">
      <c r="A185" s="2">
        <v>184</v>
      </c>
      <c r="B185" s="5"/>
      <c r="C185" s="10" t="str">
        <f>IF(B185="","←停留所idを選択",VLOOKUP(B185,'06停留所'!$B$2:$C$10500,2,0))</f>
        <v>←停留所idを選択</v>
      </c>
      <c r="D185" s="5"/>
      <c r="E185" s="5"/>
      <c r="F185" s="6"/>
    </row>
    <row r="186" spans="1:6" x14ac:dyDescent="0.2">
      <c r="A186" s="2">
        <v>185</v>
      </c>
      <c r="B186" s="5"/>
      <c r="C186" s="10" t="str">
        <f>IF(B186="","←停留所idを選択",VLOOKUP(B186,'06停留所'!$B$2:$C$10500,2,0))</f>
        <v>←停留所idを選択</v>
      </c>
      <c r="D186" s="5"/>
      <c r="E186" s="5"/>
      <c r="F186" s="6"/>
    </row>
    <row r="187" spans="1:6" x14ac:dyDescent="0.2">
      <c r="A187" s="2">
        <v>186</v>
      </c>
      <c r="B187" s="5"/>
      <c r="C187" s="10" t="str">
        <f>IF(B187="","←停留所idを選択",VLOOKUP(B187,'06停留所'!$B$2:$C$10500,2,0))</f>
        <v>←停留所idを選択</v>
      </c>
      <c r="D187" s="5"/>
      <c r="E187" s="5"/>
      <c r="F187" s="6"/>
    </row>
    <row r="188" spans="1:6" x14ac:dyDescent="0.2">
      <c r="A188" s="2">
        <v>187</v>
      </c>
      <c r="B188" s="5"/>
      <c r="C188" s="10" t="str">
        <f>IF(B188="","←停留所idを選択",VLOOKUP(B188,'06停留所'!$B$2:$C$10500,2,0))</f>
        <v>←停留所idを選択</v>
      </c>
      <c r="D188" s="5"/>
      <c r="E188" s="5"/>
      <c r="F188" s="6"/>
    </row>
    <row r="189" spans="1:6" x14ac:dyDescent="0.2">
      <c r="A189" s="2">
        <v>188</v>
      </c>
      <c r="B189" s="5"/>
      <c r="C189" s="10" t="str">
        <f>IF(B189="","←停留所idを選択",VLOOKUP(B189,'06停留所'!$B$2:$C$10500,2,0))</f>
        <v>←停留所idを選択</v>
      </c>
      <c r="D189" s="5"/>
      <c r="E189" s="5"/>
      <c r="F189" s="6"/>
    </row>
    <row r="190" spans="1:6" x14ac:dyDescent="0.2">
      <c r="A190" s="2">
        <v>189</v>
      </c>
      <c r="B190" s="5"/>
      <c r="C190" s="10" t="str">
        <f>IF(B190="","←停留所idを選択",VLOOKUP(B190,'06停留所'!$B$2:$C$10500,2,0))</f>
        <v>←停留所idを選択</v>
      </c>
      <c r="D190" s="5"/>
      <c r="E190" s="5"/>
      <c r="F190" s="6"/>
    </row>
    <row r="191" spans="1:6" x14ac:dyDescent="0.2">
      <c r="A191" s="2">
        <v>190</v>
      </c>
      <c r="B191" s="5"/>
      <c r="C191" s="10" t="str">
        <f>IF(B191="","←停留所idを選択",VLOOKUP(B191,'06停留所'!$B$2:$C$10500,2,0))</f>
        <v>←停留所idを選択</v>
      </c>
      <c r="D191" s="5"/>
      <c r="E191" s="5"/>
      <c r="F191" s="6"/>
    </row>
    <row r="192" spans="1:6" x14ac:dyDescent="0.2">
      <c r="A192" s="2">
        <v>191</v>
      </c>
      <c r="B192" s="5"/>
      <c r="C192" s="10" t="str">
        <f>IF(B192="","←停留所idを選択",VLOOKUP(B192,'06停留所'!$B$2:$C$10500,2,0))</f>
        <v>←停留所idを選択</v>
      </c>
      <c r="D192" s="5"/>
      <c r="E192" s="5"/>
      <c r="F192" s="6"/>
    </row>
    <row r="193" spans="1:6" x14ac:dyDescent="0.2">
      <c r="A193" s="2">
        <v>192</v>
      </c>
      <c r="B193" s="5"/>
      <c r="C193" s="10" t="str">
        <f>IF(B193="","←停留所idを選択",VLOOKUP(B193,'06停留所'!$B$2:$C$10500,2,0))</f>
        <v>←停留所idを選択</v>
      </c>
      <c r="D193" s="5"/>
      <c r="E193" s="5"/>
      <c r="F193" s="6"/>
    </row>
    <row r="194" spans="1:6" x14ac:dyDescent="0.2">
      <c r="A194" s="2">
        <v>193</v>
      </c>
      <c r="B194" s="5"/>
      <c r="C194" s="10" t="str">
        <f>IF(B194="","←停留所idを選択",VLOOKUP(B194,'06停留所'!$B$2:$C$10500,2,0))</f>
        <v>←停留所idを選択</v>
      </c>
      <c r="D194" s="5"/>
      <c r="E194" s="5"/>
      <c r="F194" s="6"/>
    </row>
    <row r="195" spans="1:6" x14ac:dyDescent="0.2">
      <c r="A195" s="2">
        <v>194</v>
      </c>
      <c r="B195" s="5"/>
      <c r="C195" s="10" t="str">
        <f>IF(B195="","←停留所idを選択",VLOOKUP(B195,'06停留所'!$B$2:$C$10500,2,0))</f>
        <v>←停留所idを選択</v>
      </c>
      <c r="D195" s="5"/>
      <c r="E195" s="5"/>
      <c r="F195" s="6"/>
    </row>
    <row r="196" spans="1:6" x14ac:dyDescent="0.2">
      <c r="A196" s="2">
        <v>195</v>
      </c>
      <c r="B196" s="5"/>
      <c r="C196" s="10" t="str">
        <f>IF(B196="","←停留所idを選択",VLOOKUP(B196,'06停留所'!$B$2:$C$10500,2,0))</f>
        <v>←停留所idを選択</v>
      </c>
      <c r="D196" s="5"/>
      <c r="E196" s="5"/>
      <c r="F196" s="6"/>
    </row>
    <row r="197" spans="1:6" x14ac:dyDescent="0.2">
      <c r="A197" s="2">
        <v>196</v>
      </c>
      <c r="B197" s="5"/>
      <c r="C197" s="10" t="str">
        <f>IF(B197="","←停留所idを選択",VLOOKUP(B197,'06停留所'!$B$2:$C$10500,2,0))</f>
        <v>←停留所idを選択</v>
      </c>
      <c r="D197" s="5"/>
      <c r="E197" s="5"/>
      <c r="F197" s="6"/>
    </row>
    <row r="198" spans="1:6" x14ac:dyDescent="0.2">
      <c r="A198" s="2">
        <v>197</v>
      </c>
      <c r="B198" s="5"/>
      <c r="C198" s="10" t="str">
        <f>IF(B198="","←停留所idを選択",VLOOKUP(B198,'06停留所'!$B$2:$C$10500,2,0))</f>
        <v>←停留所idを選択</v>
      </c>
      <c r="D198" s="5"/>
      <c r="E198" s="5"/>
      <c r="F198" s="6"/>
    </row>
    <row r="199" spans="1:6" x14ac:dyDescent="0.2">
      <c r="A199" s="2">
        <v>198</v>
      </c>
      <c r="B199" s="5"/>
      <c r="C199" s="10" t="str">
        <f>IF(B199="","←停留所idを選択",VLOOKUP(B199,'06停留所'!$B$2:$C$10500,2,0))</f>
        <v>←停留所idを選択</v>
      </c>
      <c r="D199" s="5"/>
      <c r="E199" s="5"/>
      <c r="F199" s="6"/>
    </row>
    <row r="200" spans="1:6" x14ac:dyDescent="0.2">
      <c r="A200" s="2">
        <v>199</v>
      </c>
      <c r="B200" s="5"/>
      <c r="C200" s="10" t="str">
        <f>IF(B200="","←停留所idを選択",VLOOKUP(B200,'06停留所'!$B$2:$C$10500,2,0))</f>
        <v>←停留所idを選択</v>
      </c>
      <c r="D200" s="5"/>
      <c r="E200" s="5"/>
      <c r="F200" s="6"/>
    </row>
    <row r="201" spans="1:6" x14ac:dyDescent="0.2">
      <c r="A201" s="2">
        <v>200</v>
      </c>
      <c r="B201" s="5"/>
      <c r="C201" s="10" t="str">
        <f>IF(B201="","←停留所idを選択",VLOOKUP(B201,'06停留所'!$B$2:$C$10500,2,0))</f>
        <v>←停留所idを選択</v>
      </c>
      <c r="D201" s="5"/>
      <c r="E201" s="5"/>
      <c r="F201" s="6"/>
    </row>
    <row r="202" spans="1:6" x14ac:dyDescent="0.2">
      <c r="A202" s="2">
        <v>201</v>
      </c>
      <c r="B202" s="5"/>
      <c r="C202" s="10" t="str">
        <f>IF(B202="","←停留所idを選択",VLOOKUP(B202,'06停留所'!$B$2:$C$10500,2,0))</f>
        <v>←停留所idを選択</v>
      </c>
      <c r="D202" s="5"/>
      <c r="E202" s="5"/>
      <c r="F202" s="6"/>
    </row>
    <row r="203" spans="1:6" x14ac:dyDescent="0.2">
      <c r="A203" s="2">
        <v>202</v>
      </c>
      <c r="B203" s="5"/>
      <c r="C203" s="10" t="str">
        <f>IF(B203="","←停留所idを選択",VLOOKUP(B203,'06停留所'!$B$2:$C$10500,2,0))</f>
        <v>←停留所idを選択</v>
      </c>
      <c r="D203" s="5"/>
      <c r="E203" s="5"/>
      <c r="F203" s="6"/>
    </row>
    <row r="204" spans="1:6" x14ac:dyDescent="0.2">
      <c r="A204" s="2">
        <v>203</v>
      </c>
      <c r="B204" s="5"/>
      <c r="C204" s="10" t="str">
        <f>IF(B204="","←停留所idを選択",VLOOKUP(B204,'06停留所'!$B$2:$C$10500,2,0))</f>
        <v>←停留所idを選択</v>
      </c>
      <c r="D204" s="5"/>
      <c r="E204" s="5"/>
      <c r="F204" s="6"/>
    </row>
    <row r="205" spans="1:6" x14ac:dyDescent="0.2">
      <c r="A205" s="2">
        <v>204</v>
      </c>
      <c r="B205" s="5"/>
      <c r="C205" s="10" t="str">
        <f>IF(B205="","←停留所idを選択",VLOOKUP(B205,'06停留所'!$B$2:$C$10500,2,0))</f>
        <v>←停留所idを選択</v>
      </c>
      <c r="D205" s="5"/>
      <c r="E205" s="5"/>
      <c r="F205" s="6"/>
    </row>
    <row r="206" spans="1:6" x14ac:dyDescent="0.2">
      <c r="A206" s="2">
        <v>205</v>
      </c>
      <c r="B206" s="5"/>
      <c r="C206" s="10" t="str">
        <f>IF(B206="","←停留所idを選択",VLOOKUP(B206,'06停留所'!$B$2:$C$10500,2,0))</f>
        <v>←停留所idを選択</v>
      </c>
      <c r="D206" s="5"/>
      <c r="E206" s="5"/>
      <c r="F206" s="6"/>
    </row>
    <row r="207" spans="1:6" x14ac:dyDescent="0.2">
      <c r="A207" s="2">
        <v>206</v>
      </c>
      <c r="B207" s="5"/>
      <c r="C207" s="10" t="str">
        <f>IF(B207="","←停留所idを選択",VLOOKUP(B207,'06停留所'!$B$2:$C$10500,2,0))</f>
        <v>←停留所idを選択</v>
      </c>
      <c r="D207" s="5"/>
      <c r="E207" s="5"/>
      <c r="F207" s="6"/>
    </row>
    <row r="208" spans="1:6" x14ac:dyDescent="0.2">
      <c r="A208" s="2">
        <v>207</v>
      </c>
      <c r="B208" s="5"/>
      <c r="C208" s="10" t="str">
        <f>IF(B208="","←停留所idを選択",VLOOKUP(B208,'06停留所'!$B$2:$C$10500,2,0))</f>
        <v>←停留所idを選択</v>
      </c>
      <c r="D208" s="5"/>
      <c r="E208" s="5"/>
      <c r="F208" s="6"/>
    </row>
    <row r="209" spans="1:6" x14ac:dyDescent="0.2">
      <c r="A209" s="2">
        <v>208</v>
      </c>
      <c r="B209" s="5"/>
      <c r="C209" s="10" t="str">
        <f>IF(B209="","←停留所idを選択",VLOOKUP(B209,'06停留所'!$B$2:$C$10500,2,0))</f>
        <v>←停留所idを選択</v>
      </c>
      <c r="D209" s="5"/>
      <c r="E209" s="5"/>
      <c r="F209" s="6"/>
    </row>
    <row r="210" spans="1:6" x14ac:dyDescent="0.2">
      <c r="A210" s="2">
        <v>209</v>
      </c>
      <c r="B210" s="5"/>
      <c r="C210" s="10" t="str">
        <f>IF(B210="","←停留所idを選択",VLOOKUP(B210,'06停留所'!$B$2:$C$10500,2,0))</f>
        <v>←停留所idを選択</v>
      </c>
      <c r="D210" s="5"/>
      <c r="E210" s="5"/>
      <c r="F210" s="6"/>
    </row>
    <row r="211" spans="1:6" x14ac:dyDescent="0.2">
      <c r="A211" s="2">
        <v>210</v>
      </c>
      <c r="B211" s="5"/>
      <c r="C211" s="10" t="str">
        <f>IF(B211="","←停留所idを選択",VLOOKUP(B211,'06停留所'!$B$2:$C$10500,2,0))</f>
        <v>←停留所idを選択</v>
      </c>
      <c r="D211" s="5"/>
      <c r="E211" s="5"/>
      <c r="F211" s="6"/>
    </row>
    <row r="212" spans="1:6" x14ac:dyDescent="0.2">
      <c r="A212" s="2">
        <v>211</v>
      </c>
      <c r="B212" s="5"/>
      <c r="C212" s="10" t="str">
        <f>IF(B212="","←停留所idを選択",VLOOKUP(B212,'06停留所'!$B$2:$C$10500,2,0))</f>
        <v>←停留所idを選択</v>
      </c>
      <c r="D212" s="5"/>
      <c r="E212" s="5"/>
      <c r="F212" s="6"/>
    </row>
    <row r="213" spans="1:6" x14ac:dyDescent="0.2">
      <c r="A213" s="2">
        <v>212</v>
      </c>
      <c r="B213" s="5"/>
      <c r="C213" s="10" t="str">
        <f>IF(B213="","←停留所idを選択",VLOOKUP(B213,'06停留所'!$B$2:$C$10500,2,0))</f>
        <v>←停留所idを選択</v>
      </c>
      <c r="D213" s="5"/>
      <c r="E213" s="5"/>
      <c r="F213" s="6"/>
    </row>
    <row r="214" spans="1:6" x14ac:dyDescent="0.2">
      <c r="A214" s="2">
        <v>213</v>
      </c>
      <c r="B214" s="5"/>
      <c r="C214" s="10" t="str">
        <f>IF(B214="","←停留所idを選択",VLOOKUP(B214,'06停留所'!$B$2:$C$10500,2,0))</f>
        <v>←停留所idを選択</v>
      </c>
      <c r="D214" s="5"/>
      <c r="E214" s="5"/>
      <c r="F214" s="6"/>
    </row>
    <row r="215" spans="1:6" x14ac:dyDescent="0.2">
      <c r="A215" s="2">
        <v>214</v>
      </c>
      <c r="B215" s="5"/>
      <c r="C215" s="10" t="str">
        <f>IF(B215="","←停留所idを選択",VLOOKUP(B215,'06停留所'!$B$2:$C$10500,2,0))</f>
        <v>←停留所idを選択</v>
      </c>
      <c r="D215" s="5"/>
      <c r="E215" s="5"/>
      <c r="F215" s="6"/>
    </row>
    <row r="216" spans="1:6" x14ac:dyDescent="0.2">
      <c r="A216" s="2">
        <v>215</v>
      </c>
      <c r="B216" s="5"/>
      <c r="C216" s="10" t="str">
        <f>IF(B216="","←停留所idを選択",VLOOKUP(B216,'06停留所'!$B$2:$C$10500,2,0))</f>
        <v>←停留所idを選択</v>
      </c>
      <c r="D216" s="5"/>
      <c r="E216" s="5"/>
      <c r="F216" s="6"/>
    </row>
    <row r="217" spans="1:6" x14ac:dyDescent="0.2">
      <c r="A217" s="2">
        <v>216</v>
      </c>
      <c r="B217" s="5"/>
      <c r="C217" s="10" t="str">
        <f>IF(B217="","←停留所idを選択",VLOOKUP(B217,'06停留所'!$B$2:$C$10500,2,0))</f>
        <v>←停留所idを選択</v>
      </c>
      <c r="D217" s="5"/>
      <c r="E217" s="5"/>
      <c r="F217" s="6"/>
    </row>
    <row r="218" spans="1:6" x14ac:dyDescent="0.2">
      <c r="A218" s="2">
        <v>217</v>
      </c>
      <c r="B218" s="5"/>
      <c r="C218" s="10" t="str">
        <f>IF(B218="","←停留所idを選択",VLOOKUP(B218,'06停留所'!$B$2:$C$10500,2,0))</f>
        <v>←停留所idを選択</v>
      </c>
      <c r="D218" s="5"/>
      <c r="E218" s="5"/>
      <c r="F218" s="6"/>
    </row>
    <row r="219" spans="1:6" x14ac:dyDescent="0.2">
      <c r="A219" s="2">
        <v>218</v>
      </c>
      <c r="B219" s="5"/>
      <c r="C219" s="10" t="str">
        <f>IF(B219="","←停留所idを選択",VLOOKUP(B219,'06停留所'!$B$2:$C$10500,2,0))</f>
        <v>←停留所idを選択</v>
      </c>
      <c r="D219" s="5"/>
      <c r="E219" s="5"/>
      <c r="F219" s="6"/>
    </row>
    <row r="220" spans="1:6" x14ac:dyDescent="0.2">
      <c r="A220" s="2">
        <v>219</v>
      </c>
      <c r="B220" s="5"/>
      <c r="C220" s="10" t="str">
        <f>IF(B220="","←停留所idを選択",VLOOKUP(B220,'06停留所'!$B$2:$C$10500,2,0))</f>
        <v>←停留所idを選択</v>
      </c>
      <c r="D220" s="5"/>
      <c r="E220" s="5"/>
      <c r="F220" s="6"/>
    </row>
    <row r="221" spans="1:6" x14ac:dyDescent="0.2">
      <c r="A221" s="2">
        <v>220</v>
      </c>
      <c r="B221" s="5"/>
      <c r="C221" s="10" t="str">
        <f>IF(B221="","←停留所idを選択",VLOOKUP(B221,'06停留所'!$B$2:$C$10500,2,0))</f>
        <v>←停留所idを選択</v>
      </c>
      <c r="D221" s="5"/>
      <c r="E221" s="5"/>
      <c r="F221" s="6"/>
    </row>
    <row r="222" spans="1:6" x14ac:dyDescent="0.2">
      <c r="A222" s="2">
        <v>221</v>
      </c>
      <c r="B222" s="5"/>
      <c r="C222" s="10" t="str">
        <f>IF(B222="","←停留所idを選択",VLOOKUP(B222,'06停留所'!$B$2:$C$10500,2,0))</f>
        <v>←停留所idを選択</v>
      </c>
      <c r="D222" s="5"/>
      <c r="E222" s="5"/>
      <c r="F222" s="6"/>
    </row>
    <row r="223" spans="1:6" x14ac:dyDescent="0.2">
      <c r="A223" s="2">
        <v>222</v>
      </c>
      <c r="B223" s="5"/>
      <c r="C223" s="10" t="str">
        <f>IF(B223="","←停留所idを選択",VLOOKUP(B223,'06停留所'!$B$2:$C$10500,2,0))</f>
        <v>←停留所idを選択</v>
      </c>
      <c r="D223" s="5"/>
      <c r="E223" s="5"/>
      <c r="F223" s="6"/>
    </row>
    <row r="224" spans="1:6" x14ac:dyDescent="0.2">
      <c r="A224" s="2">
        <v>223</v>
      </c>
      <c r="B224" s="5"/>
      <c r="C224" s="10" t="str">
        <f>IF(B224="","←停留所idを選択",VLOOKUP(B224,'06停留所'!$B$2:$C$10500,2,0))</f>
        <v>←停留所idを選択</v>
      </c>
      <c r="D224" s="5"/>
      <c r="E224" s="5"/>
      <c r="F224" s="6"/>
    </row>
    <row r="225" spans="1:6" x14ac:dyDescent="0.2">
      <c r="A225" s="2">
        <v>224</v>
      </c>
      <c r="B225" s="5"/>
      <c r="C225" s="10" t="str">
        <f>IF(B225="","←停留所idを選択",VLOOKUP(B225,'06停留所'!$B$2:$C$10500,2,0))</f>
        <v>←停留所idを選択</v>
      </c>
      <c r="D225" s="5"/>
      <c r="E225" s="5"/>
      <c r="F225" s="6"/>
    </row>
    <row r="226" spans="1:6" x14ac:dyDescent="0.2">
      <c r="A226" s="2">
        <v>225</v>
      </c>
      <c r="B226" s="5"/>
      <c r="C226" s="10" t="str">
        <f>IF(B226="","←停留所idを選択",VLOOKUP(B226,'06停留所'!$B$2:$C$10500,2,0))</f>
        <v>←停留所idを選択</v>
      </c>
      <c r="D226" s="5"/>
      <c r="E226" s="5"/>
      <c r="F226" s="6"/>
    </row>
    <row r="227" spans="1:6" x14ac:dyDescent="0.2">
      <c r="A227" s="2">
        <v>226</v>
      </c>
      <c r="B227" s="5"/>
      <c r="C227" s="10" t="str">
        <f>IF(B227="","←停留所idを選択",VLOOKUP(B227,'06停留所'!$B$2:$C$10500,2,0))</f>
        <v>←停留所idを選択</v>
      </c>
      <c r="D227" s="5"/>
      <c r="E227" s="5"/>
      <c r="F227" s="6"/>
    </row>
    <row r="228" spans="1:6" x14ac:dyDescent="0.2">
      <c r="A228" s="2">
        <v>227</v>
      </c>
      <c r="B228" s="5"/>
      <c r="C228" s="10" t="str">
        <f>IF(B228="","←停留所idを選択",VLOOKUP(B228,'06停留所'!$B$2:$C$10500,2,0))</f>
        <v>←停留所idを選択</v>
      </c>
      <c r="D228" s="5"/>
      <c r="E228" s="5"/>
      <c r="F228" s="6"/>
    </row>
    <row r="229" spans="1:6" x14ac:dyDescent="0.2">
      <c r="A229" s="2">
        <v>228</v>
      </c>
      <c r="B229" s="5"/>
      <c r="C229" s="10" t="str">
        <f>IF(B229="","←停留所idを選択",VLOOKUP(B229,'06停留所'!$B$2:$C$10500,2,0))</f>
        <v>←停留所idを選択</v>
      </c>
      <c r="D229" s="5"/>
      <c r="E229" s="5"/>
      <c r="F229" s="6"/>
    </row>
    <row r="230" spans="1:6" x14ac:dyDescent="0.2">
      <c r="A230" s="2">
        <v>229</v>
      </c>
      <c r="B230" s="5"/>
      <c r="C230" s="10" t="str">
        <f>IF(B230="","←停留所idを選択",VLOOKUP(B230,'06停留所'!$B$2:$C$10500,2,0))</f>
        <v>←停留所idを選択</v>
      </c>
      <c r="D230" s="5"/>
      <c r="E230" s="5"/>
      <c r="F230" s="6"/>
    </row>
    <row r="231" spans="1:6" x14ac:dyDescent="0.2">
      <c r="A231" s="2">
        <v>230</v>
      </c>
      <c r="B231" s="5"/>
      <c r="C231" s="10" t="str">
        <f>IF(B231="","←停留所idを選択",VLOOKUP(B231,'06停留所'!$B$2:$C$10500,2,0))</f>
        <v>←停留所idを選択</v>
      </c>
      <c r="D231" s="5"/>
      <c r="E231" s="5"/>
      <c r="F231" s="6"/>
    </row>
    <row r="232" spans="1:6" x14ac:dyDescent="0.2">
      <c r="A232" s="2">
        <v>231</v>
      </c>
      <c r="B232" s="5"/>
      <c r="C232" s="10" t="str">
        <f>IF(B232="","←停留所idを選択",VLOOKUP(B232,'06停留所'!$B$2:$C$10500,2,0))</f>
        <v>←停留所idを選択</v>
      </c>
      <c r="D232" s="5"/>
      <c r="E232" s="5"/>
      <c r="F232" s="6"/>
    </row>
    <row r="233" spans="1:6" x14ac:dyDescent="0.2">
      <c r="A233" s="2">
        <v>232</v>
      </c>
      <c r="B233" s="5"/>
      <c r="C233" s="10" t="str">
        <f>IF(B233="","←停留所idを選択",VLOOKUP(B233,'06停留所'!$B$2:$C$10500,2,0))</f>
        <v>←停留所idを選択</v>
      </c>
      <c r="D233" s="5"/>
      <c r="E233" s="5"/>
      <c r="F233" s="6"/>
    </row>
    <row r="234" spans="1:6" x14ac:dyDescent="0.2">
      <c r="A234" s="2">
        <v>233</v>
      </c>
      <c r="B234" s="5"/>
      <c r="C234" s="10" t="str">
        <f>IF(B234="","←停留所idを選択",VLOOKUP(B234,'06停留所'!$B$2:$C$10500,2,0))</f>
        <v>←停留所idを選択</v>
      </c>
      <c r="D234" s="5"/>
      <c r="E234" s="5"/>
      <c r="F234" s="6"/>
    </row>
    <row r="235" spans="1:6" x14ac:dyDescent="0.2">
      <c r="A235" s="2">
        <v>234</v>
      </c>
      <c r="B235" s="5"/>
      <c r="C235" s="10" t="str">
        <f>IF(B235="","←停留所idを選択",VLOOKUP(B235,'06停留所'!$B$2:$C$10500,2,0))</f>
        <v>←停留所idを選択</v>
      </c>
      <c r="D235" s="5"/>
      <c r="E235" s="5"/>
      <c r="F235" s="6"/>
    </row>
    <row r="236" spans="1:6" x14ac:dyDescent="0.2">
      <c r="A236" s="2">
        <v>235</v>
      </c>
      <c r="B236" s="5"/>
      <c r="C236" s="10" t="str">
        <f>IF(B236="","←停留所idを選択",VLOOKUP(B236,'06停留所'!$B$2:$C$10500,2,0))</f>
        <v>←停留所idを選択</v>
      </c>
      <c r="D236" s="5"/>
      <c r="E236" s="5"/>
      <c r="F236" s="6"/>
    </row>
    <row r="237" spans="1:6" x14ac:dyDescent="0.2">
      <c r="A237" s="2">
        <v>236</v>
      </c>
      <c r="B237" s="5"/>
      <c r="C237" s="10" t="str">
        <f>IF(B237="","←停留所idを選択",VLOOKUP(B237,'06停留所'!$B$2:$C$10500,2,0))</f>
        <v>←停留所idを選択</v>
      </c>
      <c r="D237" s="5"/>
      <c r="E237" s="5"/>
      <c r="F237" s="6"/>
    </row>
    <row r="238" spans="1:6" x14ac:dyDescent="0.2">
      <c r="A238" s="2">
        <v>237</v>
      </c>
      <c r="B238" s="5"/>
      <c r="C238" s="10" t="str">
        <f>IF(B238="","←停留所idを選択",VLOOKUP(B238,'06停留所'!$B$2:$C$10500,2,0))</f>
        <v>←停留所idを選択</v>
      </c>
      <c r="D238" s="5"/>
      <c r="E238" s="5"/>
      <c r="F238" s="6"/>
    </row>
    <row r="239" spans="1:6" x14ac:dyDescent="0.2">
      <c r="A239" s="2">
        <v>238</v>
      </c>
      <c r="B239" s="5"/>
      <c r="C239" s="10" t="str">
        <f>IF(B239="","←停留所idを選択",VLOOKUP(B239,'06停留所'!$B$2:$C$10500,2,0))</f>
        <v>←停留所idを選択</v>
      </c>
      <c r="D239" s="5"/>
      <c r="E239" s="5"/>
      <c r="F239" s="6"/>
    </row>
    <row r="240" spans="1:6" x14ac:dyDescent="0.2">
      <c r="A240" s="2">
        <v>239</v>
      </c>
      <c r="B240" s="5"/>
      <c r="C240" s="10" t="str">
        <f>IF(B240="","←停留所idを選択",VLOOKUP(B240,'06停留所'!$B$2:$C$10500,2,0))</f>
        <v>←停留所idを選択</v>
      </c>
      <c r="D240" s="5"/>
      <c r="E240" s="5"/>
      <c r="F240" s="6"/>
    </row>
    <row r="241" spans="1:6" x14ac:dyDescent="0.2">
      <c r="A241" s="2">
        <v>240</v>
      </c>
      <c r="B241" s="5"/>
      <c r="C241" s="10" t="str">
        <f>IF(B241="","←停留所idを選択",VLOOKUP(B241,'06停留所'!$B$2:$C$10500,2,0))</f>
        <v>←停留所idを選択</v>
      </c>
      <c r="D241" s="5"/>
      <c r="E241" s="5"/>
      <c r="F241" s="6"/>
    </row>
    <row r="242" spans="1:6" x14ac:dyDescent="0.2">
      <c r="A242" s="2">
        <v>241</v>
      </c>
      <c r="B242" s="5"/>
      <c r="C242" s="10" t="str">
        <f>IF(B242="","←停留所idを選択",VLOOKUP(B242,'06停留所'!$B$2:$C$10500,2,0))</f>
        <v>←停留所idを選択</v>
      </c>
      <c r="D242" s="5"/>
      <c r="E242" s="5"/>
      <c r="F242" s="6"/>
    </row>
    <row r="243" spans="1:6" x14ac:dyDescent="0.2">
      <c r="A243" s="2">
        <v>242</v>
      </c>
      <c r="B243" s="5"/>
      <c r="C243" s="10" t="str">
        <f>IF(B243="","←停留所idを選択",VLOOKUP(B243,'06停留所'!$B$2:$C$10500,2,0))</f>
        <v>←停留所idを選択</v>
      </c>
      <c r="D243" s="5"/>
      <c r="E243" s="5"/>
      <c r="F243" s="6"/>
    </row>
    <row r="244" spans="1:6" x14ac:dyDescent="0.2">
      <c r="A244" s="2">
        <v>243</v>
      </c>
      <c r="B244" s="5"/>
      <c r="C244" s="10" t="str">
        <f>IF(B244="","←停留所idを選択",VLOOKUP(B244,'06停留所'!$B$2:$C$10500,2,0))</f>
        <v>←停留所idを選択</v>
      </c>
      <c r="D244" s="5"/>
      <c r="E244" s="5"/>
      <c r="F244" s="6"/>
    </row>
    <row r="245" spans="1:6" x14ac:dyDescent="0.2">
      <c r="A245" s="2">
        <v>244</v>
      </c>
      <c r="B245" s="5"/>
      <c r="C245" s="10" t="str">
        <f>IF(B245="","←停留所idを選択",VLOOKUP(B245,'06停留所'!$B$2:$C$10500,2,0))</f>
        <v>←停留所idを選択</v>
      </c>
      <c r="D245" s="5"/>
      <c r="E245" s="5"/>
      <c r="F245" s="6"/>
    </row>
    <row r="246" spans="1:6" x14ac:dyDescent="0.2">
      <c r="A246" s="2">
        <v>245</v>
      </c>
      <c r="B246" s="5"/>
      <c r="C246" s="10" t="str">
        <f>IF(B246="","←停留所idを選択",VLOOKUP(B246,'06停留所'!$B$2:$C$10500,2,0))</f>
        <v>←停留所idを選択</v>
      </c>
      <c r="D246" s="5"/>
      <c r="E246" s="5"/>
      <c r="F246" s="6"/>
    </row>
    <row r="247" spans="1:6" x14ac:dyDescent="0.2">
      <c r="A247" s="2">
        <v>246</v>
      </c>
      <c r="B247" s="5"/>
      <c r="C247" s="10" t="str">
        <f>IF(B247="","←停留所idを選択",VLOOKUP(B247,'06停留所'!$B$2:$C$10500,2,0))</f>
        <v>←停留所idを選択</v>
      </c>
      <c r="D247" s="5"/>
      <c r="E247" s="5"/>
      <c r="F247" s="6"/>
    </row>
    <row r="248" spans="1:6" x14ac:dyDescent="0.2">
      <c r="A248" s="2">
        <v>247</v>
      </c>
      <c r="B248" s="5"/>
      <c r="C248" s="10" t="str">
        <f>IF(B248="","←停留所idを選択",VLOOKUP(B248,'06停留所'!$B$2:$C$10500,2,0))</f>
        <v>←停留所idを選択</v>
      </c>
      <c r="D248" s="5"/>
      <c r="E248" s="5"/>
      <c r="F248" s="6"/>
    </row>
    <row r="249" spans="1:6" x14ac:dyDescent="0.2">
      <c r="A249" s="2">
        <v>248</v>
      </c>
      <c r="B249" s="5"/>
      <c r="C249" s="10" t="str">
        <f>IF(B249="","←停留所idを選択",VLOOKUP(B249,'06停留所'!$B$2:$C$10500,2,0))</f>
        <v>←停留所idを選択</v>
      </c>
      <c r="D249" s="5"/>
      <c r="E249" s="5"/>
      <c r="F249" s="6"/>
    </row>
    <row r="250" spans="1:6" x14ac:dyDescent="0.2">
      <c r="A250" s="2">
        <v>249</v>
      </c>
      <c r="B250" s="5"/>
      <c r="C250" s="10" t="str">
        <f>IF(B250="","←停留所idを選択",VLOOKUP(B250,'06停留所'!$B$2:$C$10500,2,0))</f>
        <v>←停留所idを選択</v>
      </c>
      <c r="D250" s="5"/>
      <c r="E250" s="5"/>
      <c r="F250" s="6"/>
    </row>
    <row r="251" spans="1:6" x14ac:dyDescent="0.2">
      <c r="A251" s="2">
        <v>250</v>
      </c>
      <c r="B251" s="5"/>
      <c r="C251" s="10" t="str">
        <f>IF(B251="","←停留所idを選択",VLOOKUP(B251,'06停留所'!$B$2:$C$10500,2,0))</f>
        <v>←停留所idを選択</v>
      </c>
      <c r="D251" s="5"/>
      <c r="E251" s="5"/>
      <c r="F251" s="6"/>
    </row>
    <row r="252" spans="1:6" x14ac:dyDescent="0.2">
      <c r="A252" s="2">
        <v>251</v>
      </c>
      <c r="B252" s="5"/>
      <c r="C252" s="10" t="str">
        <f>IF(B252="","←停留所idを選択",VLOOKUP(B252,'06停留所'!$B$2:$C$10500,2,0))</f>
        <v>←停留所idを選択</v>
      </c>
      <c r="D252" s="5"/>
      <c r="E252" s="5"/>
      <c r="F252" s="6"/>
    </row>
    <row r="253" spans="1:6" x14ac:dyDescent="0.2">
      <c r="A253" s="2">
        <v>252</v>
      </c>
      <c r="B253" s="5"/>
      <c r="C253" s="10" t="str">
        <f>IF(B253="","←停留所idを選択",VLOOKUP(B253,'06停留所'!$B$2:$C$10500,2,0))</f>
        <v>←停留所idを選択</v>
      </c>
      <c r="D253" s="5"/>
      <c r="E253" s="5"/>
      <c r="F253" s="6"/>
    </row>
    <row r="254" spans="1:6" x14ac:dyDescent="0.2">
      <c r="A254" s="2">
        <v>253</v>
      </c>
      <c r="B254" s="5"/>
      <c r="C254" s="10" t="str">
        <f>IF(B254="","←停留所idを選択",VLOOKUP(B254,'06停留所'!$B$2:$C$10500,2,0))</f>
        <v>←停留所idを選択</v>
      </c>
      <c r="D254" s="5"/>
      <c r="E254" s="5"/>
      <c r="F254" s="6"/>
    </row>
    <row r="255" spans="1:6" x14ac:dyDescent="0.2">
      <c r="A255" s="2">
        <v>254</v>
      </c>
      <c r="B255" s="5"/>
      <c r="C255" s="10" t="str">
        <f>IF(B255="","←停留所idを選択",VLOOKUP(B255,'06停留所'!$B$2:$C$10500,2,0))</f>
        <v>←停留所idを選択</v>
      </c>
      <c r="D255" s="5"/>
      <c r="E255" s="5"/>
      <c r="F255" s="6"/>
    </row>
    <row r="256" spans="1:6" x14ac:dyDescent="0.2">
      <c r="A256" s="2">
        <v>255</v>
      </c>
      <c r="B256" s="5"/>
      <c r="C256" s="10" t="str">
        <f>IF(B256="","←停留所idを選択",VLOOKUP(B256,'06停留所'!$B$2:$C$10500,2,0))</f>
        <v>←停留所idを選択</v>
      </c>
      <c r="D256" s="5"/>
      <c r="E256" s="5"/>
      <c r="F256" s="6"/>
    </row>
    <row r="257" spans="1:6" x14ac:dyDescent="0.2">
      <c r="A257" s="2">
        <v>256</v>
      </c>
      <c r="B257" s="5"/>
      <c r="C257" s="10" t="str">
        <f>IF(B257="","←停留所idを選択",VLOOKUP(B257,'06停留所'!$B$2:$C$10500,2,0))</f>
        <v>←停留所idを選択</v>
      </c>
      <c r="D257" s="5"/>
      <c r="E257" s="5"/>
      <c r="F257" s="6"/>
    </row>
    <row r="258" spans="1:6" x14ac:dyDescent="0.2">
      <c r="A258" s="2">
        <v>257</v>
      </c>
      <c r="B258" s="5"/>
      <c r="C258" s="10" t="str">
        <f>IF(B258="","←停留所idを選択",VLOOKUP(B258,'06停留所'!$B$2:$C$10500,2,0))</f>
        <v>←停留所idを選択</v>
      </c>
      <c r="D258" s="5"/>
      <c r="E258" s="5"/>
      <c r="F258" s="6"/>
    </row>
    <row r="259" spans="1:6" x14ac:dyDescent="0.2">
      <c r="A259" s="2">
        <v>258</v>
      </c>
      <c r="B259" s="5"/>
      <c r="C259" s="10" t="str">
        <f>IF(B259="","←停留所idを選択",VLOOKUP(B259,'06停留所'!$B$2:$C$10500,2,0))</f>
        <v>←停留所idを選択</v>
      </c>
      <c r="D259" s="5"/>
      <c r="E259" s="5"/>
      <c r="F259" s="6"/>
    </row>
    <row r="260" spans="1:6" x14ac:dyDescent="0.2">
      <c r="A260" s="2">
        <v>259</v>
      </c>
      <c r="B260" s="5"/>
      <c r="C260" s="10" t="str">
        <f>IF(B260="","←停留所idを選択",VLOOKUP(B260,'06停留所'!$B$2:$C$10500,2,0))</f>
        <v>←停留所idを選択</v>
      </c>
      <c r="D260" s="5"/>
      <c r="E260" s="5"/>
      <c r="F260" s="6"/>
    </row>
    <row r="261" spans="1:6" x14ac:dyDescent="0.2">
      <c r="A261" s="2">
        <v>260</v>
      </c>
      <c r="B261" s="5"/>
      <c r="C261" s="10" t="str">
        <f>IF(B261="","←停留所idを選択",VLOOKUP(B261,'06停留所'!$B$2:$C$10500,2,0))</f>
        <v>←停留所idを選択</v>
      </c>
      <c r="D261" s="5"/>
      <c r="E261" s="5"/>
      <c r="F261" s="6"/>
    </row>
    <row r="262" spans="1:6" x14ac:dyDescent="0.2">
      <c r="A262" s="2">
        <v>261</v>
      </c>
      <c r="B262" s="5"/>
      <c r="C262" s="10" t="str">
        <f>IF(B262="","←停留所idを選択",VLOOKUP(B262,'06停留所'!$B$2:$C$10500,2,0))</f>
        <v>←停留所idを選択</v>
      </c>
      <c r="D262" s="5"/>
      <c r="E262" s="5"/>
      <c r="F262" s="6"/>
    </row>
    <row r="263" spans="1:6" x14ac:dyDescent="0.2">
      <c r="A263" s="2">
        <v>262</v>
      </c>
      <c r="B263" s="5"/>
      <c r="C263" s="10" t="str">
        <f>IF(B263="","←停留所idを選択",VLOOKUP(B263,'06停留所'!$B$2:$C$10500,2,0))</f>
        <v>←停留所idを選択</v>
      </c>
      <c r="D263" s="5"/>
      <c r="E263" s="5"/>
      <c r="F263" s="6"/>
    </row>
    <row r="264" spans="1:6" x14ac:dyDescent="0.2">
      <c r="A264" s="2">
        <v>263</v>
      </c>
      <c r="B264" s="5"/>
      <c r="C264" s="10" t="str">
        <f>IF(B264="","←停留所idを選択",VLOOKUP(B264,'06停留所'!$B$2:$C$10500,2,0))</f>
        <v>←停留所idを選択</v>
      </c>
      <c r="D264" s="5"/>
      <c r="E264" s="5"/>
      <c r="F264" s="6"/>
    </row>
    <row r="265" spans="1:6" x14ac:dyDescent="0.2">
      <c r="A265" s="2">
        <v>264</v>
      </c>
      <c r="B265" s="5"/>
      <c r="C265" s="10" t="str">
        <f>IF(B265="","←停留所idを選択",VLOOKUP(B265,'06停留所'!$B$2:$C$10500,2,0))</f>
        <v>←停留所idを選択</v>
      </c>
      <c r="D265" s="5"/>
      <c r="E265" s="5"/>
      <c r="F265" s="6"/>
    </row>
    <row r="266" spans="1:6" x14ac:dyDescent="0.2">
      <c r="A266" s="2">
        <v>265</v>
      </c>
      <c r="B266" s="5"/>
      <c r="C266" s="10" t="str">
        <f>IF(B266="","←停留所idを選択",VLOOKUP(B266,'06停留所'!$B$2:$C$10500,2,0))</f>
        <v>←停留所idを選択</v>
      </c>
      <c r="D266" s="5"/>
      <c r="E266" s="5"/>
      <c r="F266" s="6"/>
    </row>
    <row r="267" spans="1:6" x14ac:dyDescent="0.2">
      <c r="A267" s="2">
        <v>266</v>
      </c>
      <c r="B267" s="5"/>
      <c r="C267" s="10" t="str">
        <f>IF(B267="","←停留所idを選択",VLOOKUP(B267,'06停留所'!$B$2:$C$10500,2,0))</f>
        <v>←停留所idを選択</v>
      </c>
      <c r="D267" s="5"/>
      <c r="E267" s="5"/>
      <c r="F267" s="6"/>
    </row>
    <row r="268" spans="1:6" x14ac:dyDescent="0.2">
      <c r="A268" s="2">
        <v>267</v>
      </c>
      <c r="B268" s="5"/>
      <c r="C268" s="10" t="str">
        <f>IF(B268="","←停留所idを選択",VLOOKUP(B268,'06停留所'!$B$2:$C$10500,2,0))</f>
        <v>←停留所idを選択</v>
      </c>
      <c r="D268" s="5"/>
      <c r="E268" s="5"/>
      <c r="F268" s="6"/>
    </row>
    <row r="269" spans="1:6" x14ac:dyDescent="0.2">
      <c r="A269" s="2">
        <v>268</v>
      </c>
      <c r="B269" s="5"/>
      <c r="C269" s="10" t="str">
        <f>IF(B269="","←停留所idを選択",VLOOKUP(B269,'06停留所'!$B$2:$C$10500,2,0))</f>
        <v>←停留所idを選択</v>
      </c>
      <c r="D269" s="5"/>
      <c r="E269" s="5"/>
      <c r="F269" s="6"/>
    </row>
    <row r="270" spans="1:6" x14ac:dyDescent="0.2">
      <c r="A270" s="2">
        <v>269</v>
      </c>
      <c r="B270" s="5"/>
      <c r="C270" s="10" t="str">
        <f>IF(B270="","←停留所idを選択",VLOOKUP(B270,'06停留所'!$B$2:$C$10500,2,0))</f>
        <v>←停留所idを選択</v>
      </c>
      <c r="D270" s="5"/>
      <c r="E270" s="5"/>
      <c r="F270" s="6"/>
    </row>
    <row r="271" spans="1:6" x14ac:dyDescent="0.2">
      <c r="A271" s="2">
        <v>270</v>
      </c>
      <c r="B271" s="5"/>
      <c r="C271" s="10" t="str">
        <f>IF(B271="","←停留所idを選択",VLOOKUP(B271,'06停留所'!$B$2:$C$10500,2,0))</f>
        <v>←停留所idを選択</v>
      </c>
      <c r="D271" s="5"/>
      <c r="E271" s="5"/>
      <c r="F271" s="6"/>
    </row>
    <row r="272" spans="1:6" x14ac:dyDescent="0.2">
      <c r="A272" s="2">
        <v>271</v>
      </c>
      <c r="B272" s="5"/>
      <c r="C272" s="10" t="str">
        <f>IF(B272="","←停留所idを選択",VLOOKUP(B272,'06停留所'!$B$2:$C$10500,2,0))</f>
        <v>←停留所idを選択</v>
      </c>
      <c r="D272" s="5"/>
      <c r="E272" s="5"/>
      <c r="F272" s="6"/>
    </row>
    <row r="273" spans="1:6" x14ac:dyDescent="0.2">
      <c r="A273" s="2">
        <v>272</v>
      </c>
      <c r="B273" s="5"/>
      <c r="C273" s="10" t="str">
        <f>IF(B273="","←停留所idを選択",VLOOKUP(B273,'06停留所'!$B$2:$C$10500,2,0))</f>
        <v>←停留所idを選択</v>
      </c>
      <c r="D273" s="5"/>
      <c r="E273" s="5"/>
      <c r="F273" s="6"/>
    </row>
    <row r="274" spans="1:6" x14ac:dyDescent="0.2">
      <c r="A274" s="2">
        <v>273</v>
      </c>
      <c r="B274" s="5"/>
      <c r="C274" s="10" t="str">
        <f>IF(B274="","←停留所idを選択",VLOOKUP(B274,'06停留所'!$B$2:$C$10500,2,0))</f>
        <v>←停留所idを選択</v>
      </c>
      <c r="D274" s="5"/>
      <c r="E274" s="5"/>
      <c r="F274" s="6"/>
    </row>
    <row r="275" spans="1:6" x14ac:dyDescent="0.2">
      <c r="A275" s="2">
        <v>274</v>
      </c>
      <c r="B275" s="5"/>
      <c r="C275" s="10" t="str">
        <f>IF(B275="","←停留所idを選択",VLOOKUP(B275,'06停留所'!$B$2:$C$10500,2,0))</f>
        <v>←停留所idを選択</v>
      </c>
      <c r="D275" s="5"/>
      <c r="E275" s="5"/>
      <c r="F275" s="6"/>
    </row>
    <row r="276" spans="1:6" x14ac:dyDescent="0.2">
      <c r="A276" s="2">
        <v>275</v>
      </c>
      <c r="B276" s="5"/>
      <c r="C276" s="10" t="str">
        <f>IF(B276="","←停留所idを選択",VLOOKUP(B276,'06停留所'!$B$2:$C$10500,2,0))</f>
        <v>←停留所idを選択</v>
      </c>
      <c r="D276" s="5"/>
      <c r="E276" s="5"/>
      <c r="F276" s="6"/>
    </row>
    <row r="277" spans="1:6" x14ac:dyDescent="0.2">
      <c r="A277" s="2">
        <v>276</v>
      </c>
      <c r="B277" s="5"/>
      <c r="C277" s="10" t="str">
        <f>IF(B277="","←停留所idを選択",VLOOKUP(B277,'06停留所'!$B$2:$C$10500,2,0))</f>
        <v>←停留所idを選択</v>
      </c>
      <c r="D277" s="5"/>
      <c r="E277" s="5"/>
      <c r="F277" s="6"/>
    </row>
    <row r="278" spans="1:6" x14ac:dyDescent="0.2">
      <c r="A278" s="2">
        <v>277</v>
      </c>
      <c r="B278" s="5"/>
      <c r="C278" s="10" t="str">
        <f>IF(B278="","←停留所idを選択",VLOOKUP(B278,'06停留所'!$B$2:$C$10500,2,0))</f>
        <v>←停留所idを選択</v>
      </c>
      <c r="D278" s="5"/>
      <c r="E278" s="5"/>
      <c r="F278" s="6"/>
    </row>
    <row r="279" spans="1:6" x14ac:dyDescent="0.2">
      <c r="A279" s="2">
        <v>278</v>
      </c>
      <c r="B279" s="5"/>
      <c r="C279" s="10" t="str">
        <f>IF(B279="","←停留所idを選択",VLOOKUP(B279,'06停留所'!$B$2:$C$10500,2,0))</f>
        <v>←停留所idを選択</v>
      </c>
      <c r="D279" s="5"/>
      <c r="E279" s="5"/>
      <c r="F279" s="6"/>
    </row>
    <row r="280" spans="1:6" x14ac:dyDescent="0.2">
      <c r="A280" s="2">
        <v>279</v>
      </c>
      <c r="B280" s="5"/>
      <c r="C280" s="10" t="str">
        <f>IF(B280="","←停留所idを選択",VLOOKUP(B280,'06停留所'!$B$2:$C$10500,2,0))</f>
        <v>←停留所idを選択</v>
      </c>
      <c r="D280" s="5"/>
      <c r="E280" s="5"/>
      <c r="F280" s="6"/>
    </row>
    <row r="281" spans="1:6" x14ac:dyDescent="0.2">
      <c r="A281" s="2">
        <v>280</v>
      </c>
      <c r="B281" s="5"/>
      <c r="C281" s="10" t="str">
        <f>IF(B281="","←停留所idを選択",VLOOKUP(B281,'06停留所'!$B$2:$C$10500,2,0))</f>
        <v>←停留所idを選択</v>
      </c>
      <c r="D281" s="5"/>
      <c r="E281" s="5"/>
      <c r="F281" s="6"/>
    </row>
    <row r="282" spans="1:6" x14ac:dyDescent="0.2">
      <c r="A282" s="2">
        <v>281</v>
      </c>
      <c r="B282" s="5"/>
      <c r="C282" s="10" t="str">
        <f>IF(B282="","←停留所idを選択",VLOOKUP(B282,'06停留所'!$B$2:$C$10500,2,0))</f>
        <v>←停留所idを選択</v>
      </c>
      <c r="D282" s="5"/>
      <c r="E282" s="5"/>
      <c r="F282" s="6"/>
    </row>
    <row r="283" spans="1:6" x14ac:dyDescent="0.2">
      <c r="A283" s="2">
        <v>282</v>
      </c>
      <c r="B283" s="5"/>
      <c r="C283" s="10" t="str">
        <f>IF(B283="","←停留所idを選択",VLOOKUP(B283,'06停留所'!$B$2:$C$10500,2,0))</f>
        <v>←停留所idを選択</v>
      </c>
      <c r="D283" s="5"/>
      <c r="E283" s="5"/>
      <c r="F283" s="6"/>
    </row>
    <row r="284" spans="1:6" x14ac:dyDescent="0.2">
      <c r="A284" s="2">
        <v>283</v>
      </c>
      <c r="B284" s="5"/>
      <c r="C284" s="10" t="str">
        <f>IF(B284="","←停留所idを選択",VLOOKUP(B284,'06停留所'!$B$2:$C$10500,2,0))</f>
        <v>←停留所idを選択</v>
      </c>
      <c r="D284" s="5"/>
      <c r="E284" s="5"/>
      <c r="F284" s="6"/>
    </row>
    <row r="285" spans="1:6" x14ac:dyDescent="0.2">
      <c r="A285" s="2">
        <v>284</v>
      </c>
      <c r="B285" s="5"/>
      <c r="C285" s="10" t="str">
        <f>IF(B285="","←停留所idを選択",VLOOKUP(B285,'06停留所'!$B$2:$C$10500,2,0))</f>
        <v>←停留所idを選択</v>
      </c>
      <c r="D285" s="5"/>
      <c r="E285" s="5"/>
      <c r="F285" s="6"/>
    </row>
    <row r="286" spans="1:6" x14ac:dyDescent="0.2">
      <c r="A286" s="2">
        <v>285</v>
      </c>
      <c r="B286" s="5"/>
      <c r="C286" s="10" t="str">
        <f>IF(B286="","←停留所idを選択",VLOOKUP(B286,'06停留所'!$B$2:$C$10500,2,0))</f>
        <v>←停留所idを選択</v>
      </c>
      <c r="D286" s="5"/>
      <c r="E286" s="5"/>
      <c r="F286" s="6"/>
    </row>
    <row r="287" spans="1:6" x14ac:dyDescent="0.2">
      <c r="A287" s="2">
        <v>286</v>
      </c>
      <c r="B287" s="5"/>
      <c r="C287" s="10" t="str">
        <f>IF(B287="","←停留所idを選択",VLOOKUP(B287,'06停留所'!$B$2:$C$10500,2,0))</f>
        <v>←停留所idを選択</v>
      </c>
      <c r="D287" s="5"/>
      <c r="E287" s="5"/>
      <c r="F287" s="6"/>
    </row>
    <row r="288" spans="1:6" x14ac:dyDescent="0.2">
      <c r="A288" s="2">
        <v>287</v>
      </c>
      <c r="B288" s="5"/>
      <c r="C288" s="10" t="str">
        <f>IF(B288="","←停留所idを選択",VLOOKUP(B288,'06停留所'!$B$2:$C$10500,2,0))</f>
        <v>←停留所idを選択</v>
      </c>
      <c r="D288" s="5"/>
      <c r="E288" s="5"/>
      <c r="F288" s="6"/>
    </row>
    <row r="289" spans="1:6" x14ac:dyDescent="0.2">
      <c r="A289" s="2">
        <v>288</v>
      </c>
      <c r="B289" s="5"/>
      <c r="C289" s="10" t="str">
        <f>IF(B289="","←停留所idを選択",VLOOKUP(B289,'06停留所'!$B$2:$C$10500,2,0))</f>
        <v>←停留所idを選択</v>
      </c>
      <c r="D289" s="5"/>
      <c r="E289" s="5"/>
      <c r="F289" s="6"/>
    </row>
    <row r="290" spans="1:6" x14ac:dyDescent="0.2">
      <c r="A290" s="2">
        <v>289</v>
      </c>
      <c r="B290" s="5"/>
      <c r="C290" s="10" t="str">
        <f>IF(B290="","←停留所idを選択",VLOOKUP(B290,'06停留所'!$B$2:$C$10500,2,0))</f>
        <v>←停留所idを選択</v>
      </c>
      <c r="D290" s="5"/>
      <c r="E290" s="5"/>
      <c r="F290" s="6"/>
    </row>
    <row r="291" spans="1:6" x14ac:dyDescent="0.2">
      <c r="A291" s="2">
        <v>290</v>
      </c>
      <c r="B291" s="5"/>
      <c r="C291" s="10" t="str">
        <f>IF(B291="","←停留所idを選択",VLOOKUP(B291,'06停留所'!$B$2:$C$10500,2,0))</f>
        <v>←停留所idを選択</v>
      </c>
      <c r="D291" s="5"/>
      <c r="E291" s="5"/>
      <c r="F291" s="6"/>
    </row>
    <row r="292" spans="1:6" x14ac:dyDescent="0.2">
      <c r="A292" s="2">
        <v>291</v>
      </c>
      <c r="B292" s="5"/>
      <c r="C292" s="10" t="str">
        <f>IF(B292="","←停留所idを選択",VLOOKUP(B292,'06停留所'!$B$2:$C$10500,2,0))</f>
        <v>←停留所idを選択</v>
      </c>
      <c r="D292" s="5"/>
      <c r="E292" s="5"/>
      <c r="F292" s="6"/>
    </row>
    <row r="293" spans="1:6" x14ac:dyDescent="0.2">
      <c r="A293" s="2">
        <v>292</v>
      </c>
      <c r="B293" s="5"/>
      <c r="C293" s="10" t="str">
        <f>IF(B293="","←停留所idを選択",VLOOKUP(B293,'06停留所'!$B$2:$C$10500,2,0))</f>
        <v>←停留所idを選択</v>
      </c>
      <c r="D293" s="5"/>
      <c r="E293" s="5"/>
      <c r="F293" s="6"/>
    </row>
    <row r="294" spans="1:6" x14ac:dyDescent="0.2">
      <c r="A294" s="2">
        <v>293</v>
      </c>
      <c r="B294" s="5"/>
      <c r="C294" s="10" t="str">
        <f>IF(B294="","←停留所idを選択",VLOOKUP(B294,'06停留所'!$B$2:$C$10500,2,0))</f>
        <v>←停留所idを選択</v>
      </c>
      <c r="D294" s="5"/>
      <c r="E294" s="5"/>
      <c r="F294" s="6"/>
    </row>
    <row r="295" spans="1:6" x14ac:dyDescent="0.2">
      <c r="A295" s="2">
        <v>294</v>
      </c>
      <c r="B295" s="5"/>
      <c r="C295" s="10" t="str">
        <f>IF(B295="","←停留所idを選択",VLOOKUP(B295,'06停留所'!$B$2:$C$10500,2,0))</f>
        <v>←停留所idを選択</v>
      </c>
      <c r="D295" s="5"/>
      <c r="E295" s="5"/>
      <c r="F295" s="6"/>
    </row>
    <row r="296" spans="1:6" x14ac:dyDescent="0.2">
      <c r="A296" s="2">
        <v>295</v>
      </c>
      <c r="B296" s="5"/>
      <c r="C296" s="10" t="str">
        <f>IF(B296="","←停留所idを選択",VLOOKUP(B296,'06停留所'!$B$2:$C$10500,2,0))</f>
        <v>←停留所idを選択</v>
      </c>
      <c r="D296" s="5"/>
      <c r="E296" s="5"/>
      <c r="F296" s="6"/>
    </row>
    <row r="297" spans="1:6" x14ac:dyDescent="0.2">
      <c r="A297" s="2">
        <v>296</v>
      </c>
      <c r="B297" s="5"/>
      <c r="C297" s="10" t="str">
        <f>IF(B297="","←停留所idを選択",VLOOKUP(B297,'06停留所'!$B$2:$C$10500,2,0))</f>
        <v>←停留所idを選択</v>
      </c>
      <c r="D297" s="5"/>
      <c r="E297" s="5"/>
      <c r="F297" s="6"/>
    </row>
    <row r="298" spans="1:6" x14ac:dyDescent="0.2">
      <c r="A298" s="2">
        <v>297</v>
      </c>
      <c r="B298" s="5"/>
      <c r="C298" s="10" t="str">
        <f>IF(B298="","←停留所idを選択",VLOOKUP(B298,'06停留所'!$B$2:$C$10500,2,0))</f>
        <v>←停留所idを選択</v>
      </c>
      <c r="D298" s="5"/>
      <c r="E298" s="5"/>
      <c r="F298" s="6"/>
    </row>
    <row r="299" spans="1:6" x14ac:dyDescent="0.2">
      <c r="A299" s="2">
        <v>298</v>
      </c>
      <c r="B299" s="5"/>
      <c r="C299" s="10" t="str">
        <f>IF(B299="","←停留所idを選択",VLOOKUP(B299,'06停留所'!$B$2:$C$10500,2,0))</f>
        <v>←停留所idを選択</v>
      </c>
      <c r="D299" s="5"/>
      <c r="E299" s="5"/>
      <c r="F299" s="6"/>
    </row>
    <row r="300" spans="1:6" x14ac:dyDescent="0.2">
      <c r="A300" s="2">
        <v>299</v>
      </c>
      <c r="B300" s="5"/>
      <c r="C300" s="10" t="str">
        <f>IF(B300="","←停留所idを選択",VLOOKUP(B300,'06停留所'!$B$2:$C$10500,2,0))</f>
        <v>←停留所idを選択</v>
      </c>
      <c r="D300" s="5"/>
      <c r="E300" s="5"/>
      <c r="F300" s="6"/>
    </row>
    <row r="301" spans="1:6" x14ac:dyDescent="0.2">
      <c r="A301" s="2">
        <v>300</v>
      </c>
      <c r="B301" s="5"/>
      <c r="C301" s="10" t="str">
        <f>IF(B301="","←停留所idを選択",VLOOKUP(B301,'06停留所'!$B$2:$C$10500,2,0))</f>
        <v>←停留所idを選択</v>
      </c>
      <c r="D301" s="5"/>
      <c r="E301" s="5"/>
      <c r="F301" s="6"/>
    </row>
    <row r="302" spans="1:6" x14ac:dyDescent="0.2">
      <c r="A302" s="2">
        <v>301</v>
      </c>
      <c r="B302" s="5"/>
      <c r="C302" s="10" t="str">
        <f>IF(B302="","←停留所idを選択",VLOOKUP(B302,'06停留所'!$B$2:$C$10500,2,0))</f>
        <v>←停留所idを選択</v>
      </c>
      <c r="D302" s="5"/>
      <c r="E302" s="5"/>
      <c r="F302" s="6"/>
    </row>
    <row r="303" spans="1:6" x14ac:dyDescent="0.2">
      <c r="A303" s="2">
        <v>302</v>
      </c>
      <c r="B303" s="5"/>
      <c r="C303" s="10" t="str">
        <f>IF(B303="","←停留所idを選択",VLOOKUP(B303,'06停留所'!$B$2:$C$10500,2,0))</f>
        <v>←停留所idを選択</v>
      </c>
      <c r="D303" s="5"/>
      <c r="E303" s="5"/>
      <c r="F303" s="6"/>
    </row>
    <row r="304" spans="1:6" x14ac:dyDescent="0.2">
      <c r="A304" s="2">
        <v>303</v>
      </c>
      <c r="B304" s="5"/>
      <c r="C304" s="10" t="str">
        <f>IF(B304="","←停留所idを選択",VLOOKUP(B304,'06停留所'!$B$2:$C$10500,2,0))</f>
        <v>←停留所idを選択</v>
      </c>
      <c r="D304" s="5"/>
      <c r="E304" s="5"/>
      <c r="F304" s="6"/>
    </row>
    <row r="305" spans="1:6" x14ac:dyDescent="0.2">
      <c r="A305" s="2">
        <v>304</v>
      </c>
      <c r="B305" s="5"/>
      <c r="C305" s="10" t="str">
        <f>IF(B305="","←停留所idを選択",VLOOKUP(B305,'06停留所'!$B$2:$C$10500,2,0))</f>
        <v>←停留所idを選択</v>
      </c>
      <c r="D305" s="5"/>
      <c r="E305" s="5"/>
      <c r="F305" s="6"/>
    </row>
    <row r="306" spans="1:6" x14ac:dyDescent="0.2">
      <c r="A306" s="2">
        <v>305</v>
      </c>
      <c r="B306" s="5"/>
      <c r="C306" s="10" t="str">
        <f>IF(B306="","←停留所idを選択",VLOOKUP(B306,'06停留所'!$B$2:$C$10500,2,0))</f>
        <v>←停留所idを選択</v>
      </c>
      <c r="D306" s="5"/>
      <c r="E306" s="5"/>
      <c r="F306" s="6"/>
    </row>
    <row r="307" spans="1:6" x14ac:dyDescent="0.2">
      <c r="A307" s="2">
        <v>306</v>
      </c>
      <c r="B307" s="5"/>
      <c r="C307" s="10" t="str">
        <f>IF(B307="","←停留所idを選択",VLOOKUP(B307,'06停留所'!$B$2:$C$10500,2,0))</f>
        <v>←停留所idを選択</v>
      </c>
      <c r="D307" s="5"/>
      <c r="E307" s="5"/>
      <c r="F307" s="6"/>
    </row>
    <row r="308" spans="1:6" x14ac:dyDescent="0.2">
      <c r="A308" s="2">
        <v>307</v>
      </c>
      <c r="B308" s="5"/>
      <c r="C308" s="10" t="str">
        <f>IF(B308="","←停留所idを選択",VLOOKUP(B308,'06停留所'!$B$2:$C$10500,2,0))</f>
        <v>←停留所idを選択</v>
      </c>
      <c r="D308" s="5"/>
      <c r="E308" s="5"/>
      <c r="F308" s="6"/>
    </row>
    <row r="309" spans="1:6" x14ac:dyDescent="0.2">
      <c r="A309" s="2">
        <v>308</v>
      </c>
      <c r="B309" s="5"/>
      <c r="C309" s="10" t="str">
        <f>IF(B309="","←停留所idを選択",VLOOKUP(B309,'06停留所'!$B$2:$C$10500,2,0))</f>
        <v>←停留所idを選択</v>
      </c>
      <c r="D309" s="5"/>
      <c r="E309" s="5"/>
      <c r="F309" s="6"/>
    </row>
    <row r="310" spans="1:6" x14ac:dyDescent="0.2">
      <c r="A310" s="2">
        <v>309</v>
      </c>
      <c r="B310" s="5"/>
      <c r="C310" s="10" t="str">
        <f>IF(B310="","←停留所idを選択",VLOOKUP(B310,'06停留所'!$B$2:$C$10500,2,0))</f>
        <v>←停留所idを選択</v>
      </c>
      <c r="D310" s="5"/>
      <c r="E310" s="5"/>
      <c r="F310" s="6"/>
    </row>
    <row r="311" spans="1:6" x14ac:dyDescent="0.2">
      <c r="A311" s="2">
        <v>310</v>
      </c>
      <c r="B311" s="5"/>
      <c r="C311" s="10" t="str">
        <f>IF(B311="","←停留所idを選択",VLOOKUP(B311,'06停留所'!$B$2:$C$10500,2,0))</f>
        <v>←停留所idを選択</v>
      </c>
      <c r="D311" s="5"/>
      <c r="E311" s="5"/>
      <c r="F311" s="6"/>
    </row>
    <row r="312" spans="1:6" x14ac:dyDescent="0.2">
      <c r="A312" s="2">
        <v>311</v>
      </c>
      <c r="B312" s="5"/>
      <c r="C312" s="10" t="str">
        <f>IF(B312="","←停留所idを選択",VLOOKUP(B312,'06停留所'!$B$2:$C$10500,2,0))</f>
        <v>←停留所idを選択</v>
      </c>
      <c r="D312" s="5"/>
      <c r="E312" s="5"/>
      <c r="F312" s="6"/>
    </row>
    <row r="313" spans="1:6" x14ac:dyDescent="0.2">
      <c r="A313" s="2">
        <v>312</v>
      </c>
      <c r="B313" s="5"/>
      <c r="C313" s="10" t="str">
        <f>IF(B313="","←停留所idを選択",VLOOKUP(B313,'06停留所'!$B$2:$C$10500,2,0))</f>
        <v>←停留所idを選択</v>
      </c>
      <c r="D313" s="5"/>
      <c r="E313" s="5"/>
      <c r="F313" s="6"/>
    </row>
    <row r="314" spans="1:6" x14ac:dyDescent="0.2">
      <c r="A314" s="2">
        <v>313</v>
      </c>
      <c r="B314" s="5"/>
      <c r="C314" s="10" t="str">
        <f>IF(B314="","←停留所idを選択",VLOOKUP(B314,'06停留所'!$B$2:$C$10500,2,0))</f>
        <v>←停留所idを選択</v>
      </c>
      <c r="D314" s="5"/>
      <c r="E314" s="5"/>
      <c r="F314" s="6"/>
    </row>
    <row r="315" spans="1:6" x14ac:dyDescent="0.2">
      <c r="A315" s="2">
        <v>314</v>
      </c>
      <c r="B315" s="5"/>
      <c r="C315" s="10" t="str">
        <f>IF(B315="","←停留所idを選択",VLOOKUP(B315,'06停留所'!$B$2:$C$10500,2,0))</f>
        <v>←停留所idを選択</v>
      </c>
      <c r="D315" s="5"/>
      <c r="E315" s="5"/>
      <c r="F315" s="6"/>
    </row>
    <row r="316" spans="1:6" x14ac:dyDescent="0.2">
      <c r="A316" s="2">
        <v>315</v>
      </c>
      <c r="B316" s="5"/>
      <c r="C316" s="10" t="str">
        <f>IF(B316="","←停留所idを選択",VLOOKUP(B316,'06停留所'!$B$2:$C$10500,2,0))</f>
        <v>←停留所idを選択</v>
      </c>
      <c r="D316" s="5"/>
      <c r="E316" s="5"/>
      <c r="F316" s="6"/>
    </row>
    <row r="317" spans="1:6" x14ac:dyDescent="0.2">
      <c r="A317" s="2">
        <v>316</v>
      </c>
      <c r="B317" s="5"/>
      <c r="C317" s="10" t="str">
        <f>IF(B317="","←停留所idを選択",VLOOKUP(B317,'06停留所'!$B$2:$C$10500,2,0))</f>
        <v>←停留所idを選択</v>
      </c>
      <c r="D317" s="5"/>
      <c r="E317" s="5"/>
      <c r="F317" s="6"/>
    </row>
    <row r="318" spans="1:6" x14ac:dyDescent="0.2">
      <c r="A318" s="2">
        <v>317</v>
      </c>
      <c r="B318" s="5"/>
      <c r="C318" s="10" t="str">
        <f>IF(B318="","←停留所idを選択",VLOOKUP(B318,'06停留所'!$B$2:$C$10500,2,0))</f>
        <v>←停留所idを選択</v>
      </c>
      <c r="D318" s="5"/>
      <c r="E318" s="5"/>
      <c r="F318" s="6"/>
    </row>
    <row r="319" spans="1:6" x14ac:dyDescent="0.2">
      <c r="A319" s="2">
        <v>318</v>
      </c>
      <c r="B319" s="5"/>
      <c r="C319" s="10" t="str">
        <f>IF(B319="","←停留所idを選択",VLOOKUP(B319,'06停留所'!$B$2:$C$10500,2,0))</f>
        <v>←停留所idを選択</v>
      </c>
      <c r="D319" s="5"/>
      <c r="E319" s="5"/>
      <c r="F319" s="6"/>
    </row>
    <row r="320" spans="1:6" x14ac:dyDescent="0.2">
      <c r="A320" s="2">
        <v>319</v>
      </c>
      <c r="B320" s="5"/>
      <c r="C320" s="10" t="str">
        <f>IF(B320="","←停留所idを選択",VLOOKUP(B320,'06停留所'!$B$2:$C$10500,2,0))</f>
        <v>←停留所idを選択</v>
      </c>
      <c r="D320" s="5"/>
      <c r="E320" s="5"/>
      <c r="F320" s="6"/>
    </row>
    <row r="321" spans="1:6" x14ac:dyDescent="0.2">
      <c r="A321" s="2">
        <v>320</v>
      </c>
      <c r="B321" s="5"/>
      <c r="C321" s="10" t="str">
        <f>IF(B321="","←停留所idを選択",VLOOKUP(B321,'06停留所'!$B$2:$C$10500,2,0))</f>
        <v>←停留所idを選択</v>
      </c>
      <c r="D321" s="5"/>
      <c r="E321" s="5"/>
      <c r="F321" s="6"/>
    </row>
    <row r="322" spans="1:6" x14ac:dyDescent="0.2">
      <c r="A322" s="2">
        <v>321</v>
      </c>
      <c r="B322" s="5"/>
      <c r="C322" s="10" t="str">
        <f>IF(B322="","←停留所idを選択",VLOOKUP(B322,'06停留所'!$B$2:$C$10500,2,0))</f>
        <v>←停留所idを選択</v>
      </c>
      <c r="D322" s="5"/>
      <c r="E322" s="5"/>
      <c r="F322" s="6"/>
    </row>
    <row r="323" spans="1:6" x14ac:dyDescent="0.2">
      <c r="A323" s="2">
        <v>322</v>
      </c>
      <c r="B323" s="5"/>
      <c r="C323" s="10" t="str">
        <f>IF(B323="","←停留所idを選択",VLOOKUP(B323,'06停留所'!$B$2:$C$10500,2,0))</f>
        <v>←停留所idを選択</v>
      </c>
      <c r="D323" s="5"/>
      <c r="E323" s="5"/>
      <c r="F323" s="6"/>
    </row>
    <row r="324" spans="1:6" x14ac:dyDescent="0.2">
      <c r="A324" s="2">
        <v>323</v>
      </c>
      <c r="B324" s="5"/>
      <c r="C324" s="10" t="str">
        <f>IF(B324="","←停留所idを選択",VLOOKUP(B324,'06停留所'!$B$2:$C$10500,2,0))</f>
        <v>←停留所idを選択</v>
      </c>
      <c r="D324" s="5"/>
      <c r="E324" s="5"/>
      <c r="F324" s="6"/>
    </row>
    <row r="325" spans="1:6" x14ac:dyDescent="0.2">
      <c r="A325" s="2">
        <v>324</v>
      </c>
      <c r="B325" s="5"/>
      <c r="C325" s="10" t="str">
        <f>IF(B325="","←停留所idを選択",VLOOKUP(B325,'06停留所'!$B$2:$C$10500,2,0))</f>
        <v>←停留所idを選択</v>
      </c>
      <c r="D325" s="5"/>
      <c r="E325" s="5"/>
      <c r="F325" s="6"/>
    </row>
    <row r="326" spans="1:6" x14ac:dyDescent="0.2">
      <c r="A326" s="2">
        <v>325</v>
      </c>
      <c r="B326" s="5"/>
      <c r="C326" s="10" t="str">
        <f>IF(B326="","←停留所idを選択",VLOOKUP(B326,'06停留所'!$B$2:$C$10500,2,0))</f>
        <v>←停留所idを選択</v>
      </c>
      <c r="D326" s="5"/>
      <c r="E326" s="5"/>
      <c r="F326" s="6"/>
    </row>
    <row r="327" spans="1:6" x14ac:dyDescent="0.2">
      <c r="A327" s="2">
        <v>326</v>
      </c>
      <c r="B327" s="5"/>
      <c r="C327" s="10" t="str">
        <f>IF(B327="","←停留所idを選択",VLOOKUP(B327,'06停留所'!$B$2:$C$10500,2,0))</f>
        <v>←停留所idを選択</v>
      </c>
      <c r="D327" s="5"/>
      <c r="E327" s="5"/>
      <c r="F327" s="6"/>
    </row>
    <row r="328" spans="1:6" x14ac:dyDescent="0.2">
      <c r="A328" s="2">
        <v>327</v>
      </c>
      <c r="B328" s="5"/>
      <c r="C328" s="10" t="str">
        <f>IF(B328="","←停留所idを選択",VLOOKUP(B328,'06停留所'!$B$2:$C$10500,2,0))</f>
        <v>←停留所idを選択</v>
      </c>
      <c r="D328" s="5"/>
      <c r="E328" s="5"/>
      <c r="F328" s="6"/>
    </row>
    <row r="329" spans="1:6" x14ac:dyDescent="0.2">
      <c r="A329" s="2">
        <v>328</v>
      </c>
      <c r="B329" s="5"/>
      <c r="C329" s="10" t="str">
        <f>IF(B329="","←停留所idを選択",VLOOKUP(B329,'06停留所'!$B$2:$C$10500,2,0))</f>
        <v>←停留所idを選択</v>
      </c>
      <c r="D329" s="5"/>
      <c r="E329" s="5"/>
      <c r="F329" s="6"/>
    </row>
    <row r="330" spans="1:6" x14ac:dyDescent="0.2">
      <c r="A330" s="2">
        <v>329</v>
      </c>
      <c r="B330" s="5"/>
      <c r="C330" s="10" t="str">
        <f>IF(B330="","←停留所idを選択",VLOOKUP(B330,'06停留所'!$B$2:$C$10500,2,0))</f>
        <v>←停留所idを選択</v>
      </c>
      <c r="D330" s="5"/>
      <c r="E330" s="5"/>
      <c r="F330" s="6"/>
    </row>
    <row r="331" spans="1:6" x14ac:dyDescent="0.2">
      <c r="A331" s="2">
        <v>330</v>
      </c>
      <c r="B331" s="5"/>
      <c r="C331" s="10" t="str">
        <f>IF(B331="","←停留所idを選択",VLOOKUP(B331,'06停留所'!$B$2:$C$10500,2,0))</f>
        <v>←停留所idを選択</v>
      </c>
      <c r="D331" s="5"/>
      <c r="E331" s="5"/>
      <c r="F331" s="6"/>
    </row>
    <row r="332" spans="1:6" x14ac:dyDescent="0.2">
      <c r="A332" s="2">
        <v>331</v>
      </c>
      <c r="B332" s="5"/>
      <c r="C332" s="10" t="str">
        <f>IF(B332="","←停留所idを選択",VLOOKUP(B332,'06停留所'!$B$2:$C$10500,2,0))</f>
        <v>←停留所idを選択</v>
      </c>
      <c r="D332" s="5"/>
      <c r="E332" s="5"/>
      <c r="F332" s="6"/>
    </row>
    <row r="333" spans="1:6" x14ac:dyDescent="0.2">
      <c r="A333" s="2">
        <v>332</v>
      </c>
      <c r="B333" s="5"/>
      <c r="C333" s="10" t="str">
        <f>IF(B333="","←停留所idを選択",VLOOKUP(B333,'06停留所'!$B$2:$C$10500,2,0))</f>
        <v>←停留所idを選択</v>
      </c>
      <c r="D333" s="5"/>
      <c r="E333" s="5"/>
      <c r="F333" s="6"/>
    </row>
    <row r="334" spans="1:6" x14ac:dyDescent="0.2">
      <c r="A334" s="2">
        <v>333</v>
      </c>
      <c r="B334" s="5"/>
      <c r="C334" s="10" t="str">
        <f>IF(B334="","←停留所idを選択",VLOOKUP(B334,'06停留所'!$B$2:$C$10500,2,0))</f>
        <v>←停留所idを選択</v>
      </c>
      <c r="D334" s="5"/>
      <c r="E334" s="5"/>
      <c r="F334" s="6"/>
    </row>
    <row r="335" spans="1:6" x14ac:dyDescent="0.2">
      <c r="A335" s="2">
        <v>334</v>
      </c>
      <c r="B335" s="5"/>
      <c r="C335" s="10" t="str">
        <f>IF(B335="","←停留所idを選択",VLOOKUP(B335,'06停留所'!$B$2:$C$10500,2,0))</f>
        <v>←停留所idを選択</v>
      </c>
      <c r="D335" s="5"/>
      <c r="E335" s="5"/>
      <c r="F335" s="6"/>
    </row>
    <row r="336" spans="1:6" x14ac:dyDescent="0.2">
      <c r="A336" s="2">
        <v>335</v>
      </c>
      <c r="B336" s="5"/>
      <c r="C336" s="10" t="str">
        <f>IF(B336="","←停留所idを選択",VLOOKUP(B336,'06停留所'!$B$2:$C$10500,2,0))</f>
        <v>←停留所idを選択</v>
      </c>
      <c r="D336" s="5"/>
      <c r="E336" s="5"/>
      <c r="F336" s="6"/>
    </row>
    <row r="337" spans="1:6" x14ac:dyDescent="0.2">
      <c r="A337" s="2">
        <v>336</v>
      </c>
      <c r="B337" s="5"/>
      <c r="C337" s="10" t="str">
        <f>IF(B337="","←停留所idを選択",VLOOKUP(B337,'06停留所'!$B$2:$C$10500,2,0))</f>
        <v>←停留所idを選択</v>
      </c>
      <c r="D337" s="5"/>
      <c r="E337" s="5"/>
      <c r="F337" s="6"/>
    </row>
    <row r="338" spans="1:6" x14ac:dyDescent="0.2">
      <c r="A338" s="2">
        <v>337</v>
      </c>
      <c r="B338" s="5"/>
      <c r="C338" s="10" t="str">
        <f>IF(B338="","←停留所idを選択",VLOOKUP(B338,'06停留所'!$B$2:$C$10500,2,0))</f>
        <v>←停留所idを選択</v>
      </c>
      <c r="D338" s="5"/>
      <c r="E338" s="5"/>
      <c r="F338" s="6"/>
    </row>
    <row r="339" spans="1:6" x14ac:dyDescent="0.2">
      <c r="A339" s="2">
        <v>338</v>
      </c>
      <c r="B339" s="5"/>
      <c r="C339" s="10" t="str">
        <f>IF(B339="","←停留所idを選択",VLOOKUP(B339,'06停留所'!$B$2:$C$10500,2,0))</f>
        <v>←停留所idを選択</v>
      </c>
      <c r="D339" s="5"/>
      <c r="E339" s="5"/>
      <c r="F339" s="6"/>
    </row>
    <row r="340" spans="1:6" x14ac:dyDescent="0.2">
      <c r="A340" s="2">
        <v>339</v>
      </c>
      <c r="B340" s="5"/>
      <c r="C340" s="10" t="str">
        <f>IF(B340="","←停留所idを選択",VLOOKUP(B340,'06停留所'!$B$2:$C$10500,2,0))</f>
        <v>←停留所idを選択</v>
      </c>
      <c r="D340" s="5"/>
      <c r="E340" s="5"/>
      <c r="F340" s="6"/>
    </row>
    <row r="341" spans="1:6" x14ac:dyDescent="0.2">
      <c r="A341" s="2">
        <v>340</v>
      </c>
      <c r="B341" s="5"/>
      <c r="C341" s="10" t="str">
        <f>IF(B341="","←停留所idを選択",VLOOKUP(B341,'06停留所'!$B$2:$C$10500,2,0))</f>
        <v>←停留所idを選択</v>
      </c>
      <c r="D341" s="5"/>
      <c r="E341" s="5"/>
      <c r="F341" s="6"/>
    </row>
    <row r="342" spans="1:6" x14ac:dyDescent="0.2">
      <c r="A342" s="2">
        <v>341</v>
      </c>
      <c r="B342" s="5"/>
      <c r="C342" s="10" t="str">
        <f>IF(B342="","←停留所idを選択",VLOOKUP(B342,'06停留所'!$B$2:$C$10500,2,0))</f>
        <v>←停留所idを選択</v>
      </c>
      <c r="D342" s="5"/>
      <c r="E342" s="5"/>
      <c r="F342" s="6"/>
    </row>
    <row r="343" spans="1:6" x14ac:dyDescent="0.2">
      <c r="A343" s="2">
        <v>342</v>
      </c>
      <c r="B343" s="5"/>
      <c r="C343" s="10" t="str">
        <f>IF(B343="","←停留所idを選択",VLOOKUP(B343,'06停留所'!$B$2:$C$10500,2,0))</f>
        <v>←停留所idを選択</v>
      </c>
      <c r="D343" s="5"/>
      <c r="E343" s="5"/>
      <c r="F343" s="6"/>
    </row>
    <row r="344" spans="1:6" x14ac:dyDescent="0.2">
      <c r="A344" s="2">
        <v>343</v>
      </c>
      <c r="B344" s="5"/>
      <c r="C344" s="10" t="str">
        <f>IF(B344="","←停留所idを選択",VLOOKUP(B344,'06停留所'!$B$2:$C$10500,2,0))</f>
        <v>←停留所idを選択</v>
      </c>
      <c r="D344" s="5"/>
      <c r="E344" s="5"/>
      <c r="F344" s="6"/>
    </row>
    <row r="345" spans="1:6" x14ac:dyDescent="0.2">
      <c r="A345" s="2">
        <v>344</v>
      </c>
      <c r="B345" s="5"/>
      <c r="C345" s="10" t="str">
        <f>IF(B345="","←停留所idを選択",VLOOKUP(B345,'06停留所'!$B$2:$C$10500,2,0))</f>
        <v>←停留所idを選択</v>
      </c>
      <c r="D345" s="5"/>
      <c r="E345" s="5"/>
      <c r="F345" s="6"/>
    </row>
    <row r="346" spans="1:6" x14ac:dyDescent="0.2">
      <c r="A346" s="2">
        <v>345</v>
      </c>
      <c r="B346" s="5"/>
      <c r="C346" s="10" t="str">
        <f>IF(B346="","←停留所idを選択",VLOOKUP(B346,'06停留所'!$B$2:$C$10500,2,0))</f>
        <v>←停留所idを選択</v>
      </c>
      <c r="D346" s="5"/>
      <c r="E346" s="5"/>
      <c r="F346" s="6"/>
    </row>
    <row r="347" spans="1:6" x14ac:dyDescent="0.2">
      <c r="A347" s="2">
        <v>346</v>
      </c>
      <c r="B347" s="5"/>
      <c r="C347" s="10" t="str">
        <f>IF(B347="","←停留所idを選択",VLOOKUP(B347,'06停留所'!$B$2:$C$10500,2,0))</f>
        <v>←停留所idを選択</v>
      </c>
      <c r="D347" s="5"/>
      <c r="E347" s="5"/>
      <c r="F347" s="6"/>
    </row>
    <row r="348" spans="1:6" x14ac:dyDescent="0.2">
      <c r="A348" s="2">
        <v>347</v>
      </c>
      <c r="B348" s="5"/>
      <c r="C348" s="10" t="str">
        <f>IF(B348="","←停留所idを選択",VLOOKUP(B348,'06停留所'!$B$2:$C$10500,2,0))</f>
        <v>←停留所idを選択</v>
      </c>
      <c r="D348" s="5"/>
      <c r="E348" s="5"/>
      <c r="F348" s="6"/>
    </row>
    <row r="349" spans="1:6" x14ac:dyDescent="0.2">
      <c r="A349" s="2">
        <v>348</v>
      </c>
      <c r="B349" s="5"/>
      <c r="C349" s="10" t="str">
        <f>IF(B349="","←停留所idを選択",VLOOKUP(B349,'06停留所'!$B$2:$C$10500,2,0))</f>
        <v>←停留所idを選択</v>
      </c>
      <c r="D349" s="5"/>
      <c r="E349" s="5"/>
      <c r="F349" s="6"/>
    </row>
    <row r="350" spans="1:6" x14ac:dyDescent="0.2">
      <c r="A350" s="2">
        <v>349</v>
      </c>
      <c r="B350" s="5"/>
      <c r="C350" s="10" t="str">
        <f>IF(B350="","←停留所idを選択",VLOOKUP(B350,'06停留所'!$B$2:$C$10500,2,0))</f>
        <v>←停留所idを選択</v>
      </c>
      <c r="D350" s="5"/>
      <c r="E350" s="5"/>
      <c r="F350" s="6"/>
    </row>
    <row r="351" spans="1:6" x14ac:dyDescent="0.2">
      <c r="A351" s="2">
        <v>350</v>
      </c>
      <c r="B351" s="5"/>
      <c r="C351" s="10" t="str">
        <f>IF(B351="","←停留所idを選択",VLOOKUP(B351,'06停留所'!$B$2:$C$10500,2,0))</f>
        <v>←停留所idを選択</v>
      </c>
      <c r="D351" s="5"/>
      <c r="E351" s="5"/>
      <c r="F351" s="6"/>
    </row>
    <row r="352" spans="1:6" x14ac:dyDescent="0.2">
      <c r="A352" s="2">
        <v>351</v>
      </c>
      <c r="B352" s="5"/>
      <c r="C352" s="10" t="str">
        <f>IF(B352="","←停留所idを選択",VLOOKUP(B352,'06停留所'!$B$2:$C$10500,2,0))</f>
        <v>←停留所idを選択</v>
      </c>
      <c r="D352" s="5"/>
      <c r="E352" s="5"/>
      <c r="F352" s="6"/>
    </row>
    <row r="353" spans="1:6" x14ac:dyDescent="0.2">
      <c r="A353" s="2">
        <v>352</v>
      </c>
      <c r="B353" s="5"/>
      <c r="C353" s="10" t="str">
        <f>IF(B353="","←停留所idを選択",VLOOKUP(B353,'06停留所'!$B$2:$C$10500,2,0))</f>
        <v>←停留所idを選択</v>
      </c>
      <c r="D353" s="5"/>
      <c r="E353" s="5"/>
      <c r="F353" s="6"/>
    </row>
    <row r="354" spans="1:6" x14ac:dyDescent="0.2">
      <c r="A354" s="2">
        <v>353</v>
      </c>
      <c r="B354" s="5"/>
      <c r="C354" s="10" t="str">
        <f>IF(B354="","←停留所idを選択",VLOOKUP(B354,'06停留所'!$B$2:$C$10500,2,0))</f>
        <v>←停留所idを選択</v>
      </c>
      <c r="D354" s="5"/>
      <c r="E354" s="5"/>
      <c r="F354" s="6"/>
    </row>
    <row r="355" spans="1:6" x14ac:dyDescent="0.2">
      <c r="A355" s="2">
        <v>354</v>
      </c>
      <c r="B355" s="5"/>
      <c r="C355" s="10" t="str">
        <f>IF(B355="","←停留所idを選択",VLOOKUP(B355,'06停留所'!$B$2:$C$10500,2,0))</f>
        <v>←停留所idを選択</v>
      </c>
      <c r="D355" s="5"/>
      <c r="E355" s="5"/>
      <c r="F355" s="6"/>
    </row>
    <row r="356" spans="1:6" x14ac:dyDescent="0.2">
      <c r="A356" s="2">
        <v>355</v>
      </c>
      <c r="B356" s="5"/>
      <c r="C356" s="10" t="str">
        <f>IF(B356="","←停留所idを選択",VLOOKUP(B356,'06停留所'!$B$2:$C$10500,2,0))</f>
        <v>←停留所idを選択</v>
      </c>
      <c r="D356" s="5"/>
      <c r="E356" s="5"/>
      <c r="F356" s="6"/>
    </row>
    <row r="357" spans="1:6" x14ac:dyDescent="0.2">
      <c r="A357" s="2">
        <v>356</v>
      </c>
      <c r="B357" s="5"/>
      <c r="C357" s="10" t="str">
        <f>IF(B357="","←停留所idを選択",VLOOKUP(B357,'06停留所'!$B$2:$C$10500,2,0))</f>
        <v>←停留所idを選択</v>
      </c>
      <c r="D357" s="5"/>
      <c r="E357" s="5"/>
      <c r="F357" s="6"/>
    </row>
    <row r="358" spans="1:6" x14ac:dyDescent="0.2">
      <c r="A358" s="2">
        <v>357</v>
      </c>
      <c r="B358" s="5"/>
      <c r="C358" s="10" t="str">
        <f>IF(B358="","←停留所idを選択",VLOOKUP(B358,'06停留所'!$B$2:$C$10500,2,0))</f>
        <v>←停留所idを選択</v>
      </c>
      <c r="D358" s="5"/>
      <c r="E358" s="5"/>
      <c r="F358" s="6"/>
    </row>
    <row r="359" spans="1:6" x14ac:dyDescent="0.2">
      <c r="A359" s="2">
        <v>358</v>
      </c>
      <c r="B359" s="5"/>
      <c r="C359" s="10" t="str">
        <f>IF(B359="","←停留所idを選択",VLOOKUP(B359,'06停留所'!$B$2:$C$10500,2,0))</f>
        <v>←停留所idを選択</v>
      </c>
      <c r="D359" s="5"/>
      <c r="E359" s="5"/>
      <c r="F359" s="6"/>
    </row>
    <row r="360" spans="1:6" x14ac:dyDescent="0.2">
      <c r="A360" s="2">
        <v>359</v>
      </c>
      <c r="B360" s="5"/>
      <c r="C360" s="10" t="str">
        <f>IF(B360="","←停留所idを選択",VLOOKUP(B360,'06停留所'!$B$2:$C$10500,2,0))</f>
        <v>←停留所idを選択</v>
      </c>
      <c r="D360" s="5"/>
      <c r="E360" s="5"/>
      <c r="F360" s="6"/>
    </row>
    <row r="361" spans="1:6" x14ac:dyDescent="0.2">
      <c r="A361" s="2">
        <v>360</v>
      </c>
      <c r="B361" s="5"/>
      <c r="C361" s="10" t="str">
        <f>IF(B361="","←停留所idを選択",VLOOKUP(B361,'06停留所'!$B$2:$C$10500,2,0))</f>
        <v>←停留所idを選択</v>
      </c>
      <c r="D361" s="5"/>
      <c r="E361" s="5"/>
      <c r="F361" s="6"/>
    </row>
    <row r="362" spans="1:6" x14ac:dyDescent="0.2">
      <c r="A362" s="2">
        <v>361</v>
      </c>
      <c r="B362" s="5"/>
      <c r="C362" s="10" t="str">
        <f>IF(B362="","←停留所idを選択",VLOOKUP(B362,'06停留所'!$B$2:$C$10500,2,0))</f>
        <v>←停留所idを選択</v>
      </c>
      <c r="D362" s="5"/>
      <c r="E362" s="5"/>
      <c r="F362" s="6"/>
    </row>
    <row r="363" spans="1:6" x14ac:dyDescent="0.2">
      <c r="A363" s="2">
        <v>362</v>
      </c>
      <c r="B363" s="5"/>
      <c r="C363" s="10" t="str">
        <f>IF(B363="","←停留所idを選択",VLOOKUP(B363,'06停留所'!$B$2:$C$10500,2,0))</f>
        <v>←停留所idを選択</v>
      </c>
      <c r="D363" s="5"/>
      <c r="E363" s="5"/>
      <c r="F363" s="6"/>
    </row>
    <row r="364" spans="1:6" x14ac:dyDescent="0.2">
      <c r="A364" s="2">
        <v>363</v>
      </c>
      <c r="B364" s="5"/>
      <c r="C364" s="10" t="str">
        <f>IF(B364="","←停留所idを選択",VLOOKUP(B364,'06停留所'!$B$2:$C$10500,2,0))</f>
        <v>←停留所idを選択</v>
      </c>
      <c r="D364" s="5"/>
      <c r="E364" s="5"/>
      <c r="F364" s="6"/>
    </row>
    <row r="365" spans="1:6" x14ac:dyDescent="0.2">
      <c r="A365" s="2">
        <v>364</v>
      </c>
      <c r="B365" s="5"/>
      <c r="C365" s="10" t="str">
        <f>IF(B365="","←停留所idを選択",VLOOKUP(B365,'06停留所'!$B$2:$C$10500,2,0))</f>
        <v>←停留所idを選択</v>
      </c>
      <c r="D365" s="5"/>
      <c r="E365" s="5"/>
      <c r="F365" s="6"/>
    </row>
    <row r="366" spans="1:6" x14ac:dyDescent="0.2">
      <c r="A366" s="2">
        <v>365</v>
      </c>
      <c r="B366" s="5"/>
      <c r="C366" s="10" t="str">
        <f>IF(B366="","←停留所idを選択",VLOOKUP(B366,'06停留所'!$B$2:$C$10500,2,0))</f>
        <v>←停留所idを選択</v>
      </c>
      <c r="D366" s="5"/>
      <c r="E366" s="5"/>
      <c r="F366" s="6"/>
    </row>
    <row r="367" spans="1:6" x14ac:dyDescent="0.2">
      <c r="A367" s="2">
        <v>366</v>
      </c>
      <c r="B367" s="5"/>
      <c r="C367" s="10" t="str">
        <f>IF(B367="","←停留所idを選択",VLOOKUP(B367,'06停留所'!$B$2:$C$10500,2,0))</f>
        <v>←停留所idを選択</v>
      </c>
      <c r="D367" s="5"/>
      <c r="E367" s="5"/>
      <c r="F367" s="6"/>
    </row>
    <row r="368" spans="1:6" x14ac:dyDescent="0.2">
      <c r="A368" s="2">
        <v>367</v>
      </c>
      <c r="B368" s="5"/>
      <c r="C368" s="10" t="str">
        <f>IF(B368="","←停留所idを選択",VLOOKUP(B368,'06停留所'!$B$2:$C$10500,2,0))</f>
        <v>←停留所idを選択</v>
      </c>
      <c r="D368" s="5"/>
      <c r="E368" s="5"/>
      <c r="F368" s="6"/>
    </row>
    <row r="369" spans="1:6" x14ac:dyDescent="0.2">
      <c r="A369" s="2">
        <v>368</v>
      </c>
      <c r="B369" s="5"/>
      <c r="C369" s="10" t="str">
        <f>IF(B369="","←停留所idを選択",VLOOKUP(B369,'06停留所'!$B$2:$C$10500,2,0))</f>
        <v>←停留所idを選択</v>
      </c>
      <c r="D369" s="5"/>
      <c r="E369" s="5"/>
      <c r="F369" s="6"/>
    </row>
    <row r="370" spans="1:6" x14ac:dyDescent="0.2">
      <c r="A370" s="2">
        <v>369</v>
      </c>
      <c r="B370" s="5"/>
      <c r="C370" s="10" t="str">
        <f>IF(B370="","←停留所idを選択",VLOOKUP(B370,'06停留所'!$B$2:$C$10500,2,0))</f>
        <v>←停留所idを選択</v>
      </c>
      <c r="D370" s="5"/>
      <c r="E370" s="5"/>
      <c r="F370" s="6"/>
    </row>
    <row r="371" spans="1:6" x14ac:dyDescent="0.2">
      <c r="A371" s="2">
        <v>370</v>
      </c>
      <c r="B371" s="5"/>
      <c r="C371" s="10" t="str">
        <f>IF(B371="","←停留所idを選択",VLOOKUP(B371,'06停留所'!$B$2:$C$10500,2,0))</f>
        <v>←停留所idを選択</v>
      </c>
      <c r="D371" s="5"/>
      <c r="E371" s="5"/>
      <c r="F371" s="6"/>
    </row>
    <row r="372" spans="1:6" x14ac:dyDescent="0.2">
      <c r="A372" s="2">
        <v>371</v>
      </c>
      <c r="B372" s="5"/>
      <c r="C372" s="10" t="str">
        <f>IF(B372="","←停留所idを選択",VLOOKUP(B372,'06停留所'!$B$2:$C$10500,2,0))</f>
        <v>←停留所idを選択</v>
      </c>
      <c r="D372" s="5"/>
      <c r="E372" s="5"/>
      <c r="F372" s="6"/>
    </row>
    <row r="373" spans="1:6" x14ac:dyDescent="0.2">
      <c r="A373" s="2">
        <v>372</v>
      </c>
      <c r="B373" s="5"/>
      <c r="C373" s="10" t="str">
        <f>IF(B373="","←停留所idを選択",VLOOKUP(B373,'06停留所'!$B$2:$C$10500,2,0))</f>
        <v>←停留所idを選択</v>
      </c>
      <c r="D373" s="5"/>
      <c r="E373" s="5"/>
      <c r="F373" s="6"/>
    </row>
    <row r="374" spans="1:6" x14ac:dyDescent="0.2">
      <c r="A374" s="2">
        <v>373</v>
      </c>
      <c r="B374" s="5"/>
      <c r="C374" s="10" t="str">
        <f>IF(B374="","←停留所idを選択",VLOOKUP(B374,'06停留所'!$B$2:$C$10500,2,0))</f>
        <v>←停留所idを選択</v>
      </c>
      <c r="D374" s="5"/>
      <c r="E374" s="5"/>
      <c r="F374" s="6"/>
    </row>
    <row r="375" spans="1:6" x14ac:dyDescent="0.2">
      <c r="A375" s="2">
        <v>374</v>
      </c>
      <c r="B375" s="5"/>
      <c r="C375" s="10" t="str">
        <f>IF(B375="","←停留所idを選択",VLOOKUP(B375,'06停留所'!$B$2:$C$10500,2,0))</f>
        <v>←停留所idを選択</v>
      </c>
      <c r="D375" s="5"/>
      <c r="E375" s="5"/>
      <c r="F375" s="6"/>
    </row>
    <row r="376" spans="1:6" x14ac:dyDescent="0.2">
      <c r="A376" s="2">
        <v>375</v>
      </c>
      <c r="B376" s="5"/>
      <c r="C376" s="10" t="str">
        <f>IF(B376="","←停留所idを選択",VLOOKUP(B376,'06停留所'!$B$2:$C$10500,2,0))</f>
        <v>←停留所idを選択</v>
      </c>
      <c r="D376" s="5"/>
      <c r="E376" s="5"/>
      <c r="F376" s="6"/>
    </row>
    <row r="377" spans="1:6" x14ac:dyDescent="0.2">
      <c r="A377" s="2">
        <v>376</v>
      </c>
      <c r="B377" s="5"/>
      <c r="C377" s="10" t="str">
        <f>IF(B377="","←停留所idを選択",VLOOKUP(B377,'06停留所'!$B$2:$C$10500,2,0))</f>
        <v>←停留所idを選択</v>
      </c>
      <c r="D377" s="5"/>
      <c r="E377" s="5"/>
      <c r="F377" s="6"/>
    </row>
    <row r="378" spans="1:6" x14ac:dyDescent="0.2">
      <c r="A378" s="2">
        <v>377</v>
      </c>
      <c r="B378" s="5"/>
      <c r="C378" s="10" t="str">
        <f>IF(B378="","←停留所idを選択",VLOOKUP(B378,'06停留所'!$B$2:$C$10500,2,0))</f>
        <v>←停留所idを選択</v>
      </c>
      <c r="D378" s="5"/>
      <c r="E378" s="5"/>
      <c r="F378" s="6"/>
    </row>
    <row r="379" spans="1:6" x14ac:dyDescent="0.2">
      <c r="A379" s="2">
        <v>378</v>
      </c>
      <c r="B379" s="5"/>
      <c r="C379" s="10" t="str">
        <f>IF(B379="","←停留所idを選択",VLOOKUP(B379,'06停留所'!$B$2:$C$10500,2,0))</f>
        <v>←停留所idを選択</v>
      </c>
      <c r="D379" s="5"/>
      <c r="E379" s="5"/>
      <c r="F379" s="6"/>
    </row>
    <row r="380" spans="1:6" x14ac:dyDescent="0.2">
      <c r="A380" s="2">
        <v>379</v>
      </c>
      <c r="B380" s="5"/>
      <c r="C380" s="10" t="str">
        <f>IF(B380="","←停留所idを選択",VLOOKUP(B380,'06停留所'!$B$2:$C$10500,2,0))</f>
        <v>←停留所idを選択</v>
      </c>
      <c r="D380" s="5"/>
      <c r="E380" s="5"/>
      <c r="F380" s="6"/>
    </row>
    <row r="381" spans="1:6" x14ac:dyDescent="0.2">
      <c r="A381" s="2">
        <v>380</v>
      </c>
      <c r="B381" s="5"/>
      <c r="C381" s="10" t="str">
        <f>IF(B381="","←停留所idを選択",VLOOKUP(B381,'06停留所'!$B$2:$C$10500,2,0))</f>
        <v>←停留所idを選択</v>
      </c>
      <c r="D381" s="5"/>
      <c r="E381" s="5"/>
      <c r="F381" s="6"/>
    </row>
    <row r="382" spans="1:6" x14ac:dyDescent="0.2">
      <c r="A382" s="2">
        <v>381</v>
      </c>
      <c r="B382" s="5"/>
      <c r="C382" s="10" t="str">
        <f>IF(B382="","←停留所idを選択",VLOOKUP(B382,'06停留所'!$B$2:$C$10500,2,0))</f>
        <v>←停留所idを選択</v>
      </c>
      <c r="D382" s="5"/>
      <c r="E382" s="5"/>
      <c r="F382" s="6"/>
    </row>
    <row r="383" spans="1:6" x14ac:dyDescent="0.2">
      <c r="A383" s="2">
        <v>382</v>
      </c>
      <c r="B383" s="5"/>
      <c r="C383" s="10" t="str">
        <f>IF(B383="","←停留所idを選択",VLOOKUP(B383,'06停留所'!$B$2:$C$10500,2,0))</f>
        <v>←停留所idを選択</v>
      </c>
      <c r="D383" s="5"/>
      <c r="E383" s="5"/>
      <c r="F383" s="6"/>
    </row>
    <row r="384" spans="1:6" x14ac:dyDescent="0.2">
      <c r="A384" s="2">
        <v>383</v>
      </c>
      <c r="B384" s="5"/>
      <c r="C384" s="10" t="str">
        <f>IF(B384="","←停留所idを選択",VLOOKUP(B384,'06停留所'!$B$2:$C$10500,2,0))</f>
        <v>←停留所idを選択</v>
      </c>
      <c r="D384" s="5"/>
      <c r="E384" s="5"/>
      <c r="F384" s="6"/>
    </row>
    <row r="385" spans="1:6" x14ac:dyDescent="0.2">
      <c r="A385" s="2">
        <v>384</v>
      </c>
      <c r="B385" s="5"/>
      <c r="C385" s="10" t="str">
        <f>IF(B385="","←停留所idを選択",VLOOKUP(B385,'06停留所'!$B$2:$C$10500,2,0))</f>
        <v>←停留所idを選択</v>
      </c>
      <c r="D385" s="5"/>
      <c r="E385" s="5"/>
      <c r="F385" s="6"/>
    </row>
    <row r="386" spans="1:6" x14ac:dyDescent="0.2">
      <c r="A386" s="2">
        <v>385</v>
      </c>
      <c r="B386" s="5"/>
      <c r="C386" s="10" t="str">
        <f>IF(B386="","←停留所idを選択",VLOOKUP(B386,'06停留所'!$B$2:$C$10500,2,0))</f>
        <v>←停留所idを選択</v>
      </c>
      <c r="D386" s="5"/>
      <c r="E386" s="5"/>
      <c r="F386" s="6"/>
    </row>
    <row r="387" spans="1:6" x14ac:dyDescent="0.2">
      <c r="A387" s="2">
        <v>386</v>
      </c>
      <c r="B387" s="5"/>
      <c r="C387" s="10" t="str">
        <f>IF(B387="","←停留所idを選択",VLOOKUP(B387,'06停留所'!$B$2:$C$10500,2,0))</f>
        <v>←停留所idを選択</v>
      </c>
      <c r="D387" s="5"/>
      <c r="E387" s="5"/>
      <c r="F387" s="6"/>
    </row>
    <row r="388" spans="1:6" x14ac:dyDescent="0.2">
      <c r="A388" s="2">
        <v>387</v>
      </c>
      <c r="B388" s="5"/>
      <c r="C388" s="10" t="str">
        <f>IF(B388="","←停留所idを選択",VLOOKUP(B388,'06停留所'!$B$2:$C$10500,2,0))</f>
        <v>←停留所idを選択</v>
      </c>
      <c r="D388" s="5"/>
      <c r="E388" s="5"/>
      <c r="F388" s="6"/>
    </row>
    <row r="389" spans="1:6" x14ac:dyDescent="0.2">
      <c r="A389" s="2">
        <v>388</v>
      </c>
      <c r="B389" s="5"/>
      <c r="C389" s="10" t="str">
        <f>IF(B389="","←停留所idを選択",VLOOKUP(B389,'06停留所'!$B$2:$C$10500,2,0))</f>
        <v>←停留所idを選択</v>
      </c>
      <c r="D389" s="5"/>
      <c r="E389" s="5"/>
      <c r="F389" s="6"/>
    </row>
    <row r="390" spans="1:6" x14ac:dyDescent="0.2">
      <c r="A390" s="2">
        <v>389</v>
      </c>
      <c r="B390" s="5"/>
      <c r="C390" s="10" t="str">
        <f>IF(B390="","←停留所idを選択",VLOOKUP(B390,'06停留所'!$B$2:$C$10500,2,0))</f>
        <v>←停留所idを選択</v>
      </c>
      <c r="D390" s="5"/>
      <c r="E390" s="5"/>
      <c r="F390" s="6"/>
    </row>
    <row r="391" spans="1:6" x14ac:dyDescent="0.2">
      <c r="A391" s="2">
        <v>390</v>
      </c>
      <c r="B391" s="5"/>
      <c r="C391" s="10" t="str">
        <f>IF(B391="","←停留所idを選択",VLOOKUP(B391,'06停留所'!$B$2:$C$10500,2,0))</f>
        <v>←停留所idを選択</v>
      </c>
      <c r="D391" s="5"/>
      <c r="E391" s="5"/>
      <c r="F391" s="6"/>
    </row>
    <row r="392" spans="1:6" x14ac:dyDescent="0.2">
      <c r="A392" s="2">
        <v>391</v>
      </c>
      <c r="B392" s="5"/>
      <c r="C392" s="10" t="str">
        <f>IF(B392="","←停留所idを選択",VLOOKUP(B392,'06停留所'!$B$2:$C$10500,2,0))</f>
        <v>←停留所idを選択</v>
      </c>
      <c r="D392" s="5"/>
      <c r="E392" s="5"/>
      <c r="F392" s="6"/>
    </row>
    <row r="393" spans="1:6" x14ac:dyDescent="0.2">
      <c r="A393" s="2">
        <v>392</v>
      </c>
      <c r="B393" s="5"/>
      <c r="C393" s="10" t="str">
        <f>IF(B393="","←停留所idを選択",VLOOKUP(B393,'06停留所'!$B$2:$C$10500,2,0))</f>
        <v>←停留所idを選択</v>
      </c>
      <c r="D393" s="5"/>
      <c r="E393" s="5"/>
      <c r="F393" s="6"/>
    </row>
    <row r="394" spans="1:6" x14ac:dyDescent="0.2">
      <c r="A394" s="2">
        <v>393</v>
      </c>
      <c r="B394" s="5"/>
      <c r="C394" s="10" t="str">
        <f>IF(B394="","←停留所idを選択",VLOOKUP(B394,'06停留所'!$B$2:$C$10500,2,0))</f>
        <v>←停留所idを選択</v>
      </c>
      <c r="D394" s="5"/>
      <c r="E394" s="5"/>
      <c r="F394" s="6"/>
    </row>
    <row r="395" spans="1:6" x14ac:dyDescent="0.2">
      <c r="A395" s="2">
        <v>394</v>
      </c>
      <c r="B395" s="5"/>
      <c r="C395" s="10" t="str">
        <f>IF(B395="","←停留所idを選択",VLOOKUP(B395,'06停留所'!$B$2:$C$10500,2,0))</f>
        <v>←停留所idを選択</v>
      </c>
      <c r="D395" s="5"/>
      <c r="E395" s="5"/>
      <c r="F395" s="6"/>
    </row>
    <row r="396" spans="1:6" x14ac:dyDescent="0.2">
      <c r="A396" s="2">
        <v>395</v>
      </c>
      <c r="B396" s="5"/>
      <c r="C396" s="10" t="str">
        <f>IF(B396="","←停留所idを選択",VLOOKUP(B396,'06停留所'!$B$2:$C$10500,2,0))</f>
        <v>←停留所idを選択</v>
      </c>
      <c r="D396" s="5"/>
      <c r="E396" s="5"/>
      <c r="F396" s="6"/>
    </row>
    <row r="397" spans="1:6" x14ac:dyDescent="0.2">
      <c r="A397" s="2">
        <v>396</v>
      </c>
      <c r="B397" s="5"/>
      <c r="C397" s="10" t="str">
        <f>IF(B397="","←停留所idを選択",VLOOKUP(B397,'06停留所'!$B$2:$C$10500,2,0))</f>
        <v>←停留所idを選択</v>
      </c>
      <c r="D397" s="5"/>
      <c r="E397" s="5"/>
      <c r="F397" s="6"/>
    </row>
    <row r="398" spans="1:6" x14ac:dyDescent="0.2">
      <c r="A398" s="2">
        <v>397</v>
      </c>
      <c r="B398" s="5"/>
      <c r="C398" s="10" t="str">
        <f>IF(B398="","←停留所idを選択",VLOOKUP(B398,'06停留所'!$B$2:$C$10500,2,0))</f>
        <v>←停留所idを選択</v>
      </c>
      <c r="D398" s="5"/>
      <c r="E398" s="5"/>
      <c r="F398" s="6"/>
    </row>
    <row r="399" spans="1:6" x14ac:dyDescent="0.2">
      <c r="A399" s="2">
        <v>398</v>
      </c>
      <c r="B399" s="5"/>
      <c r="C399" s="10" t="str">
        <f>IF(B399="","←停留所idを選択",VLOOKUP(B399,'06停留所'!$B$2:$C$10500,2,0))</f>
        <v>←停留所idを選択</v>
      </c>
      <c r="D399" s="5"/>
      <c r="E399" s="5"/>
      <c r="F399" s="6"/>
    </row>
    <row r="400" spans="1:6" x14ac:dyDescent="0.2">
      <c r="A400" s="2">
        <v>399</v>
      </c>
      <c r="B400" s="5"/>
      <c r="C400" s="10" t="str">
        <f>IF(B400="","←停留所idを選択",VLOOKUP(B400,'06停留所'!$B$2:$C$10500,2,0))</f>
        <v>←停留所idを選択</v>
      </c>
      <c r="D400" s="5"/>
      <c r="E400" s="5"/>
      <c r="F400" s="6"/>
    </row>
    <row r="401" spans="1:6" x14ac:dyDescent="0.2">
      <c r="A401" s="2">
        <v>400</v>
      </c>
      <c r="B401" s="5"/>
      <c r="C401" s="10" t="str">
        <f>IF(B401="","←停留所idを選択",VLOOKUP(B401,'06停留所'!$B$2:$C$10500,2,0))</f>
        <v>←停留所idを選択</v>
      </c>
      <c r="D401" s="5"/>
      <c r="E401" s="5"/>
      <c r="F401" s="6"/>
    </row>
    <row r="402" spans="1:6" x14ac:dyDescent="0.2">
      <c r="A402" s="2">
        <v>401</v>
      </c>
      <c r="B402" s="5"/>
      <c r="C402" s="10" t="str">
        <f>IF(B402="","←停留所idを選択",VLOOKUP(B402,'06停留所'!$B$2:$C$10500,2,0))</f>
        <v>←停留所idを選択</v>
      </c>
      <c r="D402" s="5"/>
      <c r="E402" s="5"/>
      <c r="F402" s="6"/>
    </row>
    <row r="403" spans="1:6" x14ac:dyDescent="0.2">
      <c r="A403" s="2">
        <v>402</v>
      </c>
      <c r="B403" s="5"/>
      <c r="C403" s="10" t="str">
        <f>IF(B403="","←停留所idを選択",VLOOKUP(B403,'06停留所'!$B$2:$C$10500,2,0))</f>
        <v>←停留所idを選択</v>
      </c>
      <c r="D403" s="5"/>
      <c r="E403" s="5"/>
      <c r="F403" s="6"/>
    </row>
    <row r="404" spans="1:6" x14ac:dyDescent="0.2">
      <c r="A404" s="2">
        <v>403</v>
      </c>
      <c r="B404" s="5"/>
      <c r="C404" s="10" t="str">
        <f>IF(B404="","←停留所idを選択",VLOOKUP(B404,'06停留所'!$B$2:$C$10500,2,0))</f>
        <v>←停留所idを選択</v>
      </c>
      <c r="D404" s="5"/>
      <c r="E404" s="5"/>
      <c r="F404" s="6"/>
    </row>
    <row r="405" spans="1:6" x14ac:dyDescent="0.2">
      <c r="A405" s="2">
        <v>404</v>
      </c>
      <c r="B405" s="5"/>
      <c r="C405" s="10" t="str">
        <f>IF(B405="","←停留所idを選択",VLOOKUP(B405,'06停留所'!$B$2:$C$10500,2,0))</f>
        <v>←停留所idを選択</v>
      </c>
      <c r="D405" s="5"/>
      <c r="E405" s="5"/>
      <c r="F405" s="6"/>
    </row>
    <row r="406" spans="1:6" x14ac:dyDescent="0.2">
      <c r="A406" s="2">
        <v>405</v>
      </c>
      <c r="B406" s="5"/>
      <c r="C406" s="10" t="str">
        <f>IF(B406="","←停留所idを選択",VLOOKUP(B406,'06停留所'!$B$2:$C$10500,2,0))</f>
        <v>←停留所idを選択</v>
      </c>
      <c r="D406" s="5"/>
      <c r="E406" s="5"/>
      <c r="F406" s="6"/>
    </row>
    <row r="407" spans="1:6" x14ac:dyDescent="0.2">
      <c r="A407" s="2">
        <v>406</v>
      </c>
      <c r="B407" s="5"/>
      <c r="C407" s="10" t="str">
        <f>IF(B407="","←停留所idを選択",VLOOKUP(B407,'06停留所'!$B$2:$C$10500,2,0))</f>
        <v>←停留所idを選択</v>
      </c>
      <c r="D407" s="5"/>
      <c r="E407" s="5"/>
      <c r="F407" s="6"/>
    </row>
    <row r="408" spans="1:6" x14ac:dyDescent="0.2">
      <c r="A408" s="2">
        <v>407</v>
      </c>
      <c r="B408" s="5"/>
      <c r="C408" s="10" t="str">
        <f>IF(B408="","←停留所idを選択",VLOOKUP(B408,'06停留所'!$B$2:$C$10500,2,0))</f>
        <v>←停留所idを選択</v>
      </c>
      <c r="D408" s="5"/>
      <c r="E408" s="5"/>
      <c r="F408" s="6"/>
    </row>
    <row r="409" spans="1:6" x14ac:dyDescent="0.2">
      <c r="A409" s="2">
        <v>408</v>
      </c>
      <c r="B409" s="5"/>
      <c r="C409" s="10" t="str">
        <f>IF(B409="","←停留所idを選択",VLOOKUP(B409,'06停留所'!$B$2:$C$10500,2,0))</f>
        <v>←停留所idを選択</v>
      </c>
      <c r="D409" s="5"/>
      <c r="E409" s="5"/>
      <c r="F409" s="6"/>
    </row>
    <row r="410" spans="1:6" x14ac:dyDescent="0.2">
      <c r="A410" s="2">
        <v>409</v>
      </c>
      <c r="B410" s="5"/>
      <c r="C410" s="10" t="str">
        <f>IF(B410="","←停留所idを選択",VLOOKUP(B410,'06停留所'!$B$2:$C$10500,2,0))</f>
        <v>←停留所idを選択</v>
      </c>
      <c r="D410" s="5"/>
      <c r="E410" s="5"/>
      <c r="F410" s="6"/>
    </row>
    <row r="411" spans="1:6" x14ac:dyDescent="0.2">
      <c r="A411" s="2">
        <v>410</v>
      </c>
      <c r="B411" s="5"/>
      <c r="C411" s="10" t="str">
        <f>IF(B411="","←停留所idを選択",VLOOKUP(B411,'06停留所'!$B$2:$C$10500,2,0))</f>
        <v>←停留所idを選択</v>
      </c>
      <c r="D411" s="5"/>
      <c r="E411" s="5"/>
      <c r="F411" s="6"/>
    </row>
    <row r="412" spans="1:6" x14ac:dyDescent="0.2">
      <c r="A412" s="2">
        <v>411</v>
      </c>
      <c r="B412" s="5"/>
      <c r="C412" s="10" t="str">
        <f>IF(B412="","←停留所idを選択",VLOOKUP(B412,'06停留所'!$B$2:$C$10500,2,0))</f>
        <v>←停留所idを選択</v>
      </c>
      <c r="D412" s="5"/>
      <c r="E412" s="5"/>
      <c r="F412" s="6"/>
    </row>
    <row r="413" spans="1:6" x14ac:dyDescent="0.2">
      <c r="A413" s="2">
        <v>412</v>
      </c>
      <c r="B413" s="5"/>
      <c r="C413" s="10" t="str">
        <f>IF(B413="","←停留所idを選択",VLOOKUP(B413,'06停留所'!$B$2:$C$10500,2,0))</f>
        <v>←停留所idを選択</v>
      </c>
      <c r="D413" s="5"/>
      <c r="E413" s="5"/>
      <c r="F413" s="6"/>
    </row>
    <row r="414" spans="1:6" x14ac:dyDescent="0.2">
      <c r="A414" s="2">
        <v>413</v>
      </c>
      <c r="B414" s="5"/>
      <c r="C414" s="10" t="str">
        <f>IF(B414="","←停留所idを選択",VLOOKUP(B414,'06停留所'!$B$2:$C$10500,2,0))</f>
        <v>←停留所idを選択</v>
      </c>
      <c r="D414" s="5"/>
      <c r="E414" s="5"/>
      <c r="F414" s="6"/>
    </row>
    <row r="415" spans="1:6" x14ac:dyDescent="0.2">
      <c r="A415" s="2">
        <v>414</v>
      </c>
      <c r="B415" s="5"/>
      <c r="C415" s="10" t="str">
        <f>IF(B415="","←停留所idを選択",VLOOKUP(B415,'06停留所'!$B$2:$C$10500,2,0))</f>
        <v>←停留所idを選択</v>
      </c>
      <c r="D415" s="5"/>
      <c r="E415" s="5"/>
      <c r="F415" s="6"/>
    </row>
    <row r="416" spans="1:6" x14ac:dyDescent="0.2">
      <c r="A416" s="2">
        <v>415</v>
      </c>
      <c r="B416" s="5"/>
      <c r="C416" s="10" t="str">
        <f>IF(B416="","←停留所idを選択",VLOOKUP(B416,'06停留所'!$B$2:$C$10500,2,0))</f>
        <v>←停留所idを選択</v>
      </c>
      <c r="D416" s="5"/>
      <c r="E416" s="5"/>
      <c r="F416" s="6"/>
    </row>
    <row r="417" spans="1:6" x14ac:dyDescent="0.2">
      <c r="A417" s="2">
        <v>416</v>
      </c>
      <c r="B417" s="5"/>
      <c r="C417" s="10" t="str">
        <f>IF(B417="","←停留所idを選択",VLOOKUP(B417,'06停留所'!$B$2:$C$10500,2,0))</f>
        <v>←停留所idを選択</v>
      </c>
      <c r="D417" s="5"/>
      <c r="E417" s="5"/>
      <c r="F417" s="6"/>
    </row>
    <row r="418" spans="1:6" x14ac:dyDescent="0.2">
      <c r="A418" s="2">
        <v>417</v>
      </c>
      <c r="B418" s="5"/>
      <c r="C418" s="10" t="str">
        <f>IF(B418="","←停留所idを選択",VLOOKUP(B418,'06停留所'!$B$2:$C$10500,2,0))</f>
        <v>←停留所idを選択</v>
      </c>
      <c r="D418" s="5"/>
      <c r="E418" s="5"/>
      <c r="F418" s="6"/>
    </row>
    <row r="419" spans="1:6" x14ac:dyDescent="0.2">
      <c r="A419" s="2">
        <v>418</v>
      </c>
      <c r="B419" s="5"/>
      <c r="C419" s="10" t="str">
        <f>IF(B419="","←停留所idを選択",VLOOKUP(B419,'06停留所'!$B$2:$C$10500,2,0))</f>
        <v>←停留所idを選択</v>
      </c>
      <c r="D419" s="5"/>
      <c r="E419" s="5"/>
      <c r="F419" s="6"/>
    </row>
    <row r="420" spans="1:6" x14ac:dyDescent="0.2">
      <c r="A420" s="2">
        <v>419</v>
      </c>
      <c r="B420" s="5"/>
      <c r="C420" s="10" t="str">
        <f>IF(B420="","←停留所idを選択",VLOOKUP(B420,'06停留所'!$B$2:$C$10500,2,0))</f>
        <v>←停留所idを選択</v>
      </c>
      <c r="D420" s="5"/>
      <c r="E420" s="5"/>
      <c r="F420" s="6"/>
    </row>
    <row r="421" spans="1:6" x14ac:dyDescent="0.2">
      <c r="A421" s="2">
        <v>420</v>
      </c>
      <c r="B421" s="5"/>
      <c r="C421" s="10" t="str">
        <f>IF(B421="","←停留所idを選択",VLOOKUP(B421,'06停留所'!$B$2:$C$10500,2,0))</f>
        <v>←停留所idを選択</v>
      </c>
      <c r="D421" s="5"/>
      <c r="E421" s="5"/>
      <c r="F421" s="6"/>
    </row>
    <row r="422" spans="1:6" x14ac:dyDescent="0.2">
      <c r="A422" s="2">
        <v>421</v>
      </c>
      <c r="B422" s="5"/>
      <c r="C422" s="10" t="str">
        <f>IF(B422="","←停留所idを選択",VLOOKUP(B422,'06停留所'!$B$2:$C$10500,2,0))</f>
        <v>←停留所idを選択</v>
      </c>
      <c r="D422" s="5"/>
      <c r="E422" s="5"/>
      <c r="F422" s="6"/>
    </row>
    <row r="423" spans="1:6" x14ac:dyDescent="0.2">
      <c r="A423" s="2">
        <v>422</v>
      </c>
      <c r="B423" s="5"/>
      <c r="C423" s="10" t="str">
        <f>IF(B423="","←停留所idを選択",VLOOKUP(B423,'06停留所'!$B$2:$C$10500,2,0))</f>
        <v>←停留所idを選択</v>
      </c>
      <c r="D423" s="5"/>
      <c r="E423" s="5"/>
      <c r="F423" s="6"/>
    </row>
    <row r="424" spans="1:6" x14ac:dyDescent="0.2">
      <c r="A424" s="2">
        <v>423</v>
      </c>
      <c r="B424" s="5"/>
      <c r="C424" s="10" t="str">
        <f>IF(B424="","←停留所idを選択",VLOOKUP(B424,'06停留所'!$B$2:$C$10500,2,0))</f>
        <v>←停留所idを選択</v>
      </c>
      <c r="D424" s="5"/>
      <c r="E424" s="5"/>
      <c r="F424" s="6"/>
    </row>
    <row r="425" spans="1:6" x14ac:dyDescent="0.2">
      <c r="A425" s="2">
        <v>424</v>
      </c>
      <c r="B425" s="5"/>
      <c r="C425" s="10" t="str">
        <f>IF(B425="","←停留所idを選択",VLOOKUP(B425,'06停留所'!$B$2:$C$10500,2,0))</f>
        <v>←停留所idを選択</v>
      </c>
      <c r="D425" s="5"/>
      <c r="E425" s="5"/>
      <c r="F425" s="6"/>
    </row>
    <row r="426" spans="1:6" x14ac:dyDescent="0.2">
      <c r="A426" s="2">
        <v>425</v>
      </c>
      <c r="B426" s="5"/>
      <c r="C426" s="10" t="str">
        <f>IF(B426="","←停留所idを選択",VLOOKUP(B426,'06停留所'!$B$2:$C$10500,2,0))</f>
        <v>←停留所idを選択</v>
      </c>
      <c r="D426" s="5"/>
      <c r="E426" s="5"/>
      <c r="F426" s="6"/>
    </row>
    <row r="427" spans="1:6" x14ac:dyDescent="0.2">
      <c r="A427" s="2">
        <v>426</v>
      </c>
      <c r="B427" s="5"/>
      <c r="C427" s="10" t="str">
        <f>IF(B427="","←停留所idを選択",VLOOKUP(B427,'06停留所'!$B$2:$C$10500,2,0))</f>
        <v>←停留所idを選択</v>
      </c>
      <c r="D427" s="5"/>
      <c r="E427" s="5"/>
      <c r="F427" s="6"/>
    </row>
    <row r="428" spans="1:6" x14ac:dyDescent="0.2">
      <c r="A428" s="2">
        <v>427</v>
      </c>
      <c r="B428" s="5"/>
      <c r="C428" s="10" t="str">
        <f>IF(B428="","←停留所idを選択",VLOOKUP(B428,'06停留所'!$B$2:$C$10500,2,0))</f>
        <v>←停留所idを選択</v>
      </c>
      <c r="D428" s="5"/>
      <c r="E428" s="5"/>
      <c r="F428" s="6"/>
    </row>
    <row r="429" spans="1:6" x14ac:dyDescent="0.2">
      <c r="A429" s="2">
        <v>428</v>
      </c>
      <c r="B429" s="5"/>
      <c r="C429" s="10" t="str">
        <f>IF(B429="","←停留所idを選択",VLOOKUP(B429,'06停留所'!$B$2:$C$10500,2,0))</f>
        <v>←停留所idを選択</v>
      </c>
      <c r="D429" s="5"/>
      <c r="E429" s="5"/>
      <c r="F429" s="6"/>
    </row>
    <row r="430" spans="1:6" x14ac:dyDescent="0.2">
      <c r="A430" s="2">
        <v>429</v>
      </c>
      <c r="B430" s="5"/>
      <c r="C430" s="10" t="str">
        <f>IF(B430="","←停留所idを選択",VLOOKUP(B430,'06停留所'!$B$2:$C$10500,2,0))</f>
        <v>←停留所idを選択</v>
      </c>
      <c r="D430" s="5"/>
      <c r="E430" s="5"/>
      <c r="F430" s="6"/>
    </row>
    <row r="431" spans="1:6" x14ac:dyDescent="0.2">
      <c r="A431" s="2">
        <v>430</v>
      </c>
      <c r="B431" s="5"/>
      <c r="C431" s="10" t="str">
        <f>IF(B431="","←停留所idを選択",VLOOKUP(B431,'06停留所'!$B$2:$C$10500,2,0))</f>
        <v>←停留所idを選択</v>
      </c>
      <c r="D431" s="5"/>
      <c r="E431" s="5"/>
      <c r="F431" s="6"/>
    </row>
    <row r="432" spans="1:6" x14ac:dyDescent="0.2">
      <c r="A432" s="2">
        <v>431</v>
      </c>
      <c r="B432" s="5"/>
      <c r="C432" s="10" t="str">
        <f>IF(B432="","←停留所idを選択",VLOOKUP(B432,'06停留所'!$B$2:$C$10500,2,0))</f>
        <v>←停留所idを選択</v>
      </c>
      <c r="D432" s="5"/>
      <c r="E432" s="5"/>
      <c r="F432" s="6"/>
    </row>
    <row r="433" spans="1:6" x14ac:dyDescent="0.2">
      <c r="A433" s="2">
        <v>432</v>
      </c>
      <c r="B433" s="5"/>
      <c r="C433" s="10" t="str">
        <f>IF(B433="","←停留所idを選択",VLOOKUP(B433,'06停留所'!$B$2:$C$10500,2,0))</f>
        <v>←停留所idを選択</v>
      </c>
      <c r="D433" s="5"/>
      <c r="E433" s="5"/>
      <c r="F433" s="6"/>
    </row>
    <row r="434" spans="1:6" x14ac:dyDescent="0.2">
      <c r="A434" s="2">
        <v>433</v>
      </c>
      <c r="B434" s="5"/>
      <c r="C434" s="10" t="str">
        <f>IF(B434="","←停留所idを選択",VLOOKUP(B434,'06停留所'!$B$2:$C$10500,2,0))</f>
        <v>←停留所idを選択</v>
      </c>
      <c r="D434" s="5"/>
      <c r="E434" s="5"/>
      <c r="F434" s="6"/>
    </row>
    <row r="435" spans="1:6" x14ac:dyDescent="0.2">
      <c r="A435" s="2">
        <v>434</v>
      </c>
      <c r="B435" s="5"/>
      <c r="C435" s="10" t="str">
        <f>IF(B435="","←停留所idを選択",VLOOKUP(B435,'06停留所'!$B$2:$C$10500,2,0))</f>
        <v>←停留所idを選択</v>
      </c>
      <c r="D435" s="5"/>
      <c r="E435" s="5"/>
      <c r="F435" s="6"/>
    </row>
    <row r="436" spans="1:6" x14ac:dyDescent="0.2">
      <c r="A436" s="2">
        <v>435</v>
      </c>
      <c r="B436" s="5"/>
      <c r="C436" s="10" t="str">
        <f>IF(B436="","←停留所idを選択",VLOOKUP(B436,'06停留所'!$B$2:$C$10500,2,0))</f>
        <v>←停留所idを選択</v>
      </c>
      <c r="D436" s="5"/>
      <c r="E436" s="5"/>
      <c r="F436" s="6"/>
    </row>
    <row r="437" spans="1:6" x14ac:dyDescent="0.2">
      <c r="A437" s="2">
        <v>436</v>
      </c>
      <c r="B437" s="5"/>
      <c r="C437" s="10" t="str">
        <f>IF(B437="","←停留所idを選択",VLOOKUP(B437,'06停留所'!$B$2:$C$10500,2,0))</f>
        <v>←停留所idを選択</v>
      </c>
      <c r="D437" s="5"/>
      <c r="E437" s="5"/>
      <c r="F437" s="6"/>
    </row>
    <row r="438" spans="1:6" x14ac:dyDescent="0.2">
      <c r="A438" s="2">
        <v>437</v>
      </c>
      <c r="B438" s="5"/>
      <c r="C438" s="10" t="str">
        <f>IF(B438="","←停留所idを選択",VLOOKUP(B438,'06停留所'!$B$2:$C$10500,2,0))</f>
        <v>←停留所idを選択</v>
      </c>
      <c r="D438" s="5"/>
      <c r="E438" s="5"/>
      <c r="F438" s="6"/>
    </row>
    <row r="439" spans="1:6" x14ac:dyDescent="0.2">
      <c r="A439" s="2">
        <v>438</v>
      </c>
      <c r="B439" s="5"/>
      <c r="C439" s="10" t="str">
        <f>IF(B439="","←停留所idを選択",VLOOKUP(B439,'06停留所'!$B$2:$C$10500,2,0))</f>
        <v>←停留所idを選択</v>
      </c>
      <c r="D439" s="5"/>
      <c r="E439" s="5"/>
      <c r="F439" s="6"/>
    </row>
    <row r="440" spans="1:6" x14ac:dyDescent="0.2">
      <c r="A440" s="2">
        <v>439</v>
      </c>
      <c r="B440" s="5"/>
      <c r="C440" s="10" t="str">
        <f>IF(B440="","←停留所idを選択",VLOOKUP(B440,'06停留所'!$B$2:$C$10500,2,0))</f>
        <v>←停留所idを選択</v>
      </c>
      <c r="D440" s="5"/>
      <c r="E440" s="5"/>
      <c r="F440" s="6"/>
    </row>
    <row r="441" spans="1:6" x14ac:dyDescent="0.2">
      <c r="A441" s="2">
        <v>440</v>
      </c>
      <c r="B441" s="5"/>
      <c r="C441" s="10" t="str">
        <f>IF(B441="","←停留所idを選択",VLOOKUP(B441,'06停留所'!$B$2:$C$10500,2,0))</f>
        <v>←停留所idを選択</v>
      </c>
      <c r="D441" s="5"/>
      <c r="E441" s="5"/>
      <c r="F441" s="6"/>
    </row>
    <row r="442" spans="1:6" x14ac:dyDescent="0.2">
      <c r="A442" s="2">
        <v>441</v>
      </c>
      <c r="B442" s="5"/>
      <c r="C442" s="10" t="str">
        <f>IF(B442="","←停留所idを選択",VLOOKUP(B442,'06停留所'!$B$2:$C$10500,2,0))</f>
        <v>←停留所idを選択</v>
      </c>
      <c r="D442" s="5"/>
      <c r="E442" s="5"/>
      <c r="F442" s="6"/>
    </row>
    <row r="443" spans="1:6" x14ac:dyDescent="0.2">
      <c r="A443" s="2">
        <v>442</v>
      </c>
      <c r="B443" s="5"/>
      <c r="C443" s="10" t="str">
        <f>IF(B443="","←停留所idを選択",VLOOKUP(B443,'06停留所'!$B$2:$C$10500,2,0))</f>
        <v>←停留所idを選択</v>
      </c>
      <c r="D443" s="5"/>
      <c r="E443" s="5"/>
      <c r="F443" s="6"/>
    </row>
    <row r="444" spans="1:6" x14ac:dyDescent="0.2">
      <c r="A444" s="2">
        <v>443</v>
      </c>
      <c r="B444" s="5"/>
      <c r="C444" s="10" t="str">
        <f>IF(B444="","←停留所idを選択",VLOOKUP(B444,'06停留所'!$B$2:$C$10500,2,0))</f>
        <v>←停留所idを選択</v>
      </c>
      <c r="D444" s="5"/>
      <c r="E444" s="5"/>
      <c r="F444" s="6"/>
    </row>
    <row r="445" spans="1:6" x14ac:dyDescent="0.2">
      <c r="A445" s="2">
        <v>444</v>
      </c>
      <c r="B445" s="5"/>
      <c r="C445" s="10" t="str">
        <f>IF(B445="","←停留所idを選択",VLOOKUP(B445,'06停留所'!$B$2:$C$10500,2,0))</f>
        <v>←停留所idを選択</v>
      </c>
      <c r="D445" s="5"/>
      <c r="E445" s="5"/>
      <c r="F445" s="6"/>
    </row>
    <row r="446" spans="1:6" x14ac:dyDescent="0.2">
      <c r="A446" s="2">
        <v>445</v>
      </c>
      <c r="B446" s="5"/>
      <c r="C446" s="10" t="str">
        <f>IF(B446="","←停留所idを選択",VLOOKUP(B446,'06停留所'!$B$2:$C$10500,2,0))</f>
        <v>←停留所idを選択</v>
      </c>
      <c r="D446" s="5"/>
      <c r="E446" s="5"/>
      <c r="F446" s="6"/>
    </row>
    <row r="447" spans="1:6" x14ac:dyDescent="0.2">
      <c r="A447" s="2">
        <v>446</v>
      </c>
      <c r="B447" s="5"/>
      <c r="C447" s="10" t="str">
        <f>IF(B447="","←停留所idを選択",VLOOKUP(B447,'06停留所'!$B$2:$C$10500,2,0))</f>
        <v>←停留所idを選択</v>
      </c>
      <c r="D447" s="5"/>
      <c r="E447" s="5"/>
      <c r="F447" s="6"/>
    </row>
    <row r="448" spans="1:6" x14ac:dyDescent="0.2">
      <c r="A448" s="2">
        <v>447</v>
      </c>
      <c r="B448" s="5"/>
      <c r="C448" s="10" t="str">
        <f>IF(B448="","←停留所idを選択",VLOOKUP(B448,'06停留所'!$B$2:$C$10500,2,0))</f>
        <v>←停留所idを選択</v>
      </c>
      <c r="D448" s="5"/>
      <c r="E448" s="5"/>
      <c r="F448" s="6"/>
    </row>
    <row r="449" spans="1:6" x14ac:dyDescent="0.2">
      <c r="A449" s="2">
        <v>448</v>
      </c>
      <c r="B449" s="5"/>
      <c r="C449" s="10" t="str">
        <f>IF(B449="","←停留所idを選択",VLOOKUP(B449,'06停留所'!$B$2:$C$10500,2,0))</f>
        <v>←停留所idを選択</v>
      </c>
      <c r="D449" s="5"/>
      <c r="E449" s="5"/>
      <c r="F449" s="6"/>
    </row>
    <row r="450" spans="1:6" x14ac:dyDescent="0.2">
      <c r="A450" s="2">
        <v>449</v>
      </c>
      <c r="B450" s="5"/>
      <c r="C450" s="10" t="str">
        <f>IF(B450="","←停留所idを選択",VLOOKUP(B450,'06停留所'!$B$2:$C$10500,2,0))</f>
        <v>←停留所idを選択</v>
      </c>
      <c r="D450" s="5"/>
      <c r="E450" s="5"/>
      <c r="F450" s="6"/>
    </row>
    <row r="451" spans="1:6" x14ac:dyDescent="0.2">
      <c r="A451" s="2">
        <v>450</v>
      </c>
      <c r="B451" s="5"/>
      <c r="C451" s="10" t="str">
        <f>IF(B451="","←停留所idを選択",VLOOKUP(B451,'06停留所'!$B$2:$C$10500,2,0))</f>
        <v>←停留所idを選択</v>
      </c>
      <c r="D451" s="5"/>
      <c r="E451" s="5"/>
      <c r="F451" s="6"/>
    </row>
    <row r="452" spans="1:6" x14ac:dyDescent="0.2">
      <c r="A452" s="2">
        <v>451</v>
      </c>
      <c r="B452" s="5"/>
      <c r="C452" s="10" t="str">
        <f>IF(B452="","←停留所idを選択",VLOOKUP(B452,'06停留所'!$B$2:$C$10500,2,0))</f>
        <v>←停留所idを選択</v>
      </c>
      <c r="D452" s="5"/>
      <c r="E452" s="5"/>
      <c r="F452" s="6"/>
    </row>
    <row r="453" spans="1:6" x14ac:dyDescent="0.2">
      <c r="A453" s="2">
        <v>452</v>
      </c>
      <c r="B453" s="5"/>
      <c r="C453" s="10" t="str">
        <f>IF(B453="","←停留所idを選択",VLOOKUP(B453,'06停留所'!$B$2:$C$10500,2,0))</f>
        <v>←停留所idを選択</v>
      </c>
      <c r="D453" s="5"/>
      <c r="E453" s="5"/>
      <c r="F453" s="6"/>
    </row>
    <row r="454" spans="1:6" x14ac:dyDescent="0.2">
      <c r="A454" s="2">
        <v>453</v>
      </c>
      <c r="B454" s="5"/>
      <c r="C454" s="10" t="str">
        <f>IF(B454="","←停留所idを選択",VLOOKUP(B454,'06停留所'!$B$2:$C$10500,2,0))</f>
        <v>←停留所idを選択</v>
      </c>
      <c r="D454" s="5"/>
      <c r="E454" s="5"/>
      <c r="F454" s="6"/>
    </row>
    <row r="455" spans="1:6" x14ac:dyDescent="0.2">
      <c r="A455" s="2">
        <v>454</v>
      </c>
      <c r="B455" s="5"/>
      <c r="C455" s="10" t="str">
        <f>IF(B455="","←停留所idを選択",VLOOKUP(B455,'06停留所'!$B$2:$C$10500,2,0))</f>
        <v>←停留所idを選択</v>
      </c>
      <c r="D455" s="5"/>
      <c r="E455" s="5"/>
      <c r="F455" s="6"/>
    </row>
    <row r="456" spans="1:6" x14ac:dyDescent="0.2">
      <c r="A456" s="2">
        <v>455</v>
      </c>
      <c r="B456" s="5"/>
      <c r="C456" s="10" t="str">
        <f>IF(B456="","←停留所idを選択",VLOOKUP(B456,'06停留所'!$B$2:$C$10500,2,0))</f>
        <v>←停留所idを選択</v>
      </c>
      <c r="D456" s="5"/>
      <c r="E456" s="5"/>
      <c r="F456" s="6"/>
    </row>
    <row r="457" spans="1:6" x14ac:dyDescent="0.2">
      <c r="A457" s="2">
        <v>456</v>
      </c>
      <c r="B457" s="5"/>
      <c r="C457" s="10" t="str">
        <f>IF(B457="","←停留所idを選択",VLOOKUP(B457,'06停留所'!$B$2:$C$10500,2,0))</f>
        <v>←停留所idを選択</v>
      </c>
      <c r="D457" s="5"/>
      <c r="E457" s="5"/>
      <c r="F457" s="6"/>
    </row>
    <row r="458" spans="1:6" x14ac:dyDescent="0.2">
      <c r="A458" s="2">
        <v>457</v>
      </c>
      <c r="B458" s="5"/>
      <c r="C458" s="10" t="str">
        <f>IF(B458="","←停留所idを選択",VLOOKUP(B458,'06停留所'!$B$2:$C$10500,2,0))</f>
        <v>←停留所idを選択</v>
      </c>
      <c r="D458" s="5"/>
      <c r="E458" s="5"/>
      <c r="F458" s="6"/>
    </row>
    <row r="459" spans="1:6" x14ac:dyDescent="0.2">
      <c r="A459" s="2">
        <v>458</v>
      </c>
      <c r="B459" s="5"/>
      <c r="C459" s="10" t="str">
        <f>IF(B459="","←停留所idを選択",VLOOKUP(B459,'06停留所'!$B$2:$C$10500,2,0))</f>
        <v>←停留所idを選択</v>
      </c>
      <c r="D459" s="5"/>
      <c r="E459" s="5"/>
      <c r="F459" s="6"/>
    </row>
    <row r="460" spans="1:6" x14ac:dyDescent="0.2">
      <c r="A460" s="2">
        <v>459</v>
      </c>
      <c r="B460" s="5"/>
      <c r="C460" s="10" t="str">
        <f>IF(B460="","←停留所idを選択",VLOOKUP(B460,'06停留所'!$B$2:$C$10500,2,0))</f>
        <v>←停留所idを選択</v>
      </c>
      <c r="D460" s="5"/>
      <c r="E460" s="5"/>
      <c r="F460" s="6"/>
    </row>
    <row r="461" spans="1:6" x14ac:dyDescent="0.2">
      <c r="A461" s="2">
        <v>460</v>
      </c>
      <c r="B461" s="5"/>
      <c r="C461" s="10" t="str">
        <f>IF(B461="","←停留所idを選択",VLOOKUP(B461,'06停留所'!$B$2:$C$10500,2,0))</f>
        <v>←停留所idを選択</v>
      </c>
      <c r="D461" s="5"/>
      <c r="E461" s="5"/>
      <c r="F461" s="6"/>
    </row>
    <row r="462" spans="1:6" x14ac:dyDescent="0.2">
      <c r="A462" s="2">
        <v>461</v>
      </c>
      <c r="B462" s="5"/>
      <c r="C462" s="10" t="str">
        <f>IF(B462="","←停留所idを選択",VLOOKUP(B462,'06停留所'!$B$2:$C$10500,2,0))</f>
        <v>←停留所idを選択</v>
      </c>
      <c r="D462" s="5"/>
      <c r="E462" s="5"/>
      <c r="F462" s="6"/>
    </row>
    <row r="463" spans="1:6" x14ac:dyDescent="0.2">
      <c r="A463" s="2">
        <v>462</v>
      </c>
      <c r="B463" s="5"/>
      <c r="C463" s="10" t="str">
        <f>IF(B463="","←停留所idを選択",VLOOKUP(B463,'06停留所'!$B$2:$C$10500,2,0))</f>
        <v>←停留所idを選択</v>
      </c>
      <c r="D463" s="5"/>
      <c r="E463" s="5"/>
      <c r="F463" s="6"/>
    </row>
    <row r="464" spans="1:6" x14ac:dyDescent="0.2">
      <c r="A464" s="2">
        <v>463</v>
      </c>
      <c r="B464" s="5"/>
      <c r="C464" s="10" t="str">
        <f>IF(B464="","←停留所idを選択",VLOOKUP(B464,'06停留所'!$B$2:$C$10500,2,0))</f>
        <v>←停留所idを選択</v>
      </c>
      <c r="D464" s="5"/>
      <c r="E464" s="5"/>
      <c r="F464" s="6"/>
    </row>
    <row r="465" spans="1:6" x14ac:dyDescent="0.2">
      <c r="A465" s="2">
        <v>464</v>
      </c>
      <c r="B465" s="5"/>
      <c r="C465" s="10" t="str">
        <f>IF(B465="","←停留所idを選択",VLOOKUP(B465,'06停留所'!$B$2:$C$10500,2,0))</f>
        <v>←停留所idを選択</v>
      </c>
      <c r="D465" s="5"/>
      <c r="E465" s="5"/>
      <c r="F465" s="6"/>
    </row>
    <row r="466" spans="1:6" x14ac:dyDescent="0.2">
      <c r="A466" s="2">
        <v>465</v>
      </c>
      <c r="B466" s="5"/>
      <c r="C466" s="10" t="str">
        <f>IF(B466="","←停留所idを選択",VLOOKUP(B466,'06停留所'!$B$2:$C$10500,2,0))</f>
        <v>←停留所idを選択</v>
      </c>
      <c r="D466" s="5"/>
      <c r="E466" s="5"/>
      <c r="F466" s="6"/>
    </row>
    <row r="467" spans="1:6" x14ac:dyDescent="0.2">
      <c r="A467" s="2">
        <v>466</v>
      </c>
      <c r="B467" s="5"/>
      <c r="C467" s="10" t="str">
        <f>IF(B467="","←停留所idを選択",VLOOKUP(B467,'06停留所'!$B$2:$C$10500,2,0))</f>
        <v>←停留所idを選択</v>
      </c>
      <c r="D467" s="5"/>
      <c r="E467" s="5"/>
      <c r="F467" s="6"/>
    </row>
    <row r="468" spans="1:6" x14ac:dyDescent="0.2">
      <c r="A468" s="2">
        <v>467</v>
      </c>
      <c r="B468" s="5"/>
      <c r="C468" s="10" t="str">
        <f>IF(B468="","←停留所idを選択",VLOOKUP(B468,'06停留所'!$B$2:$C$10500,2,0))</f>
        <v>←停留所idを選択</v>
      </c>
      <c r="D468" s="5"/>
      <c r="E468" s="5"/>
      <c r="F468" s="6"/>
    </row>
    <row r="469" spans="1:6" x14ac:dyDescent="0.2">
      <c r="A469" s="2">
        <v>468</v>
      </c>
      <c r="B469" s="5"/>
      <c r="C469" s="10" t="str">
        <f>IF(B469="","←停留所idを選択",VLOOKUP(B469,'06停留所'!$B$2:$C$10500,2,0))</f>
        <v>←停留所idを選択</v>
      </c>
      <c r="D469" s="5"/>
      <c r="E469" s="5"/>
      <c r="F469" s="6"/>
    </row>
    <row r="470" spans="1:6" x14ac:dyDescent="0.2">
      <c r="A470" s="2">
        <v>469</v>
      </c>
      <c r="B470" s="5"/>
      <c r="C470" s="10" t="str">
        <f>IF(B470="","←停留所idを選択",VLOOKUP(B470,'06停留所'!$B$2:$C$10500,2,0))</f>
        <v>←停留所idを選択</v>
      </c>
      <c r="D470" s="5"/>
      <c r="E470" s="5"/>
      <c r="F470" s="6"/>
    </row>
    <row r="471" spans="1:6" x14ac:dyDescent="0.2">
      <c r="A471" s="2">
        <v>470</v>
      </c>
      <c r="B471" s="5"/>
      <c r="C471" s="10" t="str">
        <f>IF(B471="","←停留所idを選択",VLOOKUP(B471,'06停留所'!$B$2:$C$10500,2,0))</f>
        <v>←停留所idを選択</v>
      </c>
      <c r="D471" s="5"/>
      <c r="E471" s="5"/>
      <c r="F471" s="6"/>
    </row>
    <row r="472" spans="1:6" x14ac:dyDescent="0.2">
      <c r="A472" s="2">
        <v>471</v>
      </c>
      <c r="B472" s="5"/>
      <c r="C472" s="10" t="str">
        <f>IF(B472="","←停留所idを選択",VLOOKUP(B472,'06停留所'!$B$2:$C$10500,2,0))</f>
        <v>←停留所idを選択</v>
      </c>
      <c r="D472" s="5"/>
      <c r="E472" s="5"/>
      <c r="F472" s="6"/>
    </row>
    <row r="473" spans="1:6" x14ac:dyDescent="0.2">
      <c r="A473" s="2">
        <v>472</v>
      </c>
      <c r="B473" s="5"/>
      <c r="C473" s="10" t="str">
        <f>IF(B473="","←停留所idを選択",VLOOKUP(B473,'06停留所'!$B$2:$C$10500,2,0))</f>
        <v>←停留所idを選択</v>
      </c>
      <c r="D473" s="5"/>
      <c r="E473" s="5"/>
      <c r="F473" s="6"/>
    </row>
    <row r="474" spans="1:6" x14ac:dyDescent="0.2">
      <c r="A474" s="2">
        <v>473</v>
      </c>
      <c r="B474" s="5"/>
      <c r="C474" s="10" t="str">
        <f>IF(B474="","←停留所idを選択",VLOOKUP(B474,'06停留所'!$B$2:$C$10500,2,0))</f>
        <v>←停留所idを選択</v>
      </c>
      <c r="D474" s="5"/>
      <c r="E474" s="5"/>
      <c r="F474" s="6"/>
    </row>
    <row r="475" spans="1:6" x14ac:dyDescent="0.2">
      <c r="A475" s="2">
        <v>474</v>
      </c>
      <c r="B475" s="5"/>
      <c r="C475" s="10" t="str">
        <f>IF(B475="","←停留所idを選択",VLOOKUP(B475,'06停留所'!$B$2:$C$10500,2,0))</f>
        <v>←停留所idを選択</v>
      </c>
      <c r="D475" s="5"/>
      <c r="E475" s="5"/>
      <c r="F475" s="6"/>
    </row>
    <row r="476" spans="1:6" x14ac:dyDescent="0.2">
      <c r="A476" s="2">
        <v>475</v>
      </c>
      <c r="B476" s="5"/>
      <c r="C476" s="10" t="str">
        <f>IF(B476="","←停留所idを選択",VLOOKUP(B476,'06停留所'!$B$2:$C$10500,2,0))</f>
        <v>←停留所idを選択</v>
      </c>
      <c r="D476" s="5"/>
      <c r="E476" s="5"/>
      <c r="F476" s="6"/>
    </row>
    <row r="477" spans="1:6" x14ac:dyDescent="0.2">
      <c r="A477" s="2">
        <v>476</v>
      </c>
      <c r="B477" s="5"/>
      <c r="C477" s="10" t="str">
        <f>IF(B477="","←停留所idを選択",VLOOKUP(B477,'06停留所'!$B$2:$C$10500,2,0))</f>
        <v>←停留所idを選択</v>
      </c>
      <c r="D477" s="5"/>
      <c r="E477" s="5"/>
      <c r="F477" s="6"/>
    </row>
    <row r="478" spans="1:6" x14ac:dyDescent="0.2">
      <c r="A478" s="2">
        <v>477</v>
      </c>
      <c r="B478" s="5"/>
      <c r="C478" s="10" t="str">
        <f>IF(B478="","←停留所idを選択",VLOOKUP(B478,'06停留所'!$B$2:$C$10500,2,0))</f>
        <v>←停留所idを選択</v>
      </c>
      <c r="D478" s="5"/>
      <c r="E478" s="5"/>
      <c r="F478" s="6"/>
    </row>
    <row r="479" spans="1:6" x14ac:dyDescent="0.2">
      <c r="A479" s="2">
        <v>478</v>
      </c>
      <c r="B479" s="5"/>
      <c r="C479" s="10" t="str">
        <f>IF(B479="","←停留所idを選択",VLOOKUP(B479,'06停留所'!$B$2:$C$10500,2,0))</f>
        <v>←停留所idを選択</v>
      </c>
      <c r="D479" s="5"/>
      <c r="E479" s="5"/>
      <c r="F479" s="6"/>
    </row>
    <row r="480" spans="1:6" x14ac:dyDescent="0.2">
      <c r="A480" s="2">
        <v>479</v>
      </c>
      <c r="B480" s="5"/>
      <c r="C480" s="10" t="str">
        <f>IF(B480="","←停留所idを選択",VLOOKUP(B480,'06停留所'!$B$2:$C$10500,2,0))</f>
        <v>←停留所idを選択</v>
      </c>
      <c r="D480" s="5"/>
      <c r="E480" s="5"/>
      <c r="F480" s="6"/>
    </row>
    <row r="481" spans="1:6" x14ac:dyDescent="0.2">
      <c r="A481" s="2">
        <v>480</v>
      </c>
      <c r="B481" s="5"/>
      <c r="C481" s="10" t="str">
        <f>IF(B481="","←停留所idを選択",VLOOKUP(B481,'06停留所'!$B$2:$C$10500,2,0))</f>
        <v>←停留所idを選択</v>
      </c>
      <c r="D481" s="5"/>
      <c r="E481" s="5"/>
      <c r="F481" s="6"/>
    </row>
    <row r="482" spans="1:6" x14ac:dyDescent="0.2">
      <c r="A482" s="2">
        <v>481</v>
      </c>
      <c r="B482" s="5"/>
      <c r="C482" s="10" t="str">
        <f>IF(B482="","←停留所idを選択",VLOOKUP(B482,'06停留所'!$B$2:$C$10500,2,0))</f>
        <v>←停留所idを選択</v>
      </c>
      <c r="D482" s="5"/>
      <c r="E482" s="5"/>
      <c r="F482" s="6"/>
    </row>
    <row r="483" spans="1:6" x14ac:dyDescent="0.2">
      <c r="A483" s="2">
        <v>482</v>
      </c>
      <c r="B483" s="5"/>
      <c r="C483" s="10" t="str">
        <f>IF(B483="","←停留所idを選択",VLOOKUP(B483,'06停留所'!$B$2:$C$10500,2,0))</f>
        <v>←停留所idを選択</v>
      </c>
      <c r="D483" s="5"/>
      <c r="E483" s="5"/>
      <c r="F483" s="6"/>
    </row>
    <row r="484" spans="1:6" x14ac:dyDescent="0.2">
      <c r="A484" s="2">
        <v>483</v>
      </c>
      <c r="B484" s="5"/>
      <c r="C484" s="10" t="str">
        <f>IF(B484="","←停留所idを選択",VLOOKUP(B484,'06停留所'!$B$2:$C$10500,2,0))</f>
        <v>←停留所idを選択</v>
      </c>
      <c r="D484" s="5"/>
      <c r="E484" s="5"/>
      <c r="F484" s="6"/>
    </row>
    <row r="485" spans="1:6" x14ac:dyDescent="0.2">
      <c r="A485" s="2">
        <v>484</v>
      </c>
      <c r="B485" s="5"/>
      <c r="C485" s="10" t="str">
        <f>IF(B485="","←停留所idを選択",VLOOKUP(B485,'06停留所'!$B$2:$C$10500,2,0))</f>
        <v>←停留所idを選択</v>
      </c>
      <c r="D485" s="5"/>
      <c r="E485" s="5"/>
      <c r="F485" s="6"/>
    </row>
    <row r="486" spans="1:6" x14ac:dyDescent="0.2">
      <c r="A486" s="2">
        <v>485</v>
      </c>
      <c r="B486" s="5"/>
      <c r="C486" s="10" t="str">
        <f>IF(B486="","←停留所idを選択",VLOOKUP(B486,'06停留所'!$B$2:$C$10500,2,0))</f>
        <v>←停留所idを選択</v>
      </c>
      <c r="D486" s="5"/>
      <c r="E486" s="5"/>
      <c r="F486" s="6"/>
    </row>
    <row r="487" spans="1:6" x14ac:dyDescent="0.2">
      <c r="A487" s="2">
        <v>486</v>
      </c>
      <c r="B487" s="5"/>
      <c r="C487" s="10" t="str">
        <f>IF(B487="","←停留所idを選択",VLOOKUP(B487,'06停留所'!$B$2:$C$10500,2,0))</f>
        <v>←停留所idを選択</v>
      </c>
      <c r="D487" s="5"/>
      <c r="E487" s="5"/>
      <c r="F487" s="6"/>
    </row>
    <row r="488" spans="1:6" x14ac:dyDescent="0.2">
      <c r="A488" s="2">
        <v>487</v>
      </c>
      <c r="B488" s="5"/>
      <c r="C488" s="10" t="str">
        <f>IF(B488="","←停留所idを選択",VLOOKUP(B488,'06停留所'!$B$2:$C$10500,2,0))</f>
        <v>←停留所idを選択</v>
      </c>
      <c r="D488" s="5"/>
      <c r="E488" s="5"/>
      <c r="F488" s="6"/>
    </row>
    <row r="489" spans="1:6" x14ac:dyDescent="0.2">
      <c r="A489" s="2">
        <v>488</v>
      </c>
      <c r="B489" s="5"/>
      <c r="C489" s="10" t="str">
        <f>IF(B489="","←停留所idを選択",VLOOKUP(B489,'06停留所'!$B$2:$C$10500,2,0))</f>
        <v>←停留所idを選択</v>
      </c>
      <c r="D489" s="5"/>
      <c r="E489" s="5"/>
      <c r="F489" s="6"/>
    </row>
    <row r="490" spans="1:6" x14ac:dyDescent="0.2">
      <c r="A490" s="2">
        <v>489</v>
      </c>
      <c r="B490" s="5"/>
      <c r="C490" s="10" t="str">
        <f>IF(B490="","←停留所idを選択",VLOOKUP(B490,'06停留所'!$B$2:$C$10500,2,0))</f>
        <v>←停留所idを選択</v>
      </c>
      <c r="D490" s="5"/>
      <c r="E490" s="5"/>
      <c r="F490" s="6"/>
    </row>
    <row r="491" spans="1:6" x14ac:dyDescent="0.2">
      <c r="A491" s="2">
        <v>490</v>
      </c>
      <c r="B491" s="5"/>
      <c r="C491" s="10" t="str">
        <f>IF(B491="","←停留所idを選択",VLOOKUP(B491,'06停留所'!$B$2:$C$10500,2,0))</f>
        <v>←停留所idを選択</v>
      </c>
      <c r="D491" s="5"/>
      <c r="E491" s="5"/>
      <c r="F491" s="6"/>
    </row>
    <row r="492" spans="1:6" x14ac:dyDescent="0.2">
      <c r="A492" s="2">
        <v>491</v>
      </c>
      <c r="B492" s="5"/>
      <c r="C492" s="10" t="str">
        <f>IF(B492="","←停留所idを選択",VLOOKUP(B492,'06停留所'!$B$2:$C$10500,2,0))</f>
        <v>←停留所idを選択</v>
      </c>
      <c r="D492" s="5"/>
      <c r="E492" s="5"/>
      <c r="F492" s="6"/>
    </row>
    <row r="493" spans="1:6" x14ac:dyDescent="0.2">
      <c r="A493" s="2">
        <v>492</v>
      </c>
      <c r="B493" s="5"/>
      <c r="C493" s="10" t="str">
        <f>IF(B493="","←停留所idを選択",VLOOKUP(B493,'06停留所'!$B$2:$C$10500,2,0))</f>
        <v>←停留所idを選択</v>
      </c>
      <c r="D493" s="5"/>
      <c r="E493" s="5"/>
      <c r="F493" s="6"/>
    </row>
    <row r="494" spans="1:6" x14ac:dyDescent="0.2">
      <c r="A494" s="2">
        <v>493</v>
      </c>
      <c r="B494" s="5"/>
      <c r="C494" s="10" t="str">
        <f>IF(B494="","←停留所idを選択",VLOOKUP(B494,'06停留所'!$B$2:$C$10500,2,0))</f>
        <v>←停留所idを選択</v>
      </c>
      <c r="D494" s="5"/>
      <c r="E494" s="5"/>
      <c r="F494" s="6"/>
    </row>
    <row r="495" spans="1:6" x14ac:dyDescent="0.2">
      <c r="A495" s="2">
        <v>494</v>
      </c>
      <c r="B495" s="5"/>
      <c r="C495" s="10" t="str">
        <f>IF(B495="","←停留所idを選択",VLOOKUP(B495,'06停留所'!$B$2:$C$10500,2,0))</f>
        <v>←停留所idを選択</v>
      </c>
      <c r="D495" s="5"/>
      <c r="E495" s="5"/>
      <c r="F495" s="6"/>
    </row>
    <row r="496" spans="1:6" x14ac:dyDescent="0.2">
      <c r="A496" s="2">
        <v>495</v>
      </c>
      <c r="B496" s="5"/>
      <c r="C496" s="10" t="str">
        <f>IF(B496="","←停留所idを選択",VLOOKUP(B496,'06停留所'!$B$2:$C$10500,2,0))</f>
        <v>←停留所idを選択</v>
      </c>
      <c r="D496" s="5"/>
      <c r="E496" s="5"/>
      <c r="F496" s="6"/>
    </row>
    <row r="497" spans="1:6" x14ac:dyDescent="0.2">
      <c r="A497" s="2">
        <v>496</v>
      </c>
      <c r="B497" s="5"/>
      <c r="C497" s="10" t="str">
        <f>IF(B497="","←停留所idを選択",VLOOKUP(B497,'06停留所'!$B$2:$C$10500,2,0))</f>
        <v>←停留所idを選択</v>
      </c>
      <c r="D497" s="5"/>
      <c r="E497" s="5"/>
      <c r="F497" s="6"/>
    </row>
    <row r="498" spans="1:6" x14ac:dyDescent="0.2">
      <c r="A498" s="2">
        <v>497</v>
      </c>
      <c r="B498" s="5"/>
      <c r="C498" s="10" t="str">
        <f>IF(B498="","←停留所idを選択",VLOOKUP(B498,'06停留所'!$B$2:$C$10500,2,0))</f>
        <v>←停留所idを選択</v>
      </c>
      <c r="D498" s="5"/>
      <c r="E498" s="5"/>
      <c r="F498" s="6"/>
    </row>
    <row r="499" spans="1:6" x14ac:dyDescent="0.2">
      <c r="A499" s="2">
        <v>498</v>
      </c>
      <c r="B499" s="5"/>
      <c r="C499" s="10" t="str">
        <f>IF(B499="","←停留所idを選択",VLOOKUP(B499,'06停留所'!$B$2:$C$10500,2,0))</f>
        <v>←停留所idを選択</v>
      </c>
      <c r="D499" s="5"/>
      <c r="E499" s="5"/>
      <c r="F499" s="6"/>
    </row>
    <row r="500" spans="1:6" x14ac:dyDescent="0.2">
      <c r="A500" s="2">
        <v>499</v>
      </c>
      <c r="B500" s="5"/>
      <c r="C500" s="10" t="str">
        <f>IF(B500="","←停留所idを選択",VLOOKUP(B500,'06停留所'!$B$2:$C$10500,2,0))</f>
        <v>←停留所idを選択</v>
      </c>
      <c r="D500" s="5"/>
      <c r="E500" s="5"/>
      <c r="F500" s="6"/>
    </row>
    <row r="501" spans="1:6" x14ac:dyDescent="0.2">
      <c r="A501" s="2">
        <v>500</v>
      </c>
      <c r="B501" s="5"/>
      <c r="C501" s="10" t="str">
        <f>IF(B501="","←停留所idを選択",VLOOKUP(B501,'06停留所'!$B$2:$C$10500,2,0))</f>
        <v>←停留所idを選択</v>
      </c>
      <c r="D501" s="5"/>
      <c r="E501" s="5"/>
      <c r="F501" s="6"/>
    </row>
    <row r="502" spans="1:6" x14ac:dyDescent="0.2">
      <c r="A502" s="2">
        <v>501</v>
      </c>
      <c r="B502" s="5"/>
      <c r="C502" s="10" t="str">
        <f>IF(B502="","←停留所idを選択",VLOOKUP(B502,'06停留所'!$B$2:$C$10500,2,0))</f>
        <v>←停留所idを選択</v>
      </c>
      <c r="D502" s="5"/>
      <c r="E502" s="5"/>
      <c r="F502" s="6"/>
    </row>
    <row r="503" spans="1:6" x14ac:dyDescent="0.2">
      <c r="A503" s="2">
        <v>502</v>
      </c>
      <c r="B503" s="5"/>
      <c r="C503" s="10" t="str">
        <f>IF(B503="","←停留所idを選択",VLOOKUP(B503,'06停留所'!$B$2:$C$10500,2,0))</f>
        <v>←停留所idを選択</v>
      </c>
      <c r="D503" s="5"/>
      <c r="E503" s="5"/>
      <c r="F503" s="6"/>
    </row>
    <row r="504" spans="1:6" x14ac:dyDescent="0.2">
      <c r="A504" s="2">
        <v>503</v>
      </c>
      <c r="B504" s="5"/>
      <c r="C504" s="10" t="str">
        <f>IF(B504="","←停留所idを選択",VLOOKUP(B504,'06停留所'!$B$2:$C$10500,2,0))</f>
        <v>←停留所idを選択</v>
      </c>
      <c r="D504" s="5"/>
      <c r="E504" s="5"/>
      <c r="F504" s="6"/>
    </row>
    <row r="505" spans="1:6" x14ac:dyDescent="0.2">
      <c r="A505" s="2">
        <v>504</v>
      </c>
      <c r="B505" s="5"/>
      <c r="C505" s="10" t="str">
        <f>IF(B505="","←停留所idを選択",VLOOKUP(B505,'06停留所'!$B$2:$C$10500,2,0))</f>
        <v>←停留所idを選択</v>
      </c>
      <c r="D505" s="5"/>
      <c r="E505" s="5"/>
      <c r="F505" s="6"/>
    </row>
    <row r="506" spans="1:6" x14ac:dyDescent="0.2">
      <c r="A506" s="2">
        <v>505</v>
      </c>
      <c r="B506" s="5"/>
      <c r="C506" s="10" t="str">
        <f>IF(B506="","←停留所idを選択",VLOOKUP(B506,'06停留所'!$B$2:$C$10500,2,0))</f>
        <v>←停留所idを選択</v>
      </c>
      <c r="D506" s="5"/>
      <c r="E506" s="5"/>
      <c r="F506" s="6"/>
    </row>
    <row r="507" spans="1:6" x14ac:dyDescent="0.2">
      <c r="A507" s="2">
        <v>506</v>
      </c>
      <c r="B507" s="5"/>
      <c r="C507" s="10" t="str">
        <f>IF(B507="","←停留所idを選択",VLOOKUP(B507,'06停留所'!$B$2:$C$10500,2,0))</f>
        <v>←停留所idを選択</v>
      </c>
      <c r="D507" s="5"/>
      <c r="E507" s="5"/>
      <c r="F507" s="6"/>
    </row>
    <row r="508" spans="1:6" x14ac:dyDescent="0.2">
      <c r="A508" s="2">
        <v>507</v>
      </c>
      <c r="B508" s="5"/>
      <c r="C508" s="10" t="str">
        <f>IF(B508="","←停留所idを選択",VLOOKUP(B508,'06停留所'!$B$2:$C$10500,2,0))</f>
        <v>←停留所idを選択</v>
      </c>
      <c r="D508" s="5"/>
      <c r="E508" s="5"/>
      <c r="F508" s="6"/>
    </row>
    <row r="509" spans="1:6" x14ac:dyDescent="0.2">
      <c r="A509" s="2">
        <v>508</v>
      </c>
      <c r="B509" s="5"/>
      <c r="C509" s="10" t="str">
        <f>IF(B509="","←停留所idを選択",VLOOKUP(B509,'06停留所'!$B$2:$C$10500,2,0))</f>
        <v>←停留所idを選択</v>
      </c>
      <c r="D509" s="5"/>
      <c r="E509" s="5"/>
      <c r="F509" s="6"/>
    </row>
    <row r="510" spans="1:6" x14ac:dyDescent="0.2">
      <c r="A510" s="2">
        <v>509</v>
      </c>
      <c r="B510" s="5"/>
      <c r="C510" s="10" t="str">
        <f>IF(B510="","←停留所idを選択",VLOOKUP(B510,'06停留所'!$B$2:$C$10500,2,0))</f>
        <v>←停留所idを選択</v>
      </c>
      <c r="D510" s="5"/>
      <c r="E510" s="5"/>
      <c r="F510" s="6"/>
    </row>
    <row r="511" spans="1:6" x14ac:dyDescent="0.2">
      <c r="A511" s="2">
        <v>510</v>
      </c>
      <c r="B511" s="5"/>
      <c r="C511" s="10" t="str">
        <f>IF(B511="","←停留所idを選択",VLOOKUP(B511,'06停留所'!$B$2:$C$10500,2,0))</f>
        <v>←停留所idを選択</v>
      </c>
      <c r="D511" s="5"/>
      <c r="E511" s="5"/>
      <c r="F511" s="6"/>
    </row>
    <row r="512" spans="1:6" x14ac:dyDescent="0.2">
      <c r="A512" s="2">
        <v>511</v>
      </c>
      <c r="B512" s="5"/>
      <c r="C512" s="10" t="str">
        <f>IF(B512="","←停留所idを選択",VLOOKUP(B512,'06停留所'!$B$2:$C$10500,2,0))</f>
        <v>←停留所idを選択</v>
      </c>
      <c r="D512" s="5"/>
      <c r="E512" s="5"/>
      <c r="F512" s="6"/>
    </row>
    <row r="513" spans="1:6" x14ac:dyDescent="0.2">
      <c r="A513" s="2">
        <v>512</v>
      </c>
      <c r="B513" s="5"/>
      <c r="C513" s="10" t="str">
        <f>IF(B513="","←停留所idを選択",VLOOKUP(B513,'06停留所'!$B$2:$C$10500,2,0))</f>
        <v>←停留所idを選択</v>
      </c>
      <c r="D513" s="5"/>
      <c r="E513" s="5"/>
      <c r="F513" s="6"/>
    </row>
    <row r="514" spans="1:6" x14ac:dyDescent="0.2">
      <c r="A514" s="2">
        <v>513</v>
      </c>
      <c r="B514" s="5"/>
      <c r="C514" s="10" t="str">
        <f>IF(B514="","←停留所idを選択",VLOOKUP(B514,'06停留所'!$B$2:$C$10500,2,0))</f>
        <v>←停留所idを選択</v>
      </c>
      <c r="D514" s="5"/>
      <c r="E514" s="5"/>
      <c r="F514" s="6"/>
    </row>
    <row r="515" spans="1:6" x14ac:dyDescent="0.2">
      <c r="A515" s="2">
        <v>514</v>
      </c>
      <c r="B515" s="5"/>
      <c r="C515" s="10" t="str">
        <f>IF(B515="","←停留所idを選択",VLOOKUP(B515,'06停留所'!$B$2:$C$10500,2,0))</f>
        <v>←停留所idを選択</v>
      </c>
      <c r="D515" s="5"/>
      <c r="E515" s="5"/>
      <c r="F515" s="6"/>
    </row>
    <row r="516" spans="1:6" x14ac:dyDescent="0.2">
      <c r="A516" s="2">
        <v>515</v>
      </c>
      <c r="B516" s="5"/>
      <c r="C516" s="10" t="str">
        <f>IF(B516="","←停留所idを選択",VLOOKUP(B516,'06停留所'!$B$2:$C$10500,2,0))</f>
        <v>←停留所idを選択</v>
      </c>
      <c r="D516" s="5"/>
      <c r="E516" s="5"/>
      <c r="F516" s="6"/>
    </row>
    <row r="517" spans="1:6" x14ac:dyDescent="0.2">
      <c r="A517" s="2">
        <v>516</v>
      </c>
      <c r="B517" s="5"/>
      <c r="C517" s="10" t="str">
        <f>IF(B517="","←停留所idを選択",VLOOKUP(B517,'06停留所'!$B$2:$C$10500,2,0))</f>
        <v>←停留所idを選択</v>
      </c>
      <c r="D517" s="5"/>
      <c r="E517" s="5"/>
      <c r="F517" s="6"/>
    </row>
    <row r="518" spans="1:6" x14ac:dyDescent="0.2">
      <c r="A518" s="2">
        <v>517</v>
      </c>
      <c r="B518" s="5"/>
      <c r="C518" s="10" t="str">
        <f>IF(B518="","←停留所idを選択",VLOOKUP(B518,'06停留所'!$B$2:$C$10500,2,0))</f>
        <v>←停留所idを選択</v>
      </c>
      <c r="D518" s="5"/>
      <c r="E518" s="5"/>
      <c r="F518" s="6"/>
    </row>
    <row r="519" spans="1:6" x14ac:dyDescent="0.2">
      <c r="A519" s="2">
        <v>518</v>
      </c>
      <c r="B519" s="5"/>
      <c r="C519" s="10" t="str">
        <f>IF(B519="","←停留所idを選択",VLOOKUP(B519,'06停留所'!$B$2:$C$10500,2,0))</f>
        <v>←停留所idを選択</v>
      </c>
      <c r="D519" s="5"/>
      <c r="E519" s="5"/>
      <c r="F519" s="6"/>
    </row>
    <row r="520" spans="1:6" x14ac:dyDescent="0.2">
      <c r="A520" s="2">
        <v>519</v>
      </c>
      <c r="B520" s="5"/>
      <c r="C520" s="10" t="str">
        <f>IF(B520="","←停留所idを選択",VLOOKUP(B520,'06停留所'!$B$2:$C$10500,2,0))</f>
        <v>←停留所idを選択</v>
      </c>
      <c r="D520" s="5"/>
      <c r="E520" s="5"/>
      <c r="F520" s="6"/>
    </row>
    <row r="521" spans="1:6" x14ac:dyDescent="0.2">
      <c r="A521" s="2">
        <v>520</v>
      </c>
      <c r="B521" s="5"/>
      <c r="C521" s="10" t="str">
        <f>IF(B521="","←停留所idを選択",VLOOKUP(B521,'06停留所'!$B$2:$C$10500,2,0))</f>
        <v>←停留所idを選択</v>
      </c>
      <c r="D521" s="5"/>
      <c r="E521" s="5"/>
      <c r="F521" s="6"/>
    </row>
    <row r="522" spans="1:6" x14ac:dyDescent="0.2">
      <c r="A522" s="2">
        <v>521</v>
      </c>
      <c r="B522" s="5"/>
      <c r="C522" s="10" t="str">
        <f>IF(B522="","←停留所idを選択",VLOOKUP(B522,'06停留所'!$B$2:$C$10500,2,0))</f>
        <v>←停留所idを選択</v>
      </c>
      <c r="D522" s="5"/>
      <c r="E522" s="5"/>
      <c r="F522" s="6"/>
    </row>
    <row r="523" spans="1:6" x14ac:dyDescent="0.2">
      <c r="A523" s="2">
        <v>522</v>
      </c>
      <c r="B523" s="5"/>
      <c r="C523" s="10" t="str">
        <f>IF(B523="","←停留所idを選択",VLOOKUP(B523,'06停留所'!$B$2:$C$10500,2,0))</f>
        <v>←停留所idを選択</v>
      </c>
      <c r="D523" s="5"/>
      <c r="E523" s="5"/>
      <c r="F523" s="6"/>
    </row>
    <row r="524" spans="1:6" x14ac:dyDescent="0.2">
      <c r="A524" s="2">
        <v>523</v>
      </c>
      <c r="B524" s="5"/>
      <c r="C524" s="10" t="str">
        <f>IF(B524="","←停留所idを選択",VLOOKUP(B524,'06停留所'!$B$2:$C$10500,2,0))</f>
        <v>←停留所idを選択</v>
      </c>
      <c r="D524" s="5"/>
      <c r="E524" s="5"/>
      <c r="F524" s="6"/>
    </row>
    <row r="525" spans="1:6" x14ac:dyDescent="0.2">
      <c r="A525" s="2">
        <v>524</v>
      </c>
      <c r="B525" s="5"/>
      <c r="C525" s="10" t="str">
        <f>IF(B525="","←停留所idを選択",VLOOKUP(B525,'06停留所'!$B$2:$C$10500,2,0))</f>
        <v>←停留所idを選択</v>
      </c>
      <c r="D525" s="5"/>
      <c r="E525" s="5"/>
      <c r="F525" s="6"/>
    </row>
    <row r="526" spans="1:6" x14ac:dyDescent="0.2">
      <c r="A526" s="2">
        <v>525</v>
      </c>
      <c r="B526" s="5"/>
      <c r="C526" s="10" t="str">
        <f>IF(B526="","←停留所idを選択",VLOOKUP(B526,'06停留所'!$B$2:$C$10500,2,0))</f>
        <v>←停留所idを選択</v>
      </c>
      <c r="D526" s="5"/>
      <c r="E526" s="5"/>
      <c r="F526" s="6"/>
    </row>
    <row r="527" spans="1:6" x14ac:dyDescent="0.2">
      <c r="A527" s="2">
        <v>526</v>
      </c>
      <c r="B527" s="5"/>
      <c r="C527" s="10" t="str">
        <f>IF(B527="","←停留所idを選択",VLOOKUP(B527,'06停留所'!$B$2:$C$10500,2,0))</f>
        <v>←停留所idを選択</v>
      </c>
      <c r="D527" s="5"/>
      <c r="E527" s="5"/>
      <c r="F527" s="6"/>
    </row>
    <row r="528" spans="1:6" x14ac:dyDescent="0.2">
      <c r="A528" s="2">
        <v>527</v>
      </c>
      <c r="B528" s="5"/>
      <c r="C528" s="10" t="str">
        <f>IF(B528="","←停留所idを選択",VLOOKUP(B528,'06停留所'!$B$2:$C$10500,2,0))</f>
        <v>←停留所idを選択</v>
      </c>
      <c r="D528" s="5"/>
      <c r="E528" s="5"/>
      <c r="F528" s="6"/>
    </row>
    <row r="529" spans="1:6" x14ac:dyDescent="0.2">
      <c r="A529" s="2">
        <v>528</v>
      </c>
      <c r="B529" s="5"/>
      <c r="C529" s="10" t="str">
        <f>IF(B529="","←停留所idを選択",VLOOKUP(B529,'06停留所'!$B$2:$C$10500,2,0))</f>
        <v>←停留所idを選択</v>
      </c>
      <c r="D529" s="5"/>
      <c r="E529" s="5"/>
      <c r="F529" s="6"/>
    </row>
    <row r="530" spans="1:6" x14ac:dyDescent="0.2">
      <c r="A530" s="2">
        <v>529</v>
      </c>
      <c r="B530" s="5"/>
      <c r="C530" s="10" t="str">
        <f>IF(B530="","←停留所idを選択",VLOOKUP(B530,'06停留所'!$B$2:$C$10500,2,0))</f>
        <v>←停留所idを選択</v>
      </c>
      <c r="D530" s="5"/>
      <c r="E530" s="5"/>
      <c r="F530" s="6"/>
    </row>
    <row r="531" spans="1:6" x14ac:dyDescent="0.2">
      <c r="A531" s="2">
        <v>530</v>
      </c>
      <c r="B531" s="5"/>
      <c r="C531" s="10" t="str">
        <f>IF(B531="","←停留所idを選択",VLOOKUP(B531,'06停留所'!$B$2:$C$10500,2,0))</f>
        <v>←停留所idを選択</v>
      </c>
      <c r="D531" s="5"/>
      <c r="E531" s="5"/>
      <c r="F531" s="6"/>
    </row>
    <row r="532" spans="1:6" x14ac:dyDescent="0.2">
      <c r="A532" s="2">
        <v>531</v>
      </c>
      <c r="B532" s="5"/>
      <c r="C532" s="10" t="str">
        <f>IF(B532="","←停留所idを選択",VLOOKUP(B532,'06停留所'!$B$2:$C$10500,2,0))</f>
        <v>←停留所idを選択</v>
      </c>
      <c r="D532" s="5"/>
      <c r="E532" s="5"/>
      <c r="F532" s="6"/>
    </row>
    <row r="533" spans="1:6" x14ac:dyDescent="0.2">
      <c r="A533" s="2">
        <v>532</v>
      </c>
      <c r="B533" s="5"/>
      <c r="C533" s="10" t="str">
        <f>IF(B533="","←停留所idを選択",VLOOKUP(B533,'06停留所'!$B$2:$C$10500,2,0))</f>
        <v>←停留所idを選択</v>
      </c>
      <c r="D533" s="5"/>
      <c r="E533" s="5"/>
      <c r="F533" s="6"/>
    </row>
    <row r="534" spans="1:6" x14ac:dyDescent="0.2">
      <c r="A534" s="2">
        <v>533</v>
      </c>
      <c r="B534" s="5"/>
      <c r="C534" s="10" t="str">
        <f>IF(B534="","←停留所idを選択",VLOOKUP(B534,'06停留所'!$B$2:$C$10500,2,0))</f>
        <v>←停留所idを選択</v>
      </c>
      <c r="D534" s="5"/>
      <c r="E534" s="5"/>
      <c r="F534" s="6"/>
    </row>
    <row r="535" spans="1:6" x14ac:dyDescent="0.2">
      <c r="A535" s="2">
        <v>534</v>
      </c>
      <c r="B535" s="5"/>
      <c r="C535" s="10" t="str">
        <f>IF(B535="","←停留所idを選択",VLOOKUP(B535,'06停留所'!$B$2:$C$10500,2,0))</f>
        <v>←停留所idを選択</v>
      </c>
      <c r="D535" s="5"/>
      <c r="E535" s="5"/>
      <c r="F535" s="6"/>
    </row>
    <row r="536" spans="1:6" x14ac:dyDescent="0.2">
      <c r="A536" s="2">
        <v>535</v>
      </c>
      <c r="B536" s="5"/>
      <c r="C536" s="10" t="str">
        <f>IF(B536="","←停留所idを選択",VLOOKUP(B536,'06停留所'!$B$2:$C$10500,2,0))</f>
        <v>←停留所idを選択</v>
      </c>
      <c r="D536" s="5"/>
      <c r="E536" s="5"/>
      <c r="F536" s="6"/>
    </row>
    <row r="537" spans="1:6" x14ac:dyDescent="0.2">
      <c r="A537" s="2">
        <v>536</v>
      </c>
      <c r="B537" s="5"/>
      <c r="C537" s="10" t="str">
        <f>IF(B537="","←停留所idを選択",VLOOKUP(B537,'06停留所'!$B$2:$C$10500,2,0))</f>
        <v>←停留所idを選択</v>
      </c>
      <c r="D537" s="5"/>
      <c r="E537" s="5"/>
      <c r="F537" s="6"/>
    </row>
    <row r="538" spans="1:6" x14ac:dyDescent="0.2">
      <c r="A538" s="2">
        <v>537</v>
      </c>
      <c r="B538" s="5"/>
      <c r="C538" s="10" t="str">
        <f>IF(B538="","←停留所idを選択",VLOOKUP(B538,'06停留所'!$B$2:$C$10500,2,0))</f>
        <v>←停留所idを選択</v>
      </c>
      <c r="D538" s="5"/>
      <c r="E538" s="5"/>
      <c r="F538" s="6"/>
    </row>
    <row r="539" spans="1:6" x14ac:dyDescent="0.2">
      <c r="A539" s="2">
        <v>538</v>
      </c>
      <c r="B539" s="5"/>
      <c r="C539" s="10" t="str">
        <f>IF(B539="","←停留所idを選択",VLOOKUP(B539,'06停留所'!$B$2:$C$10500,2,0))</f>
        <v>←停留所idを選択</v>
      </c>
      <c r="D539" s="5"/>
      <c r="E539" s="5"/>
      <c r="F539" s="6"/>
    </row>
    <row r="540" spans="1:6" x14ac:dyDescent="0.2">
      <c r="A540" s="2">
        <v>539</v>
      </c>
      <c r="B540" s="5"/>
      <c r="C540" s="10" t="str">
        <f>IF(B540="","←停留所idを選択",VLOOKUP(B540,'06停留所'!$B$2:$C$10500,2,0))</f>
        <v>←停留所idを選択</v>
      </c>
      <c r="D540" s="5"/>
      <c r="E540" s="5"/>
      <c r="F540" s="6"/>
    </row>
    <row r="541" spans="1:6" x14ac:dyDescent="0.2">
      <c r="A541" s="2">
        <v>540</v>
      </c>
      <c r="B541" s="5"/>
      <c r="C541" s="10" t="str">
        <f>IF(B541="","←停留所idを選択",VLOOKUP(B541,'06停留所'!$B$2:$C$10500,2,0))</f>
        <v>←停留所idを選択</v>
      </c>
      <c r="D541" s="5"/>
      <c r="E541" s="5"/>
      <c r="F541" s="6"/>
    </row>
    <row r="542" spans="1:6" x14ac:dyDescent="0.2">
      <c r="A542" s="2">
        <v>541</v>
      </c>
      <c r="B542" s="5"/>
      <c r="C542" s="10" t="str">
        <f>IF(B542="","←停留所idを選択",VLOOKUP(B542,'06停留所'!$B$2:$C$10500,2,0))</f>
        <v>←停留所idを選択</v>
      </c>
      <c r="D542" s="5"/>
      <c r="E542" s="5"/>
      <c r="F542" s="6"/>
    </row>
    <row r="543" spans="1:6" x14ac:dyDescent="0.2">
      <c r="A543" s="2">
        <v>542</v>
      </c>
      <c r="B543" s="5"/>
      <c r="C543" s="10" t="str">
        <f>IF(B543="","←停留所idを選択",VLOOKUP(B543,'06停留所'!$B$2:$C$10500,2,0))</f>
        <v>←停留所idを選択</v>
      </c>
      <c r="D543" s="5"/>
      <c r="E543" s="5"/>
      <c r="F543" s="6"/>
    </row>
    <row r="544" spans="1:6" x14ac:dyDescent="0.2">
      <c r="A544" s="2">
        <v>543</v>
      </c>
      <c r="B544" s="5"/>
      <c r="C544" s="10" t="str">
        <f>IF(B544="","←停留所idを選択",VLOOKUP(B544,'06停留所'!$B$2:$C$10500,2,0))</f>
        <v>←停留所idを選択</v>
      </c>
      <c r="D544" s="5"/>
      <c r="E544" s="5"/>
      <c r="F544" s="6"/>
    </row>
    <row r="545" spans="1:6" x14ac:dyDescent="0.2">
      <c r="A545" s="2">
        <v>544</v>
      </c>
      <c r="B545" s="5"/>
      <c r="C545" s="10" t="str">
        <f>IF(B545="","←停留所idを選択",VLOOKUP(B545,'06停留所'!$B$2:$C$10500,2,0))</f>
        <v>←停留所idを選択</v>
      </c>
      <c r="D545" s="5"/>
      <c r="E545" s="5"/>
      <c r="F545" s="6"/>
    </row>
    <row r="546" spans="1:6" x14ac:dyDescent="0.2">
      <c r="A546" s="2">
        <v>545</v>
      </c>
      <c r="B546" s="5"/>
      <c r="C546" s="10" t="str">
        <f>IF(B546="","←停留所idを選択",VLOOKUP(B546,'06停留所'!$B$2:$C$10500,2,0))</f>
        <v>←停留所idを選択</v>
      </c>
      <c r="D546" s="5"/>
      <c r="E546" s="5"/>
      <c r="F546" s="6"/>
    </row>
    <row r="547" spans="1:6" x14ac:dyDescent="0.2">
      <c r="A547" s="2">
        <v>546</v>
      </c>
      <c r="B547" s="5"/>
      <c r="C547" s="10" t="str">
        <f>IF(B547="","←停留所idを選択",VLOOKUP(B547,'06停留所'!$B$2:$C$10500,2,0))</f>
        <v>←停留所idを選択</v>
      </c>
      <c r="D547" s="5"/>
      <c r="E547" s="5"/>
      <c r="F547" s="6"/>
    </row>
    <row r="548" spans="1:6" x14ac:dyDescent="0.2">
      <c r="A548" s="2">
        <v>547</v>
      </c>
      <c r="B548" s="5"/>
      <c r="C548" s="10" t="str">
        <f>IF(B548="","←停留所idを選択",VLOOKUP(B548,'06停留所'!$B$2:$C$10500,2,0))</f>
        <v>←停留所idを選択</v>
      </c>
      <c r="D548" s="5"/>
      <c r="E548" s="5"/>
      <c r="F548" s="6"/>
    </row>
    <row r="549" spans="1:6" x14ac:dyDescent="0.2">
      <c r="A549" s="2">
        <v>548</v>
      </c>
      <c r="B549" s="5"/>
      <c r="C549" s="10" t="str">
        <f>IF(B549="","←停留所idを選択",VLOOKUP(B549,'06停留所'!$B$2:$C$10500,2,0))</f>
        <v>←停留所idを選択</v>
      </c>
      <c r="D549" s="5"/>
      <c r="E549" s="5"/>
      <c r="F549" s="6"/>
    </row>
    <row r="550" spans="1:6" x14ac:dyDescent="0.2">
      <c r="A550" s="2">
        <v>549</v>
      </c>
      <c r="B550" s="5"/>
      <c r="C550" s="10" t="str">
        <f>IF(B550="","←停留所idを選択",VLOOKUP(B550,'06停留所'!$B$2:$C$10500,2,0))</f>
        <v>←停留所idを選択</v>
      </c>
      <c r="D550" s="5"/>
      <c r="E550" s="5"/>
      <c r="F550" s="6"/>
    </row>
    <row r="551" spans="1:6" x14ac:dyDescent="0.2">
      <c r="A551" s="2">
        <v>550</v>
      </c>
      <c r="B551" s="5"/>
      <c r="C551" s="10" t="str">
        <f>IF(B551="","←停留所idを選択",VLOOKUP(B551,'06停留所'!$B$2:$C$10500,2,0))</f>
        <v>←停留所idを選択</v>
      </c>
      <c r="D551" s="5"/>
      <c r="E551" s="5"/>
      <c r="F551" s="6"/>
    </row>
    <row r="552" spans="1:6" x14ac:dyDescent="0.2">
      <c r="A552" s="2">
        <v>551</v>
      </c>
      <c r="B552" s="5"/>
      <c r="C552" s="10" t="str">
        <f>IF(B552="","←停留所idを選択",VLOOKUP(B552,'06停留所'!$B$2:$C$10500,2,0))</f>
        <v>←停留所idを選択</v>
      </c>
      <c r="D552" s="5"/>
      <c r="E552" s="5"/>
      <c r="F552" s="6"/>
    </row>
    <row r="553" spans="1:6" x14ac:dyDescent="0.2">
      <c r="A553" s="2">
        <v>552</v>
      </c>
      <c r="B553" s="5"/>
      <c r="C553" s="10" t="str">
        <f>IF(B553="","←停留所idを選択",VLOOKUP(B553,'06停留所'!$B$2:$C$10500,2,0))</f>
        <v>←停留所idを選択</v>
      </c>
      <c r="D553" s="5"/>
      <c r="E553" s="5"/>
      <c r="F553" s="6"/>
    </row>
    <row r="554" spans="1:6" x14ac:dyDescent="0.2">
      <c r="A554" s="2">
        <v>553</v>
      </c>
      <c r="B554" s="5"/>
      <c r="C554" s="10" t="str">
        <f>IF(B554="","←停留所idを選択",VLOOKUP(B554,'06停留所'!$B$2:$C$10500,2,0))</f>
        <v>←停留所idを選択</v>
      </c>
      <c r="D554" s="5"/>
      <c r="E554" s="5"/>
      <c r="F554" s="6"/>
    </row>
    <row r="555" spans="1:6" x14ac:dyDescent="0.2">
      <c r="A555" s="2">
        <v>554</v>
      </c>
      <c r="B555" s="5"/>
      <c r="C555" s="10" t="str">
        <f>IF(B555="","←停留所idを選択",VLOOKUP(B555,'06停留所'!$B$2:$C$10500,2,0))</f>
        <v>←停留所idを選択</v>
      </c>
      <c r="D555" s="5"/>
      <c r="E555" s="5"/>
      <c r="F555" s="6"/>
    </row>
    <row r="556" spans="1:6" x14ac:dyDescent="0.2">
      <c r="A556" s="2">
        <v>555</v>
      </c>
      <c r="B556" s="5"/>
      <c r="C556" s="10" t="str">
        <f>IF(B556="","←停留所idを選択",VLOOKUP(B556,'06停留所'!$B$2:$C$10500,2,0))</f>
        <v>←停留所idを選択</v>
      </c>
      <c r="D556" s="5"/>
      <c r="E556" s="5"/>
      <c r="F556" s="6"/>
    </row>
    <row r="557" spans="1:6" x14ac:dyDescent="0.2">
      <c r="A557" s="2">
        <v>556</v>
      </c>
      <c r="B557" s="5"/>
      <c r="C557" s="10" t="str">
        <f>IF(B557="","←停留所idを選択",VLOOKUP(B557,'06停留所'!$B$2:$C$10500,2,0))</f>
        <v>←停留所idを選択</v>
      </c>
      <c r="D557" s="5"/>
      <c r="E557" s="5"/>
      <c r="F557" s="6"/>
    </row>
    <row r="558" spans="1:6" x14ac:dyDescent="0.2">
      <c r="A558" s="2">
        <v>557</v>
      </c>
      <c r="B558" s="5"/>
      <c r="C558" s="10" t="str">
        <f>IF(B558="","←停留所idを選択",VLOOKUP(B558,'06停留所'!$B$2:$C$10500,2,0))</f>
        <v>←停留所idを選択</v>
      </c>
      <c r="D558" s="5"/>
      <c r="E558" s="5"/>
      <c r="F558" s="6"/>
    </row>
    <row r="559" spans="1:6" x14ac:dyDescent="0.2">
      <c r="A559" s="2">
        <v>558</v>
      </c>
      <c r="B559" s="5"/>
      <c r="C559" s="10" t="str">
        <f>IF(B559="","←停留所idを選択",VLOOKUP(B559,'06停留所'!$B$2:$C$10500,2,0))</f>
        <v>←停留所idを選択</v>
      </c>
      <c r="D559" s="5"/>
      <c r="E559" s="5"/>
      <c r="F559" s="6"/>
    </row>
    <row r="560" spans="1:6" x14ac:dyDescent="0.2">
      <c r="A560" s="2">
        <v>559</v>
      </c>
      <c r="B560" s="5"/>
      <c r="C560" s="10" t="str">
        <f>IF(B560="","←停留所idを選択",VLOOKUP(B560,'06停留所'!$B$2:$C$10500,2,0))</f>
        <v>←停留所idを選択</v>
      </c>
      <c r="D560" s="5"/>
      <c r="E560" s="5"/>
      <c r="F560" s="6"/>
    </row>
    <row r="561" spans="1:6" x14ac:dyDescent="0.2">
      <c r="A561" s="2">
        <v>560</v>
      </c>
      <c r="B561" s="5"/>
      <c r="C561" s="10" t="str">
        <f>IF(B561="","←停留所idを選択",VLOOKUP(B561,'06停留所'!$B$2:$C$10500,2,0))</f>
        <v>←停留所idを選択</v>
      </c>
      <c r="D561" s="5"/>
      <c r="E561" s="5"/>
      <c r="F561" s="6"/>
    </row>
    <row r="562" spans="1:6" x14ac:dyDescent="0.2">
      <c r="A562" s="2">
        <v>561</v>
      </c>
      <c r="B562" s="5"/>
      <c r="C562" s="10" t="str">
        <f>IF(B562="","←停留所idを選択",VLOOKUP(B562,'06停留所'!$B$2:$C$10500,2,0))</f>
        <v>←停留所idを選択</v>
      </c>
      <c r="D562" s="5"/>
      <c r="E562" s="5"/>
      <c r="F562" s="6"/>
    </row>
    <row r="563" spans="1:6" x14ac:dyDescent="0.2">
      <c r="A563" s="2">
        <v>562</v>
      </c>
      <c r="B563" s="5"/>
      <c r="C563" s="10" t="str">
        <f>IF(B563="","←停留所idを選択",VLOOKUP(B563,'06停留所'!$B$2:$C$10500,2,0))</f>
        <v>←停留所idを選択</v>
      </c>
      <c r="D563" s="5"/>
      <c r="E563" s="5"/>
      <c r="F563" s="6"/>
    </row>
    <row r="564" spans="1:6" x14ac:dyDescent="0.2">
      <c r="A564" s="2">
        <v>563</v>
      </c>
      <c r="B564" s="5"/>
      <c r="C564" s="10" t="str">
        <f>IF(B564="","←停留所idを選択",VLOOKUP(B564,'06停留所'!$B$2:$C$10500,2,0))</f>
        <v>←停留所idを選択</v>
      </c>
      <c r="D564" s="5"/>
      <c r="E564" s="5"/>
      <c r="F564" s="6"/>
    </row>
    <row r="565" spans="1:6" x14ac:dyDescent="0.2">
      <c r="A565" s="2">
        <v>564</v>
      </c>
      <c r="B565" s="5"/>
      <c r="C565" s="10" t="str">
        <f>IF(B565="","←停留所idを選択",VLOOKUP(B565,'06停留所'!$B$2:$C$10500,2,0))</f>
        <v>←停留所idを選択</v>
      </c>
      <c r="D565" s="5"/>
      <c r="E565" s="5"/>
      <c r="F565" s="6"/>
    </row>
    <row r="566" spans="1:6" x14ac:dyDescent="0.2">
      <c r="A566" s="2">
        <v>565</v>
      </c>
      <c r="B566" s="5"/>
      <c r="C566" s="10" t="str">
        <f>IF(B566="","←停留所idを選択",VLOOKUP(B566,'06停留所'!$B$2:$C$10500,2,0))</f>
        <v>←停留所idを選択</v>
      </c>
      <c r="D566" s="5"/>
      <c r="E566" s="5"/>
      <c r="F566" s="6"/>
    </row>
    <row r="567" spans="1:6" x14ac:dyDescent="0.2">
      <c r="A567" s="2">
        <v>566</v>
      </c>
      <c r="B567" s="5"/>
      <c r="C567" s="10" t="str">
        <f>IF(B567="","←停留所idを選択",VLOOKUP(B567,'06停留所'!$B$2:$C$10500,2,0))</f>
        <v>←停留所idを選択</v>
      </c>
      <c r="D567" s="5"/>
      <c r="E567" s="5"/>
      <c r="F567" s="6"/>
    </row>
    <row r="568" spans="1:6" x14ac:dyDescent="0.2">
      <c r="A568" s="2">
        <v>567</v>
      </c>
      <c r="B568" s="5"/>
      <c r="C568" s="10" t="str">
        <f>IF(B568="","←停留所idを選択",VLOOKUP(B568,'06停留所'!$B$2:$C$10500,2,0))</f>
        <v>←停留所idを選択</v>
      </c>
      <c r="D568" s="5"/>
      <c r="E568" s="5"/>
      <c r="F568" s="6"/>
    </row>
    <row r="569" spans="1:6" x14ac:dyDescent="0.2">
      <c r="A569" s="2">
        <v>568</v>
      </c>
      <c r="B569" s="5"/>
      <c r="C569" s="10" t="str">
        <f>IF(B569="","←停留所idを選択",VLOOKUP(B569,'06停留所'!$B$2:$C$10500,2,0))</f>
        <v>←停留所idを選択</v>
      </c>
      <c r="D569" s="5"/>
      <c r="E569" s="5"/>
      <c r="F569" s="6"/>
    </row>
    <row r="570" spans="1:6" x14ac:dyDescent="0.2">
      <c r="A570" s="2">
        <v>569</v>
      </c>
      <c r="B570" s="5"/>
      <c r="C570" s="10" t="str">
        <f>IF(B570="","←停留所idを選択",VLOOKUP(B570,'06停留所'!$B$2:$C$10500,2,0))</f>
        <v>←停留所idを選択</v>
      </c>
      <c r="D570" s="5"/>
      <c r="E570" s="5"/>
      <c r="F570" s="6"/>
    </row>
    <row r="571" spans="1:6" x14ac:dyDescent="0.2">
      <c r="A571" s="2">
        <v>570</v>
      </c>
      <c r="B571" s="5"/>
      <c r="C571" s="10" t="str">
        <f>IF(B571="","←停留所idを選択",VLOOKUP(B571,'06停留所'!$B$2:$C$10500,2,0))</f>
        <v>←停留所idを選択</v>
      </c>
      <c r="D571" s="5"/>
      <c r="E571" s="5"/>
      <c r="F571" s="6"/>
    </row>
    <row r="572" spans="1:6" x14ac:dyDescent="0.2">
      <c r="A572" s="2">
        <v>571</v>
      </c>
      <c r="B572" s="5"/>
      <c r="C572" s="10" t="str">
        <f>IF(B572="","←停留所idを選択",VLOOKUP(B572,'06停留所'!$B$2:$C$10500,2,0))</f>
        <v>←停留所idを選択</v>
      </c>
      <c r="D572" s="5"/>
      <c r="E572" s="5"/>
      <c r="F572" s="6"/>
    </row>
    <row r="573" spans="1:6" x14ac:dyDescent="0.2">
      <c r="A573" s="2">
        <v>572</v>
      </c>
      <c r="B573" s="5"/>
      <c r="C573" s="10" t="str">
        <f>IF(B573="","←停留所idを選択",VLOOKUP(B573,'06停留所'!$B$2:$C$10500,2,0))</f>
        <v>←停留所idを選択</v>
      </c>
      <c r="D573" s="5"/>
      <c r="E573" s="5"/>
      <c r="F573" s="6"/>
    </row>
    <row r="574" spans="1:6" x14ac:dyDescent="0.2">
      <c r="A574" s="2">
        <v>573</v>
      </c>
      <c r="B574" s="5"/>
      <c r="C574" s="10" t="str">
        <f>IF(B574="","←停留所idを選択",VLOOKUP(B574,'06停留所'!$B$2:$C$10500,2,0))</f>
        <v>←停留所idを選択</v>
      </c>
      <c r="D574" s="5"/>
      <c r="E574" s="5"/>
      <c r="F574" s="6"/>
    </row>
    <row r="575" spans="1:6" x14ac:dyDescent="0.2">
      <c r="A575" s="2">
        <v>574</v>
      </c>
      <c r="B575" s="5"/>
      <c r="C575" s="10" t="str">
        <f>IF(B575="","←停留所idを選択",VLOOKUP(B575,'06停留所'!$B$2:$C$10500,2,0))</f>
        <v>←停留所idを選択</v>
      </c>
      <c r="D575" s="5"/>
      <c r="E575" s="5"/>
      <c r="F575" s="6"/>
    </row>
    <row r="576" spans="1:6" x14ac:dyDescent="0.2">
      <c r="A576" s="2">
        <v>575</v>
      </c>
      <c r="B576" s="5"/>
      <c r="C576" s="10" t="str">
        <f>IF(B576="","←停留所idを選択",VLOOKUP(B576,'06停留所'!$B$2:$C$10500,2,0))</f>
        <v>←停留所idを選択</v>
      </c>
      <c r="D576" s="5"/>
      <c r="E576" s="5"/>
      <c r="F576" s="6"/>
    </row>
    <row r="577" spans="1:6" x14ac:dyDescent="0.2">
      <c r="A577" s="2">
        <v>576</v>
      </c>
      <c r="B577" s="5"/>
      <c r="C577" s="10" t="str">
        <f>IF(B577="","←停留所idを選択",VLOOKUP(B577,'06停留所'!$B$2:$C$10500,2,0))</f>
        <v>←停留所idを選択</v>
      </c>
      <c r="D577" s="5"/>
      <c r="E577" s="5"/>
      <c r="F577" s="6"/>
    </row>
    <row r="578" spans="1:6" x14ac:dyDescent="0.2">
      <c r="A578" s="2">
        <v>577</v>
      </c>
      <c r="B578" s="5"/>
      <c r="C578" s="10" t="str">
        <f>IF(B578="","←停留所idを選択",VLOOKUP(B578,'06停留所'!$B$2:$C$10500,2,0))</f>
        <v>←停留所idを選択</v>
      </c>
      <c r="D578" s="5"/>
      <c r="E578" s="5"/>
      <c r="F578" s="6"/>
    </row>
    <row r="579" spans="1:6" x14ac:dyDescent="0.2">
      <c r="A579" s="2">
        <v>578</v>
      </c>
      <c r="B579" s="5"/>
      <c r="C579" s="10" t="str">
        <f>IF(B579="","←停留所idを選択",VLOOKUP(B579,'06停留所'!$B$2:$C$10500,2,0))</f>
        <v>←停留所idを選択</v>
      </c>
      <c r="D579" s="5"/>
      <c r="E579" s="5"/>
      <c r="F579" s="6"/>
    </row>
    <row r="580" spans="1:6" x14ac:dyDescent="0.2">
      <c r="A580" s="2">
        <v>579</v>
      </c>
      <c r="B580" s="5"/>
      <c r="C580" s="10" t="str">
        <f>IF(B580="","←停留所idを選択",VLOOKUP(B580,'06停留所'!$B$2:$C$10500,2,0))</f>
        <v>←停留所idを選択</v>
      </c>
      <c r="D580" s="5"/>
      <c r="E580" s="5"/>
      <c r="F580" s="6"/>
    </row>
    <row r="581" spans="1:6" x14ac:dyDescent="0.2">
      <c r="A581" s="2">
        <v>580</v>
      </c>
      <c r="B581" s="5"/>
      <c r="C581" s="10" t="str">
        <f>IF(B581="","←停留所idを選択",VLOOKUP(B581,'06停留所'!$B$2:$C$10500,2,0))</f>
        <v>←停留所idを選択</v>
      </c>
      <c r="D581" s="5"/>
      <c r="E581" s="5"/>
      <c r="F581" s="6"/>
    </row>
    <row r="582" spans="1:6" x14ac:dyDescent="0.2">
      <c r="A582" s="2">
        <v>581</v>
      </c>
      <c r="B582" s="5"/>
      <c r="C582" s="10" t="str">
        <f>IF(B582="","←停留所idを選択",VLOOKUP(B582,'06停留所'!$B$2:$C$10500,2,0))</f>
        <v>←停留所idを選択</v>
      </c>
      <c r="D582" s="5"/>
      <c r="E582" s="5"/>
      <c r="F582" s="6"/>
    </row>
    <row r="583" spans="1:6" x14ac:dyDescent="0.2">
      <c r="A583" s="2">
        <v>582</v>
      </c>
      <c r="B583" s="5"/>
      <c r="C583" s="10" t="str">
        <f>IF(B583="","←停留所idを選択",VLOOKUP(B583,'06停留所'!$B$2:$C$10500,2,0))</f>
        <v>←停留所idを選択</v>
      </c>
      <c r="D583" s="5"/>
      <c r="E583" s="5"/>
      <c r="F583" s="6"/>
    </row>
    <row r="584" spans="1:6" x14ac:dyDescent="0.2">
      <c r="A584" s="2">
        <v>583</v>
      </c>
      <c r="B584" s="5"/>
      <c r="C584" s="10" t="str">
        <f>IF(B584="","←停留所idを選択",VLOOKUP(B584,'06停留所'!$B$2:$C$10500,2,0))</f>
        <v>←停留所idを選択</v>
      </c>
      <c r="D584" s="5"/>
      <c r="E584" s="5"/>
      <c r="F584" s="6"/>
    </row>
    <row r="585" spans="1:6" x14ac:dyDescent="0.2">
      <c r="A585" s="2">
        <v>584</v>
      </c>
      <c r="B585" s="5"/>
      <c r="C585" s="10" t="str">
        <f>IF(B585="","←停留所idを選択",VLOOKUP(B585,'06停留所'!$B$2:$C$10500,2,0))</f>
        <v>←停留所idを選択</v>
      </c>
      <c r="D585" s="5"/>
      <c r="E585" s="5"/>
      <c r="F585" s="6"/>
    </row>
    <row r="586" spans="1:6" x14ac:dyDescent="0.2">
      <c r="A586" s="2">
        <v>585</v>
      </c>
      <c r="B586" s="5"/>
      <c r="C586" s="10" t="str">
        <f>IF(B586="","←停留所idを選択",VLOOKUP(B586,'06停留所'!$B$2:$C$10500,2,0))</f>
        <v>←停留所idを選択</v>
      </c>
      <c r="D586" s="5"/>
      <c r="E586" s="5"/>
      <c r="F586" s="6"/>
    </row>
    <row r="587" spans="1:6" x14ac:dyDescent="0.2">
      <c r="A587" s="2">
        <v>586</v>
      </c>
      <c r="B587" s="5"/>
      <c r="C587" s="10" t="str">
        <f>IF(B587="","←停留所idを選択",VLOOKUP(B587,'06停留所'!$B$2:$C$10500,2,0))</f>
        <v>←停留所idを選択</v>
      </c>
      <c r="D587" s="5"/>
      <c r="E587" s="5"/>
      <c r="F587" s="6"/>
    </row>
    <row r="588" spans="1:6" x14ac:dyDescent="0.2">
      <c r="A588" s="2">
        <v>587</v>
      </c>
      <c r="B588" s="5"/>
      <c r="C588" s="10" t="str">
        <f>IF(B588="","←停留所idを選択",VLOOKUP(B588,'06停留所'!$B$2:$C$10500,2,0))</f>
        <v>←停留所idを選択</v>
      </c>
      <c r="D588" s="5"/>
      <c r="E588" s="5"/>
      <c r="F588" s="6"/>
    </row>
    <row r="589" spans="1:6" x14ac:dyDescent="0.2">
      <c r="A589" s="2">
        <v>588</v>
      </c>
      <c r="B589" s="5"/>
      <c r="C589" s="10" t="str">
        <f>IF(B589="","←停留所idを選択",VLOOKUP(B589,'06停留所'!$B$2:$C$10500,2,0))</f>
        <v>←停留所idを選択</v>
      </c>
      <c r="D589" s="5"/>
      <c r="E589" s="5"/>
      <c r="F589" s="6"/>
    </row>
    <row r="590" spans="1:6" x14ac:dyDescent="0.2">
      <c r="A590" s="2">
        <v>589</v>
      </c>
      <c r="B590" s="5"/>
      <c r="C590" s="10" t="str">
        <f>IF(B590="","←停留所idを選択",VLOOKUP(B590,'06停留所'!$B$2:$C$10500,2,0))</f>
        <v>←停留所idを選択</v>
      </c>
      <c r="D590" s="5"/>
      <c r="E590" s="5"/>
      <c r="F590" s="6"/>
    </row>
    <row r="591" spans="1:6" x14ac:dyDescent="0.2">
      <c r="A591" s="2">
        <v>590</v>
      </c>
      <c r="B591" s="5"/>
      <c r="C591" s="10" t="str">
        <f>IF(B591="","←停留所idを選択",VLOOKUP(B591,'06停留所'!$B$2:$C$10500,2,0))</f>
        <v>←停留所idを選択</v>
      </c>
      <c r="D591" s="5"/>
      <c r="E591" s="5"/>
      <c r="F591" s="6"/>
    </row>
    <row r="592" spans="1:6" x14ac:dyDescent="0.2">
      <c r="A592" s="2">
        <v>591</v>
      </c>
      <c r="B592" s="5"/>
      <c r="C592" s="10" t="str">
        <f>IF(B592="","←停留所idを選択",VLOOKUP(B592,'06停留所'!$B$2:$C$10500,2,0))</f>
        <v>←停留所idを選択</v>
      </c>
      <c r="D592" s="5"/>
      <c r="E592" s="5"/>
      <c r="F592" s="6"/>
    </row>
    <row r="593" spans="1:6" x14ac:dyDescent="0.2">
      <c r="A593" s="2">
        <v>592</v>
      </c>
      <c r="B593" s="5"/>
      <c r="C593" s="10" t="str">
        <f>IF(B593="","←停留所idを選択",VLOOKUP(B593,'06停留所'!$B$2:$C$10500,2,0))</f>
        <v>←停留所idを選択</v>
      </c>
      <c r="D593" s="5"/>
      <c r="E593" s="5"/>
      <c r="F593" s="6"/>
    </row>
    <row r="594" spans="1:6" x14ac:dyDescent="0.2">
      <c r="A594" s="2">
        <v>593</v>
      </c>
      <c r="B594" s="5"/>
      <c r="C594" s="10" t="str">
        <f>IF(B594="","←停留所idを選択",VLOOKUP(B594,'06停留所'!$B$2:$C$10500,2,0))</f>
        <v>←停留所idを選択</v>
      </c>
      <c r="D594" s="5"/>
      <c r="E594" s="5"/>
      <c r="F594" s="6"/>
    </row>
    <row r="595" spans="1:6" x14ac:dyDescent="0.2">
      <c r="A595" s="2">
        <v>594</v>
      </c>
      <c r="B595" s="5"/>
      <c r="C595" s="10" t="str">
        <f>IF(B595="","←停留所idを選択",VLOOKUP(B595,'06停留所'!$B$2:$C$10500,2,0))</f>
        <v>←停留所idを選択</v>
      </c>
      <c r="D595" s="5"/>
      <c r="E595" s="5"/>
      <c r="F595" s="6"/>
    </row>
    <row r="596" spans="1:6" x14ac:dyDescent="0.2">
      <c r="A596" s="2">
        <v>595</v>
      </c>
      <c r="B596" s="5"/>
      <c r="C596" s="10" t="str">
        <f>IF(B596="","←停留所idを選択",VLOOKUP(B596,'06停留所'!$B$2:$C$10500,2,0))</f>
        <v>←停留所idを選択</v>
      </c>
      <c r="D596" s="5"/>
      <c r="E596" s="5"/>
      <c r="F596" s="6"/>
    </row>
    <row r="597" spans="1:6" x14ac:dyDescent="0.2">
      <c r="A597" s="2">
        <v>596</v>
      </c>
      <c r="B597" s="5"/>
      <c r="C597" s="10" t="str">
        <f>IF(B597="","←停留所idを選択",VLOOKUP(B597,'06停留所'!$B$2:$C$10500,2,0))</f>
        <v>←停留所idを選択</v>
      </c>
      <c r="D597" s="5"/>
      <c r="E597" s="5"/>
      <c r="F597" s="6"/>
    </row>
    <row r="598" spans="1:6" x14ac:dyDescent="0.2">
      <c r="A598" s="2">
        <v>597</v>
      </c>
      <c r="B598" s="5"/>
      <c r="C598" s="10" t="str">
        <f>IF(B598="","←停留所idを選択",VLOOKUP(B598,'06停留所'!$B$2:$C$10500,2,0))</f>
        <v>←停留所idを選択</v>
      </c>
      <c r="D598" s="5"/>
      <c r="E598" s="5"/>
      <c r="F598" s="6"/>
    </row>
    <row r="599" spans="1:6" x14ac:dyDescent="0.2">
      <c r="A599" s="2">
        <v>598</v>
      </c>
      <c r="B599" s="5"/>
      <c r="C599" s="10" t="str">
        <f>IF(B599="","←停留所idを選択",VLOOKUP(B599,'06停留所'!$B$2:$C$10500,2,0))</f>
        <v>←停留所idを選択</v>
      </c>
      <c r="D599" s="5"/>
      <c r="E599" s="5"/>
      <c r="F599" s="6"/>
    </row>
    <row r="600" spans="1:6" x14ac:dyDescent="0.2">
      <c r="A600" s="2">
        <v>599</v>
      </c>
      <c r="B600" s="5"/>
      <c r="C600" s="10" t="str">
        <f>IF(B600="","←停留所idを選択",VLOOKUP(B600,'06停留所'!$B$2:$C$10500,2,0))</f>
        <v>←停留所idを選択</v>
      </c>
      <c r="D600" s="5"/>
      <c r="E600" s="5"/>
      <c r="F600" s="6"/>
    </row>
    <row r="601" spans="1:6" x14ac:dyDescent="0.2">
      <c r="A601" s="2">
        <v>600</v>
      </c>
      <c r="B601" s="5"/>
      <c r="C601" s="10" t="str">
        <f>IF(B601="","←停留所idを選択",VLOOKUP(B601,'06停留所'!$B$2:$C$10500,2,0))</f>
        <v>←停留所idを選択</v>
      </c>
      <c r="D601" s="5"/>
      <c r="E601" s="5"/>
      <c r="F601" s="6"/>
    </row>
    <row r="602" spans="1:6" x14ac:dyDescent="0.2">
      <c r="A602" s="2">
        <v>601</v>
      </c>
      <c r="B602" s="5"/>
      <c r="C602" s="10" t="str">
        <f>IF(B602="","←停留所idを選択",VLOOKUP(B602,'06停留所'!$B$2:$C$10500,2,0))</f>
        <v>←停留所idを選択</v>
      </c>
      <c r="D602" s="5"/>
      <c r="E602" s="5"/>
      <c r="F602" s="6"/>
    </row>
    <row r="603" spans="1:6" x14ac:dyDescent="0.2">
      <c r="A603" s="2">
        <v>602</v>
      </c>
      <c r="B603" s="5"/>
      <c r="C603" s="10" t="str">
        <f>IF(B603="","←停留所idを選択",VLOOKUP(B603,'06停留所'!$B$2:$C$10500,2,0))</f>
        <v>←停留所idを選択</v>
      </c>
      <c r="D603" s="5"/>
      <c r="E603" s="5"/>
      <c r="F603" s="6"/>
    </row>
    <row r="604" spans="1:6" x14ac:dyDescent="0.2">
      <c r="A604" s="2">
        <v>603</v>
      </c>
      <c r="B604" s="5"/>
      <c r="C604" s="10" t="str">
        <f>IF(B604="","←停留所idを選択",VLOOKUP(B604,'06停留所'!$B$2:$C$10500,2,0))</f>
        <v>←停留所idを選択</v>
      </c>
      <c r="D604" s="5"/>
      <c r="E604" s="5"/>
      <c r="F604" s="6"/>
    </row>
    <row r="605" spans="1:6" x14ac:dyDescent="0.2">
      <c r="A605" s="2">
        <v>604</v>
      </c>
      <c r="B605" s="5"/>
      <c r="C605" s="10" t="str">
        <f>IF(B605="","←停留所idを選択",VLOOKUP(B605,'06停留所'!$B$2:$C$10500,2,0))</f>
        <v>←停留所idを選択</v>
      </c>
      <c r="D605" s="5"/>
      <c r="E605" s="5"/>
      <c r="F605" s="6"/>
    </row>
    <row r="606" spans="1:6" x14ac:dyDescent="0.2">
      <c r="A606" s="2">
        <v>605</v>
      </c>
      <c r="B606" s="5"/>
      <c r="C606" s="10" t="str">
        <f>IF(B606="","←停留所idを選択",VLOOKUP(B606,'06停留所'!$B$2:$C$10500,2,0))</f>
        <v>←停留所idを選択</v>
      </c>
      <c r="D606" s="5"/>
      <c r="E606" s="5"/>
      <c r="F606" s="6"/>
    </row>
    <row r="607" spans="1:6" x14ac:dyDescent="0.2">
      <c r="A607" s="2">
        <v>606</v>
      </c>
      <c r="B607" s="5"/>
      <c r="C607" s="10" t="str">
        <f>IF(B607="","←停留所idを選択",VLOOKUP(B607,'06停留所'!$B$2:$C$10500,2,0))</f>
        <v>←停留所idを選択</v>
      </c>
      <c r="D607" s="5"/>
      <c r="E607" s="5"/>
      <c r="F607" s="6"/>
    </row>
    <row r="608" spans="1:6" x14ac:dyDescent="0.2">
      <c r="A608" s="2">
        <v>607</v>
      </c>
      <c r="B608" s="5"/>
      <c r="C608" s="10" t="str">
        <f>IF(B608="","←停留所idを選択",VLOOKUP(B608,'06停留所'!$B$2:$C$10500,2,0))</f>
        <v>←停留所idを選択</v>
      </c>
      <c r="D608" s="5"/>
      <c r="E608" s="5"/>
      <c r="F608" s="6"/>
    </row>
    <row r="609" spans="1:6" x14ac:dyDescent="0.2">
      <c r="A609" s="2">
        <v>608</v>
      </c>
      <c r="B609" s="5"/>
      <c r="C609" s="10" t="str">
        <f>IF(B609="","←停留所idを選択",VLOOKUP(B609,'06停留所'!$B$2:$C$10500,2,0))</f>
        <v>←停留所idを選択</v>
      </c>
      <c r="D609" s="5"/>
      <c r="E609" s="5"/>
      <c r="F609" s="6"/>
    </row>
    <row r="610" spans="1:6" x14ac:dyDescent="0.2">
      <c r="A610" s="2">
        <v>609</v>
      </c>
      <c r="B610" s="5"/>
      <c r="C610" s="10" t="str">
        <f>IF(B610="","←停留所idを選択",VLOOKUP(B610,'06停留所'!$B$2:$C$10500,2,0))</f>
        <v>←停留所idを選択</v>
      </c>
      <c r="D610" s="5"/>
      <c r="E610" s="5"/>
      <c r="F610" s="6"/>
    </row>
    <row r="611" spans="1:6" x14ac:dyDescent="0.2">
      <c r="A611" s="2">
        <v>610</v>
      </c>
      <c r="B611" s="5"/>
      <c r="C611" s="10" t="str">
        <f>IF(B611="","←停留所idを選択",VLOOKUP(B611,'06停留所'!$B$2:$C$10500,2,0))</f>
        <v>←停留所idを選択</v>
      </c>
      <c r="D611" s="5"/>
      <c r="E611" s="5"/>
      <c r="F611" s="6"/>
    </row>
    <row r="612" spans="1:6" x14ac:dyDescent="0.2">
      <c r="A612" s="2">
        <v>611</v>
      </c>
      <c r="B612" s="5"/>
      <c r="C612" s="10" t="str">
        <f>IF(B612="","←停留所idを選択",VLOOKUP(B612,'06停留所'!$B$2:$C$10500,2,0))</f>
        <v>←停留所idを選択</v>
      </c>
      <c r="D612" s="5"/>
      <c r="E612" s="5"/>
      <c r="F612" s="6"/>
    </row>
    <row r="613" spans="1:6" x14ac:dyDescent="0.2">
      <c r="A613" s="2">
        <v>612</v>
      </c>
      <c r="B613" s="5"/>
      <c r="C613" s="10" t="str">
        <f>IF(B613="","←停留所idを選択",VLOOKUP(B613,'06停留所'!$B$2:$C$10500,2,0))</f>
        <v>←停留所idを選択</v>
      </c>
      <c r="D613" s="5"/>
      <c r="E613" s="5"/>
      <c r="F613" s="6"/>
    </row>
    <row r="614" spans="1:6" x14ac:dyDescent="0.2">
      <c r="A614" s="2">
        <v>613</v>
      </c>
      <c r="B614" s="5"/>
      <c r="C614" s="10" t="str">
        <f>IF(B614="","←停留所idを選択",VLOOKUP(B614,'06停留所'!$B$2:$C$10500,2,0))</f>
        <v>←停留所idを選択</v>
      </c>
      <c r="D614" s="5"/>
      <c r="E614" s="5"/>
      <c r="F614" s="6"/>
    </row>
    <row r="615" spans="1:6" x14ac:dyDescent="0.2">
      <c r="A615" s="2">
        <v>614</v>
      </c>
      <c r="B615" s="5"/>
      <c r="C615" s="10" t="str">
        <f>IF(B615="","←停留所idを選択",VLOOKUP(B615,'06停留所'!$B$2:$C$10500,2,0))</f>
        <v>←停留所idを選択</v>
      </c>
      <c r="D615" s="5"/>
      <c r="E615" s="5"/>
      <c r="F615" s="6"/>
    </row>
    <row r="616" spans="1:6" x14ac:dyDescent="0.2">
      <c r="A616" s="2">
        <v>615</v>
      </c>
      <c r="B616" s="5"/>
      <c r="C616" s="10" t="str">
        <f>IF(B616="","←停留所idを選択",VLOOKUP(B616,'06停留所'!$B$2:$C$10500,2,0))</f>
        <v>←停留所idを選択</v>
      </c>
      <c r="D616" s="5"/>
      <c r="E616" s="5"/>
      <c r="F616" s="6"/>
    </row>
    <row r="617" spans="1:6" x14ac:dyDescent="0.2">
      <c r="A617" s="2">
        <v>616</v>
      </c>
      <c r="B617" s="5"/>
      <c r="C617" s="10" t="str">
        <f>IF(B617="","←停留所idを選択",VLOOKUP(B617,'06停留所'!$B$2:$C$10500,2,0))</f>
        <v>←停留所idを選択</v>
      </c>
      <c r="D617" s="5"/>
      <c r="E617" s="5"/>
      <c r="F617" s="6"/>
    </row>
    <row r="618" spans="1:6" x14ac:dyDescent="0.2">
      <c r="A618" s="2">
        <v>617</v>
      </c>
      <c r="B618" s="5"/>
      <c r="C618" s="10" t="str">
        <f>IF(B618="","←停留所idを選択",VLOOKUP(B618,'06停留所'!$B$2:$C$10500,2,0))</f>
        <v>←停留所idを選択</v>
      </c>
      <c r="D618" s="5"/>
      <c r="E618" s="5"/>
      <c r="F618" s="6"/>
    </row>
    <row r="619" spans="1:6" x14ac:dyDescent="0.2">
      <c r="A619" s="2">
        <v>618</v>
      </c>
      <c r="B619" s="5"/>
      <c r="C619" s="10" t="str">
        <f>IF(B619="","←停留所idを選択",VLOOKUP(B619,'06停留所'!$B$2:$C$10500,2,0))</f>
        <v>←停留所idを選択</v>
      </c>
      <c r="D619" s="5"/>
      <c r="E619" s="5"/>
      <c r="F619" s="6"/>
    </row>
    <row r="620" spans="1:6" x14ac:dyDescent="0.2">
      <c r="A620" s="2">
        <v>619</v>
      </c>
      <c r="B620" s="5"/>
      <c r="C620" s="10" t="str">
        <f>IF(B620="","←停留所idを選択",VLOOKUP(B620,'06停留所'!$B$2:$C$10500,2,0))</f>
        <v>←停留所idを選択</v>
      </c>
      <c r="D620" s="5"/>
      <c r="E620" s="5"/>
      <c r="F620" s="6"/>
    </row>
    <row r="621" spans="1:6" x14ac:dyDescent="0.2">
      <c r="A621" s="2">
        <v>620</v>
      </c>
      <c r="B621" s="5"/>
      <c r="C621" s="10" t="str">
        <f>IF(B621="","←停留所idを選択",VLOOKUP(B621,'06停留所'!$B$2:$C$10500,2,0))</f>
        <v>←停留所idを選択</v>
      </c>
      <c r="D621" s="5"/>
      <c r="E621" s="5"/>
      <c r="F621" s="6"/>
    </row>
    <row r="622" spans="1:6" x14ac:dyDescent="0.2">
      <c r="A622" s="2">
        <v>621</v>
      </c>
      <c r="B622" s="5"/>
      <c r="C622" s="10" t="str">
        <f>IF(B622="","←停留所idを選択",VLOOKUP(B622,'06停留所'!$B$2:$C$10500,2,0))</f>
        <v>←停留所idを選択</v>
      </c>
      <c r="D622" s="5"/>
      <c r="E622" s="5"/>
      <c r="F622" s="6"/>
    </row>
    <row r="623" spans="1:6" x14ac:dyDescent="0.2">
      <c r="A623" s="2">
        <v>622</v>
      </c>
      <c r="B623" s="5"/>
      <c r="C623" s="10" t="str">
        <f>IF(B623="","←停留所idを選択",VLOOKUP(B623,'06停留所'!$B$2:$C$10500,2,0))</f>
        <v>←停留所idを選択</v>
      </c>
      <c r="D623" s="5"/>
      <c r="E623" s="5"/>
      <c r="F623" s="6"/>
    </row>
    <row r="624" spans="1:6" x14ac:dyDescent="0.2">
      <c r="A624" s="2">
        <v>623</v>
      </c>
      <c r="B624" s="5"/>
      <c r="C624" s="10" t="str">
        <f>IF(B624="","←停留所idを選択",VLOOKUP(B624,'06停留所'!$B$2:$C$10500,2,0))</f>
        <v>←停留所idを選択</v>
      </c>
      <c r="D624" s="5"/>
      <c r="E624" s="5"/>
      <c r="F624" s="6"/>
    </row>
    <row r="625" spans="1:6" x14ac:dyDescent="0.2">
      <c r="A625" s="2">
        <v>624</v>
      </c>
      <c r="B625" s="5"/>
      <c r="C625" s="10" t="str">
        <f>IF(B625="","←停留所idを選択",VLOOKUP(B625,'06停留所'!$B$2:$C$10500,2,0))</f>
        <v>←停留所idを選択</v>
      </c>
      <c r="D625" s="5"/>
      <c r="E625" s="5"/>
      <c r="F625" s="6"/>
    </row>
    <row r="626" spans="1:6" x14ac:dyDescent="0.2">
      <c r="A626" s="2">
        <v>625</v>
      </c>
      <c r="B626" s="5"/>
      <c r="C626" s="10" t="str">
        <f>IF(B626="","←停留所idを選択",VLOOKUP(B626,'06停留所'!$B$2:$C$10500,2,0))</f>
        <v>←停留所idを選択</v>
      </c>
      <c r="D626" s="5"/>
      <c r="E626" s="5"/>
      <c r="F626" s="6"/>
    </row>
    <row r="627" spans="1:6" x14ac:dyDescent="0.2">
      <c r="A627" s="2">
        <v>626</v>
      </c>
      <c r="B627" s="5"/>
      <c r="C627" s="10" t="str">
        <f>IF(B627="","←停留所idを選択",VLOOKUP(B627,'06停留所'!$B$2:$C$10500,2,0))</f>
        <v>←停留所idを選択</v>
      </c>
      <c r="D627" s="5"/>
      <c r="E627" s="5"/>
      <c r="F627" s="6"/>
    </row>
    <row r="628" spans="1:6" x14ac:dyDescent="0.2">
      <c r="A628" s="2">
        <v>627</v>
      </c>
      <c r="B628" s="5"/>
      <c r="C628" s="10" t="str">
        <f>IF(B628="","←停留所idを選択",VLOOKUP(B628,'06停留所'!$B$2:$C$10500,2,0))</f>
        <v>←停留所idを選択</v>
      </c>
      <c r="D628" s="5"/>
      <c r="E628" s="5"/>
      <c r="F628" s="6"/>
    </row>
    <row r="629" spans="1:6" x14ac:dyDescent="0.2">
      <c r="A629" s="2">
        <v>628</v>
      </c>
      <c r="B629" s="5"/>
      <c r="C629" s="10" t="str">
        <f>IF(B629="","←停留所idを選択",VLOOKUP(B629,'06停留所'!$B$2:$C$10500,2,0))</f>
        <v>←停留所idを選択</v>
      </c>
      <c r="D629" s="5"/>
      <c r="E629" s="5"/>
      <c r="F629" s="6"/>
    </row>
    <row r="630" spans="1:6" x14ac:dyDescent="0.2">
      <c r="A630" s="2">
        <v>629</v>
      </c>
      <c r="B630" s="5"/>
      <c r="C630" s="10" t="str">
        <f>IF(B630="","←停留所idを選択",VLOOKUP(B630,'06停留所'!$B$2:$C$10500,2,0))</f>
        <v>←停留所idを選択</v>
      </c>
      <c r="D630" s="5"/>
      <c r="E630" s="5"/>
      <c r="F630" s="6"/>
    </row>
    <row r="631" spans="1:6" x14ac:dyDescent="0.2">
      <c r="A631" s="2">
        <v>630</v>
      </c>
      <c r="B631" s="5"/>
      <c r="C631" s="10" t="str">
        <f>IF(B631="","←停留所idを選択",VLOOKUP(B631,'06停留所'!$B$2:$C$10500,2,0))</f>
        <v>←停留所idを選択</v>
      </c>
      <c r="D631" s="5"/>
      <c r="E631" s="5"/>
      <c r="F631" s="6"/>
    </row>
    <row r="632" spans="1:6" x14ac:dyDescent="0.2">
      <c r="A632" s="2">
        <v>631</v>
      </c>
      <c r="B632" s="5"/>
      <c r="C632" s="10" t="str">
        <f>IF(B632="","←停留所idを選択",VLOOKUP(B632,'06停留所'!$B$2:$C$10500,2,0))</f>
        <v>←停留所idを選択</v>
      </c>
      <c r="D632" s="5"/>
      <c r="E632" s="5"/>
      <c r="F632" s="6"/>
    </row>
    <row r="633" spans="1:6" x14ac:dyDescent="0.2">
      <c r="A633" s="2">
        <v>632</v>
      </c>
      <c r="B633" s="5"/>
      <c r="C633" s="10" t="str">
        <f>IF(B633="","←停留所idを選択",VLOOKUP(B633,'06停留所'!$B$2:$C$10500,2,0))</f>
        <v>←停留所idを選択</v>
      </c>
      <c r="D633" s="5"/>
      <c r="E633" s="5"/>
      <c r="F633" s="6"/>
    </row>
    <row r="634" spans="1:6" x14ac:dyDescent="0.2">
      <c r="A634" s="2">
        <v>633</v>
      </c>
      <c r="B634" s="5"/>
      <c r="C634" s="10" t="str">
        <f>IF(B634="","←停留所idを選択",VLOOKUP(B634,'06停留所'!$B$2:$C$10500,2,0))</f>
        <v>←停留所idを選択</v>
      </c>
      <c r="D634" s="5"/>
      <c r="E634" s="5"/>
      <c r="F634" s="6"/>
    </row>
    <row r="635" spans="1:6" x14ac:dyDescent="0.2">
      <c r="A635" s="2">
        <v>634</v>
      </c>
      <c r="B635" s="5"/>
      <c r="C635" s="10" t="str">
        <f>IF(B635="","←停留所idを選択",VLOOKUP(B635,'06停留所'!$B$2:$C$10500,2,0))</f>
        <v>←停留所idを選択</v>
      </c>
      <c r="D635" s="5"/>
      <c r="E635" s="5"/>
      <c r="F635" s="6"/>
    </row>
    <row r="636" spans="1:6" x14ac:dyDescent="0.2">
      <c r="A636" s="2">
        <v>635</v>
      </c>
      <c r="B636" s="5"/>
      <c r="C636" s="10" t="str">
        <f>IF(B636="","←停留所idを選択",VLOOKUP(B636,'06停留所'!$B$2:$C$10500,2,0))</f>
        <v>←停留所idを選択</v>
      </c>
      <c r="D636" s="5"/>
      <c r="E636" s="5"/>
      <c r="F636" s="6"/>
    </row>
    <row r="637" spans="1:6" x14ac:dyDescent="0.2">
      <c r="A637" s="2">
        <v>636</v>
      </c>
      <c r="B637" s="5"/>
      <c r="C637" s="10" t="str">
        <f>IF(B637="","←停留所idを選択",VLOOKUP(B637,'06停留所'!$B$2:$C$10500,2,0))</f>
        <v>←停留所idを選択</v>
      </c>
      <c r="D637" s="5"/>
      <c r="E637" s="5"/>
      <c r="F637" s="6"/>
    </row>
    <row r="638" spans="1:6" x14ac:dyDescent="0.2">
      <c r="A638" s="2">
        <v>637</v>
      </c>
      <c r="B638" s="5"/>
      <c r="C638" s="10" t="str">
        <f>IF(B638="","←停留所idを選択",VLOOKUP(B638,'06停留所'!$B$2:$C$10500,2,0))</f>
        <v>←停留所idを選択</v>
      </c>
      <c r="D638" s="5"/>
      <c r="E638" s="5"/>
      <c r="F638" s="6"/>
    </row>
    <row r="639" spans="1:6" x14ac:dyDescent="0.2">
      <c r="A639" s="2">
        <v>638</v>
      </c>
      <c r="B639" s="5"/>
      <c r="C639" s="10" t="str">
        <f>IF(B639="","←停留所idを選択",VLOOKUP(B639,'06停留所'!$B$2:$C$10500,2,0))</f>
        <v>←停留所idを選択</v>
      </c>
      <c r="D639" s="5"/>
      <c r="E639" s="5"/>
      <c r="F639" s="6"/>
    </row>
    <row r="640" spans="1:6" x14ac:dyDescent="0.2">
      <c r="A640" s="2">
        <v>639</v>
      </c>
      <c r="B640" s="5"/>
      <c r="C640" s="10" t="str">
        <f>IF(B640="","←停留所idを選択",VLOOKUP(B640,'06停留所'!$B$2:$C$10500,2,0))</f>
        <v>←停留所idを選択</v>
      </c>
      <c r="D640" s="5"/>
      <c r="E640" s="5"/>
      <c r="F640" s="6"/>
    </row>
    <row r="641" spans="1:6" x14ac:dyDescent="0.2">
      <c r="A641" s="2">
        <v>640</v>
      </c>
      <c r="B641" s="5"/>
      <c r="C641" s="10" t="str">
        <f>IF(B641="","←停留所idを選択",VLOOKUP(B641,'06停留所'!$B$2:$C$10500,2,0))</f>
        <v>←停留所idを選択</v>
      </c>
      <c r="D641" s="5"/>
      <c r="E641" s="5"/>
      <c r="F641" s="6"/>
    </row>
    <row r="642" spans="1:6" x14ac:dyDescent="0.2">
      <c r="A642" s="2">
        <v>641</v>
      </c>
      <c r="B642" s="5"/>
      <c r="C642" s="10" t="str">
        <f>IF(B642="","←停留所idを選択",VLOOKUP(B642,'06停留所'!$B$2:$C$10500,2,0))</f>
        <v>←停留所idを選択</v>
      </c>
      <c r="D642" s="5"/>
      <c r="E642" s="5"/>
      <c r="F642" s="6"/>
    </row>
    <row r="643" spans="1:6" x14ac:dyDescent="0.2">
      <c r="A643" s="2">
        <v>642</v>
      </c>
      <c r="B643" s="5"/>
      <c r="C643" s="10" t="str">
        <f>IF(B643="","←停留所idを選択",VLOOKUP(B643,'06停留所'!$B$2:$C$10500,2,0))</f>
        <v>←停留所idを選択</v>
      </c>
      <c r="D643" s="5"/>
      <c r="E643" s="5"/>
      <c r="F643" s="6"/>
    </row>
    <row r="644" spans="1:6" x14ac:dyDescent="0.2">
      <c r="A644" s="2">
        <v>643</v>
      </c>
      <c r="B644" s="5"/>
      <c r="C644" s="10" t="str">
        <f>IF(B644="","←停留所idを選択",VLOOKUP(B644,'06停留所'!$B$2:$C$10500,2,0))</f>
        <v>←停留所idを選択</v>
      </c>
      <c r="D644" s="5"/>
      <c r="E644" s="5"/>
      <c r="F644" s="6"/>
    </row>
    <row r="645" spans="1:6" x14ac:dyDescent="0.2">
      <c r="A645" s="2">
        <v>644</v>
      </c>
      <c r="B645" s="5"/>
      <c r="C645" s="10" t="str">
        <f>IF(B645="","←停留所idを選択",VLOOKUP(B645,'06停留所'!$B$2:$C$10500,2,0))</f>
        <v>←停留所idを選択</v>
      </c>
      <c r="D645" s="5"/>
      <c r="E645" s="5"/>
      <c r="F645" s="6"/>
    </row>
    <row r="646" spans="1:6" x14ac:dyDescent="0.2">
      <c r="A646" s="2">
        <v>645</v>
      </c>
      <c r="B646" s="5"/>
      <c r="C646" s="10" t="str">
        <f>IF(B646="","←停留所idを選択",VLOOKUP(B646,'06停留所'!$B$2:$C$10500,2,0))</f>
        <v>←停留所idを選択</v>
      </c>
      <c r="D646" s="5"/>
      <c r="E646" s="5"/>
      <c r="F646" s="6"/>
    </row>
    <row r="647" spans="1:6" x14ac:dyDescent="0.2">
      <c r="A647" s="2">
        <v>646</v>
      </c>
      <c r="B647" s="5"/>
      <c r="C647" s="10" t="str">
        <f>IF(B647="","←停留所idを選択",VLOOKUP(B647,'06停留所'!$B$2:$C$10500,2,0))</f>
        <v>←停留所idを選択</v>
      </c>
      <c r="D647" s="5"/>
      <c r="E647" s="5"/>
      <c r="F647" s="6"/>
    </row>
    <row r="648" spans="1:6" x14ac:dyDescent="0.2">
      <c r="A648" s="2">
        <v>647</v>
      </c>
      <c r="B648" s="5"/>
      <c r="C648" s="10" t="str">
        <f>IF(B648="","←停留所idを選択",VLOOKUP(B648,'06停留所'!$B$2:$C$10500,2,0))</f>
        <v>←停留所idを選択</v>
      </c>
      <c r="D648" s="5"/>
      <c r="E648" s="5"/>
      <c r="F648" s="6"/>
    </row>
    <row r="649" spans="1:6" x14ac:dyDescent="0.2">
      <c r="A649" s="2">
        <v>648</v>
      </c>
      <c r="B649" s="5"/>
      <c r="C649" s="10" t="str">
        <f>IF(B649="","←停留所idを選択",VLOOKUP(B649,'06停留所'!$B$2:$C$10500,2,0))</f>
        <v>←停留所idを選択</v>
      </c>
      <c r="D649" s="5"/>
      <c r="E649" s="5"/>
      <c r="F649" s="6"/>
    </row>
    <row r="650" spans="1:6" x14ac:dyDescent="0.2">
      <c r="A650" s="2">
        <v>649</v>
      </c>
      <c r="B650" s="5"/>
      <c r="C650" s="10" t="str">
        <f>IF(B650="","←停留所idを選択",VLOOKUP(B650,'06停留所'!$B$2:$C$10500,2,0))</f>
        <v>←停留所idを選択</v>
      </c>
      <c r="D650" s="5"/>
      <c r="E650" s="5"/>
      <c r="F650" s="6"/>
    </row>
    <row r="651" spans="1:6" x14ac:dyDescent="0.2">
      <c r="A651" s="2">
        <v>650</v>
      </c>
      <c r="B651" s="5"/>
      <c r="C651" s="10" t="str">
        <f>IF(B651="","←停留所idを選択",VLOOKUP(B651,'06停留所'!$B$2:$C$10500,2,0))</f>
        <v>←停留所idを選択</v>
      </c>
      <c r="D651" s="5"/>
      <c r="E651" s="5"/>
      <c r="F651" s="6"/>
    </row>
    <row r="652" spans="1:6" x14ac:dyDescent="0.2">
      <c r="A652" s="2">
        <v>651</v>
      </c>
      <c r="B652" s="5"/>
      <c r="C652" s="10" t="str">
        <f>IF(B652="","←停留所idを選択",VLOOKUP(B652,'06停留所'!$B$2:$C$10500,2,0))</f>
        <v>←停留所idを選択</v>
      </c>
      <c r="D652" s="5"/>
      <c r="E652" s="5"/>
      <c r="F652" s="6"/>
    </row>
    <row r="653" spans="1:6" x14ac:dyDescent="0.2">
      <c r="A653" s="2">
        <v>652</v>
      </c>
      <c r="B653" s="5"/>
      <c r="C653" s="10" t="str">
        <f>IF(B653="","←停留所idを選択",VLOOKUP(B653,'06停留所'!$B$2:$C$10500,2,0))</f>
        <v>←停留所idを選択</v>
      </c>
      <c r="D653" s="5"/>
      <c r="E653" s="5"/>
      <c r="F653" s="6"/>
    </row>
    <row r="654" spans="1:6" x14ac:dyDescent="0.2">
      <c r="A654" s="2">
        <v>653</v>
      </c>
      <c r="B654" s="5"/>
      <c r="C654" s="10" t="str">
        <f>IF(B654="","←停留所idを選択",VLOOKUP(B654,'06停留所'!$B$2:$C$10500,2,0))</f>
        <v>←停留所idを選択</v>
      </c>
      <c r="D654" s="5"/>
      <c r="E654" s="5"/>
      <c r="F654" s="6"/>
    </row>
    <row r="655" spans="1:6" x14ac:dyDescent="0.2">
      <c r="A655" s="2">
        <v>654</v>
      </c>
      <c r="B655" s="5"/>
      <c r="C655" s="10" t="str">
        <f>IF(B655="","←停留所idを選択",VLOOKUP(B655,'06停留所'!$B$2:$C$10500,2,0))</f>
        <v>←停留所idを選択</v>
      </c>
      <c r="D655" s="5"/>
      <c r="E655" s="5"/>
      <c r="F655" s="6"/>
    </row>
    <row r="656" spans="1:6" x14ac:dyDescent="0.2">
      <c r="A656" s="2">
        <v>655</v>
      </c>
      <c r="B656" s="5"/>
      <c r="C656" s="10" t="str">
        <f>IF(B656="","←停留所idを選択",VLOOKUP(B656,'06停留所'!$B$2:$C$10500,2,0))</f>
        <v>←停留所idを選択</v>
      </c>
      <c r="D656" s="5"/>
      <c r="E656" s="5"/>
      <c r="F656" s="6"/>
    </row>
    <row r="657" spans="1:6" x14ac:dyDescent="0.2">
      <c r="A657" s="2">
        <v>656</v>
      </c>
      <c r="B657" s="5"/>
      <c r="C657" s="10" t="str">
        <f>IF(B657="","←停留所idを選択",VLOOKUP(B657,'06停留所'!$B$2:$C$10500,2,0))</f>
        <v>←停留所idを選択</v>
      </c>
      <c r="D657" s="5"/>
      <c r="E657" s="5"/>
      <c r="F657" s="6"/>
    </row>
    <row r="658" spans="1:6" x14ac:dyDescent="0.2">
      <c r="A658" s="2">
        <v>657</v>
      </c>
      <c r="B658" s="5"/>
      <c r="C658" s="10" t="str">
        <f>IF(B658="","←停留所idを選択",VLOOKUP(B658,'06停留所'!$B$2:$C$10500,2,0))</f>
        <v>←停留所idを選択</v>
      </c>
      <c r="D658" s="5"/>
      <c r="E658" s="5"/>
      <c r="F658" s="6"/>
    </row>
    <row r="659" spans="1:6" x14ac:dyDescent="0.2">
      <c r="A659" s="2">
        <v>658</v>
      </c>
      <c r="B659" s="5"/>
      <c r="C659" s="10" t="str">
        <f>IF(B659="","←停留所idを選択",VLOOKUP(B659,'06停留所'!$B$2:$C$10500,2,0))</f>
        <v>←停留所idを選択</v>
      </c>
      <c r="D659" s="5"/>
      <c r="E659" s="5"/>
      <c r="F659" s="6"/>
    </row>
    <row r="660" spans="1:6" x14ac:dyDescent="0.2">
      <c r="A660" s="2">
        <v>659</v>
      </c>
      <c r="B660" s="5"/>
      <c r="C660" s="10" t="str">
        <f>IF(B660="","←停留所idを選択",VLOOKUP(B660,'06停留所'!$B$2:$C$10500,2,0))</f>
        <v>←停留所idを選択</v>
      </c>
      <c r="D660" s="5"/>
      <c r="E660" s="5"/>
      <c r="F660" s="6"/>
    </row>
    <row r="661" spans="1:6" x14ac:dyDescent="0.2">
      <c r="A661" s="2">
        <v>660</v>
      </c>
      <c r="B661" s="5"/>
      <c r="C661" s="10" t="str">
        <f>IF(B661="","←停留所idを選択",VLOOKUP(B661,'06停留所'!$B$2:$C$10500,2,0))</f>
        <v>←停留所idを選択</v>
      </c>
      <c r="D661" s="5"/>
      <c r="E661" s="5"/>
      <c r="F661" s="6"/>
    </row>
    <row r="662" spans="1:6" x14ac:dyDescent="0.2">
      <c r="A662" s="2">
        <v>661</v>
      </c>
      <c r="B662" s="5"/>
      <c r="C662" s="10" t="str">
        <f>IF(B662="","←停留所idを選択",VLOOKUP(B662,'06停留所'!$B$2:$C$10500,2,0))</f>
        <v>←停留所idを選択</v>
      </c>
      <c r="D662" s="5"/>
      <c r="E662" s="5"/>
      <c r="F662" s="6"/>
    </row>
    <row r="663" spans="1:6" x14ac:dyDescent="0.2">
      <c r="A663" s="2">
        <v>662</v>
      </c>
      <c r="B663" s="5"/>
      <c r="C663" s="10" t="str">
        <f>IF(B663="","←停留所idを選択",VLOOKUP(B663,'06停留所'!$B$2:$C$10500,2,0))</f>
        <v>←停留所idを選択</v>
      </c>
      <c r="D663" s="5"/>
      <c r="E663" s="5"/>
      <c r="F663" s="6"/>
    </row>
    <row r="664" spans="1:6" x14ac:dyDescent="0.2">
      <c r="A664" s="2">
        <v>663</v>
      </c>
      <c r="B664" s="5"/>
      <c r="C664" s="10" t="str">
        <f>IF(B664="","←停留所idを選択",VLOOKUP(B664,'06停留所'!$B$2:$C$10500,2,0))</f>
        <v>←停留所idを選択</v>
      </c>
      <c r="D664" s="5"/>
      <c r="E664" s="5"/>
      <c r="F664" s="6"/>
    </row>
    <row r="665" spans="1:6" x14ac:dyDescent="0.2">
      <c r="A665" s="2">
        <v>664</v>
      </c>
      <c r="B665" s="5"/>
      <c r="C665" s="10" t="str">
        <f>IF(B665="","←停留所idを選択",VLOOKUP(B665,'06停留所'!$B$2:$C$10500,2,0))</f>
        <v>←停留所idを選択</v>
      </c>
      <c r="D665" s="5"/>
      <c r="E665" s="5"/>
      <c r="F665" s="6"/>
    </row>
    <row r="666" spans="1:6" x14ac:dyDescent="0.2">
      <c r="A666" s="2">
        <v>665</v>
      </c>
      <c r="B666" s="5"/>
      <c r="C666" s="10" t="str">
        <f>IF(B666="","←停留所idを選択",VLOOKUP(B666,'06停留所'!$B$2:$C$10500,2,0))</f>
        <v>←停留所idを選択</v>
      </c>
      <c r="D666" s="5"/>
      <c r="E666" s="5"/>
      <c r="F666" s="6"/>
    </row>
    <row r="667" spans="1:6" x14ac:dyDescent="0.2">
      <c r="A667" s="2">
        <v>666</v>
      </c>
      <c r="B667" s="5"/>
      <c r="C667" s="10" t="str">
        <f>IF(B667="","←停留所idを選択",VLOOKUP(B667,'06停留所'!$B$2:$C$10500,2,0))</f>
        <v>←停留所idを選択</v>
      </c>
      <c r="D667" s="5"/>
      <c r="E667" s="5"/>
      <c r="F667" s="6"/>
    </row>
    <row r="668" spans="1:6" x14ac:dyDescent="0.2">
      <c r="A668" s="2">
        <v>667</v>
      </c>
      <c r="B668" s="5"/>
      <c r="C668" s="10" t="str">
        <f>IF(B668="","←停留所idを選択",VLOOKUP(B668,'06停留所'!$B$2:$C$10500,2,0))</f>
        <v>←停留所idを選択</v>
      </c>
      <c r="D668" s="5"/>
      <c r="E668" s="5"/>
      <c r="F668" s="6"/>
    </row>
    <row r="669" spans="1:6" x14ac:dyDescent="0.2">
      <c r="A669" s="2">
        <v>668</v>
      </c>
      <c r="B669" s="5"/>
      <c r="C669" s="10" t="str">
        <f>IF(B669="","←停留所idを選択",VLOOKUP(B669,'06停留所'!$B$2:$C$10500,2,0))</f>
        <v>←停留所idを選択</v>
      </c>
      <c r="D669" s="5"/>
      <c r="E669" s="5"/>
      <c r="F669" s="6"/>
    </row>
    <row r="670" spans="1:6" x14ac:dyDescent="0.2">
      <c r="A670" s="2">
        <v>669</v>
      </c>
      <c r="B670" s="5"/>
      <c r="C670" s="10" t="str">
        <f>IF(B670="","←停留所idを選択",VLOOKUP(B670,'06停留所'!$B$2:$C$10500,2,0))</f>
        <v>←停留所idを選択</v>
      </c>
      <c r="D670" s="5"/>
      <c r="E670" s="5"/>
      <c r="F670" s="6"/>
    </row>
    <row r="671" spans="1:6" x14ac:dyDescent="0.2">
      <c r="A671" s="2">
        <v>670</v>
      </c>
      <c r="B671" s="5"/>
      <c r="C671" s="10" t="str">
        <f>IF(B671="","←停留所idを選択",VLOOKUP(B671,'06停留所'!$B$2:$C$10500,2,0))</f>
        <v>←停留所idを選択</v>
      </c>
      <c r="D671" s="5"/>
      <c r="E671" s="5"/>
      <c r="F671" s="6"/>
    </row>
    <row r="672" spans="1:6" x14ac:dyDescent="0.2">
      <c r="A672" s="2">
        <v>671</v>
      </c>
      <c r="B672" s="5"/>
      <c r="C672" s="10" t="str">
        <f>IF(B672="","←停留所idを選択",VLOOKUP(B672,'06停留所'!$B$2:$C$10500,2,0))</f>
        <v>←停留所idを選択</v>
      </c>
      <c r="D672" s="5"/>
      <c r="E672" s="5"/>
      <c r="F672" s="6"/>
    </row>
    <row r="673" spans="1:6" x14ac:dyDescent="0.2">
      <c r="A673" s="2">
        <v>672</v>
      </c>
      <c r="B673" s="5"/>
      <c r="C673" s="10" t="str">
        <f>IF(B673="","←停留所idを選択",VLOOKUP(B673,'06停留所'!$B$2:$C$10500,2,0))</f>
        <v>←停留所idを選択</v>
      </c>
      <c r="D673" s="5"/>
      <c r="E673" s="5"/>
      <c r="F673" s="6"/>
    </row>
    <row r="674" spans="1:6" x14ac:dyDescent="0.2">
      <c r="A674" s="2">
        <v>673</v>
      </c>
      <c r="B674" s="5"/>
      <c r="C674" s="10" t="str">
        <f>IF(B674="","←停留所idを選択",VLOOKUP(B674,'06停留所'!$B$2:$C$10500,2,0))</f>
        <v>←停留所idを選択</v>
      </c>
      <c r="D674" s="5"/>
      <c r="E674" s="5"/>
      <c r="F674" s="6"/>
    </row>
    <row r="675" spans="1:6" x14ac:dyDescent="0.2">
      <c r="A675" s="2">
        <v>674</v>
      </c>
      <c r="B675" s="5"/>
      <c r="C675" s="10" t="str">
        <f>IF(B675="","←停留所idを選択",VLOOKUP(B675,'06停留所'!$B$2:$C$10500,2,0))</f>
        <v>←停留所idを選択</v>
      </c>
      <c r="D675" s="5"/>
      <c r="E675" s="5"/>
      <c r="F675" s="6"/>
    </row>
    <row r="676" spans="1:6" x14ac:dyDescent="0.2">
      <c r="A676" s="2">
        <v>675</v>
      </c>
      <c r="B676" s="5"/>
      <c r="C676" s="10" t="str">
        <f>IF(B676="","←停留所idを選択",VLOOKUP(B676,'06停留所'!$B$2:$C$10500,2,0))</f>
        <v>←停留所idを選択</v>
      </c>
      <c r="D676" s="5"/>
      <c r="E676" s="5"/>
      <c r="F676" s="6"/>
    </row>
    <row r="677" spans="1:6" x14ac:dyDescent="0.2">
      <c r="A677" s="2">
        <v>676</v>
      </c>
      <c r="B677" s="5"/>
      <c r="C677" s="10" t="str">
        <f>IF(B677="","←停留所idを選択",VLOOKUP(B677,'06停留所'!$B$2:$C$10500,2,0))</f>
        <v>←停留所idを選択</v>
      </c>
      <c r="D677" s="5"/>
      <c r="E677" s="5"/>
      <c r="F677" s="6"/>
    </row>
    <row r="678" spans="1:6" x14ac:dyDescent="0.2">
      <c r="A678" s="2">
        <v>677</v>
      </c>
      <c r="B678" s="5"/>
      <c r="C678" s="10" t="str">
        <f>IF(B678="","←停留所idを選択",VLOOKUP(B678,'06停留所'!$B$2:$C$10500,2,0))</f>
        <v>←停留所idを選択</v>
      </c>
      <c r="D678" s="5"/>
      <c r="E678" s="5"/>
      <c r="F678" s="6"/>
    </row>
    <row r="679" spans="1:6" x14ac:dyDescent="0.2">
      <c r="A679" s="2">
        <v>678</v>
      </c>
      <c r="B679" s="5"/>
      <c r="C679" s="10" t="str">
        <f>IF(B679="","←停留所idを選択",VLOOKUP(B679,'06停留所'!$B$2:$C$10500,2,0))</f>
        <v>←停留所idを選択</v>
      </c>
      <c r="D679" s="5"/>
      <c r="E679" s="5"/>
      <c r="F679" s="6"/>
    </row>
    <row r="680" spans="1:6" x14ac:dyDescent="0.2">
      <c r="A680" s="2">
        <v>679</v>
      </c>
      <c r="B680" s="5"/>
      <c r="C680" s="10" t="str">
        <f>IF(B680="","←停留所idを選択",VLOOKUP(B680,'06停留所'!$B$2:$C$10500,2,0))</f>
        <v>←停留所idを選択</v>
      </c>
      <c r="D680" s="5"/>
      <c r="E680" s="5"/>
      <c r="F680" s="6"/>
    </row>
    <row r="681" spans="1:6" x14ac:dyDescent="0.2">
      <c r="A681" s="2">
        <v>680</v>
      </c>
      <c r="B681" s="5"/>
      <c r="C681" s="10" t="str">
        <f>IF(B681="","←停留所idを選択",VLOOKUP(B681,'06停留所'!$B$2:$C$10500,2,0))</f>
        <v>←停留所idを選択</v>
      </c>
      <c r="D681" s="5"/>
      <c r="E681" s="5"/>
      <c r="F681" s="6"/>
    </row>
    <row r="682" spans="1:6" x14ac:dyDescent="0.2">
      <c r="A682" s="2">
        <v>681</v>
      </c>
      <c r="B682" s="5"/>
      <c r="C682" s="10" t="str">
        <f>IF(B682="","←停留所idを選択",VLOOKUP(B682,'06停留所'!$B$2:$C$10500,2,0))</f>
        <v>←停留所idを選択</v>
      </c>
      <c r="D682" s="5"/>
      <c r="E682" s="5"/>
      <c r="F682" s="6"/>
    </row>
    <row r="683" spans="1:6" x14ac:dyDescent="0.2">
      <c r="A683" s="2">
        <v>682</v>
      </c>
      <c r="B683" s="5"/>
      <c r="C683" s="10" t="str">
        <f>IF(B683="","←停留所idを選択",VLOOKUP(B683,'06停留所'!$B$2:$C$10500,2,0))</f>
        <v>←停留所idを選択</v>
      </c>
      <c r="D683" s="5"/>
      <c r="E683" s="5"/>
      <c r="F683" s="6"/>
    </row>
    <row r="684" spans="1:6" x14ac:dyDescent="0.2">
      <c r="A684" s="2">
        <v>683</v>
      </c>
      <c r="B684" s="5"/>
      <c r="C684" s="10" t="str">
        <f>IF(B684="","←停留所idを選択",VLOOKUP(B684,'06停留所'!$B$2:$C$10500,2,0))</f>
        <v>←停留所idを選択</v>
      </c>
      <c r="D684" s="5"/>
      <c r="E684" s="5"/>
      <c r="F684" s="6"/>
    </row>
    <row r="685" spans="1:6" x14ac:dyDescent="0.2">
      <c r="A685" s="2">
        <v>684</v>
      </c>
      <c r="B685" s="5"/>
      <c r="C685" s="10" t="str">
        <f>IF(B685="","←停留所idを選択",VLOOKUP(B685,'06停留所'!$B$2:$C$10500,2,0))</f>
        <v>←停留所idを選択</v>
      </c>
      <c r="D685" s="5"/>
      <c r="E685" s="5"/>
      <c r="F685" s="6"/>
    </row>
    <row r="686" spans="1:6" x14ac:dyDescent="0.2">
      <c r="A686" s="2">
        <v>685</v>
      </c>
      <c r="B686" s="5"/>
      <c r="C686" s="10" t="str">
        <f>IF(B686="","←停留所idを選択",VLOOKUP(B686,'06停留所'!$B$2:$C$10500,2,0))</f>
        <v>←停留所idを選択</v>
      </c>
      <c r="D686" s="5"/>
      <c r="E686" s="5"/>
      <c r="F686" s="6"/>
    </row>
    <row r="687" spans="1:6" x14ac:dyDescent="0.2">
      <c r="A687" s="2">
        <v>686</v>
      </c>
      <c r="B687" s="5"/>
      <c r="C687" s="10" t="str">
        <f>IF(B687="","←停留所idを選択",VLOOKUP(B687,'06停留所'!$B$2:$C$10500,2,0))</f>
        <v>←停留所idを選択</v>
      </c>
      <c r="D687" s="5"/>
      <c r="E687" s="5"/>
      <c r="F687" s="6"/>
    </row>
    <row r="688" spans="1:6" x14ac:dyDescent="0.2">
      <c r="A688" s="2">
        <v>687</v>
      </c>
      <c r="B688" s="5"/>
      <c r="C688" s="10" t="str">
        <f>IF(B688="","←停留所idを選択",VLOOKUP(B688,'06停留所'!$B$2:$C$10500,2,0))</f>
        <v>←停留所idを選択</v>
      </c>
      <c r="D688" s="5"/>
      <c r="E688" s="5"/>
      <c r="F688" s="6"/>
    </row>
    <row r="689" spans="1:6" x14ac:dyDescent="0.2">
      <c r="A689" s="2">
        <v>688</v>
      </c>
      <c r="B689" s="5"/>
      <c r="C689" s="10" t="str">
        <f>IF(B689="","←停留所idを選択",VLOOKUP(B689,'06停留所'!$B$2:$C$10500,2,0))</f>
        <v>←停留所idを選択</v>
      </c>
      <c r="D689" s="5"/>
      <c r="E689" s="5"/>
      <c r="F689" s="6"/>
    </row>
    <row r="690" spans="1:6" x14ac:dyDescent="0.2">
      <c r="A690" s="2">
        <v>689</v>
      </c>
      <c r="B690" s="5"/>
      <c r="C690" s="10" t="str">
        <f>IF(B690="","←停留所idを選択",VLOOKUP(B690,'06停留所'!$B$2:$C$10500,2,0))</f>
        <v>←停留所idを選択</v>
      </c>
      <c r="D690" s="5"/>
      <c r="E690" s="5"/>
      <c r="F690" s="6"/>
    </row>
    <row r="691" spans="1:6" x14ac:dyDescent="0.2">
      <c r="A691" s="2">
        <v>690</v>
      </c>
      <c r="B691" s="5"/>
      <c r="C691" s="10" t="str">
        <f>IF(B691="","←停留所idを選択",VLOOKUP(B691,'06停留所'!$B$2:$C$10500,2,0))</f>
        <v>←停留所idを選択</v>
      </c>
      <c r="D691" s="5"/>
      <c r="E691" s="5"/>
      <c r="F691" s="6"/>
    </row>
    <row r="692" spans="1:6" x14ac:dyDescent="0.2">
      <c r="A692" s="2">
        <v>691</v>
      </c>
      <c r="B692" s="5"/>
      <c r="C692" s="10" t="str">
        <f>IF(B692="","←停留所idを選択",VLOOKUP(B692,'06停留所'!$B$2:$C$10500,2,0))</f>
        <v>←停留所idを選択</v>
      </c>
      <c r="D692" s="5"/>
      <c r="E692" s="5"/>
      <c r="F692" s="6"/>
    </row>
    <row r="693" spans="1:6" x14ac:dyDescent="0.2">
      <c r="A693" s="2">
        <v>692</v>
      </c>
      <c r="B693" s="5"/>
      <c r="C693" s="10" t="str">
        <f>IF(B693="","←停留所idを選択",VLOOKUP(B693,'06停留所'!$B$2:$C$10500,2,0))</f>
        <v>←停留所idを選択</v>
      </c>
      <c r="D693" s="5"/>
      <c r="E693" s="5"/>
      <c r="F693" s="6"/>
    </row>
    <row r="694" spans="1:6" x14ac:dyDescent="0.2">
      <c r="A694" s="2">
        <v>693</v>
      </c>
      <c r="B694" s="5"/>
      <c r="C694" s="10" t="str">
        <f>IF(B694="","←停留所idを選択",VLOOKUP(B694,'06停留所'!$B$2:$C$10500,2,0))</f>
        <v>←停留所idを選択</v>
      </c>
      <c r="D694" s="5"/>
      <c r="E694" s="5"/>
      <c r="F694" s="6"/>
    </row>
    <row r="695" spans="1:6" x14ac:dyDescent="0.2">
      <c r="A695" s="2">
        <v>694</v>
      </c>
      <c r="B695" s="5"/>
      <c r="C695" s="10" t="str">
        <f>IF(B695="","←停留所idを選択",VLOOKUP(B695,'06停留所'!$B$2:$C$10500,2,0))</f>
        <v>←停留所idを選択</v>
      </c>
      <c r="D695" s="5"/>
      <c r="E695" s="5"/>
      <c r="F695" s="6"/>
    </row>
    <row r="696" spans="1:6" x14ac:dyDescent="0.2">
      <c r="A696" s="2">
        <v>695</v>
      </c>
      <c r="B696" s="5"/>
      <c r="C696" s="10" t="str">
        <f>IF(B696="","←停留所idを選択",VLOOKUP(B696,'06停留所'!$B$2:$C$10500,2,0))</f>
        <v>←停留所idを選択</v>
      </c>
      <c r="D696" s="5"/>
      <c r="E696" s="5"/>
      <c r="F696" s="6"/>
    </row>
    <row r="697" spans="1:6" x14ac:dyDescent="0.2">
      <c r="A697" s="2">
        <v>696</v>
      </c>
      <c r="B697" s="5"/>
      <c r="C697" s="10" t="str">
        <f>IF(B697="","←停留所idを選択",VLOOKUP(B697,'06停留所'!$B$2:$C$10500,2,0))</f>
        <v>←停留所idを選択</v>
      </c>
      <c r="D697" s="5"/>
      <c r="E697" s="5"/>
      <c r="F697" s="6"/>
    </row>
    <row r="698" spans="1:6" x14ac:dyDescent="0.2">
      <c r="A698" s="2">
        <v>697</v>
      </c>
      <c r="B698" s="5"/>
      <c r="C698" s="10" t="str">
        <f>IF(B698="","←停留所idを選択",VLOOKUP(B698,'06停留所'!$B$2:$C$10500,2,0))</f>
        <v>←停留所idを選択</v>
      </c>
      <c r="D698" s="5"/>
      <c r="E698" s="5"/>
      <c r="F698" s="6"/>
    </row>
    <row r="699" spans="1:6" x14ac:dyDescent="0.2">
      <c r="A699" s="2">
        <v>698</v>
      </c>
      <c r="B699" s="5"/>
      <c r="C699" s="10" t="str">
        <f>IF(B699="","←停留所idを選択",VLOOKUP(B699,'06停留所'!$B$2:$C$10500,2,0))</f>
        <v>←停留所idを選択</v>
      </c>
      <c r="D699" s="5"/>
      <c r="E699" s="5"/>
      <c r="F699" s="6"/>
    </row>
    <row r="700" spans="1:6" x14ac:dyDescent="0.2">
      <c r="A700" s="2">
        <v>699</v>
      </c>
      <c r="B700" s="5"/>
      <c r="C700" s="10" t="str">
        <f>IF(B700="","←停留所idを選択",VLOOKUP(B700,'06停留所'!$B$2:$C$10500,2,0))</f>
        <v>←停留所idを選択</v>
      </c>
      <c r="D700" s="5"/>
      <c r="E700" s="5"/>
      <c r="F700" s="6"/>
    </row>
    <row r="701" spans="1:6" x14ac:dyDescent="0.2">
      <c r="A701" s="2">
        <v>700</v>
      </c>
      <c r="B701" s="5"/>
      <c r="C701" s="10" t="str">
        <f>IF(B701="","←停留所idを選択",VLOOKUP(B701,'06停留所'!$B$2:$C$10500,2,0))</f>
        <v>←停留所idを選択</v>
      </c>
      <c r="D701" s="5"/>
      <c r="E701" s="5"/>
      <c r="F701" s="6"/>
    </row>
    <row r="702" spans="1:6" x14ac:dyDescent="0.2">
      <c r="A702" s="2">
        <v>701</v>
      </c>
      <c r="B702" s="5"/>
      <c r="C702" s="10" t="str">
        <f>IF(B702="","←停留所idを選択",VLOOKUP(B702,'06停留所'!$B$2:$C$10500,2,0))</f>
        <v>←停留所idを選択</v>
      </c>
      <c r="D702" s="5"/>
      <c r="E702" s="5"/>
      <c r="F702" s="6"/>
    </row>
    <row r="703" spans="1:6" x14ac:dyDescent="0.2">
      <c r="A703" s="2">
        <v>702</v>
      </c>
      <c r="B703" s="5"/>
      <c r="C703" s="10" t="str">
        <f>IF(B703="","←停留所idを選択",VLOOKUP(B703,'06停留所'!$B$2:$C$10500,2,0))</f>
        <v>←停留所idを選択</v>
      </c>
      <c r="D703" s="5"/>
      <c r="E703" s="5"/>
      <c r="F703" s="6"/>
    </row>
    <row r="704" spans="1:6" x14ac:dyDescent="0.2">
      <c r="A704" s="2">
        <v>703</v>
      </c>
      <c r="B704" s="5"/>
      <c r="C704" s="10" t="str">
        <f>IF(B704="","←停留所idを選択",VLOOKUP(B704,'06停留所'!$B$2:$C$10500,2,0))</f>
        <v>←停留所idを選択</v>
      </c>
      <c r="D704" s="5"/>
      <c r="E704" s="5"/>
      <c r="F704" s="6"/>
    </row>
    <row r="705" spans="1:6" x14ac:dyDescent="0.2">
      <c r="A705" s="2">
        <v>704</v>
      </c>
      <c r="B705" s="5"/>
      <c r="C705" s="10" t="str">
        <f>IF(B705="","←停留所idを選択",VLOOKUP(B705,'06停留所'!$B$2:$C$10500,2,0))</f>
        <v>←停留所idを選択</v>
      </c>
      <c r="D705" s="5"/>
      <c r="E705" s="5"/>
      <c r="F705" s="6"/>
    </row>
    <row r="706" spans="1:6" x14ac:dyDescent="0.2">
      <c r="A706" s="2">
        <v>705</v>
      </c>
      <c r="B706" s="5"/>
      <c r="C706" s="10" t="str">
        <f>IF(B706="","←停留所idを選択",VLOOKUP(B706,'06停留所'!$B$2:$C$10500,2,0))</f>
        <v>←停留所idを選択</v>
      </c>
      <c r="D706" s="5"/>
      <c r="E706" s="5"/>
      <c r="F706" s="6"/>
    </row>
    <row r="707" spans="1:6" x14ac:dyDescent="0.2">
      <c r="A707" s="2">
        <v>706</v>
      </c>
      <c r="B707" s="5"/>
      <c r="C707" s="10" t="str">
        <f>IF(B707="","←停留所idを選択",VLOOKUP(B707,'06停留所'!$B$2:$C$10500,2,0))</f>
        <v>←停留所idを選択</v>
      </c>
      <c r="D707" s="5"/>
      <c r="E707" s="5"/>
      <c r="F707" s="6"/>
    </row>
    <row r="708" spans="1:6" x14ac:dyDescent="0.2">
      <c r="A708" s="2">
        <v>707</v>
      </c>
      <c r="B708" s="5"/>
      <c r="C708" s="10" t="str">
        <f>IF(B708="","←停留所idを選択",VLOOKUP(B708,'06停留所'!$B$2:$C$10500,2,0))</f>
        <v>←停留所idを選択</v>
      </c>
      <c r="D708" s="5"/>
      <c r="E708" s="5"/>
      <c r="F708" s="6"/>
    </row>
    <row r="709" spans="1:6" x14ac:dyDescent="0.2">
      <c r="A709" s="2">
        <v>708</v>
      </c>
      <c r="B709" s="5"/>
      <c r="C709" s="10" t="str">
        <f>IF(B709="","←停留所idを選択",VLOOKUP(B709,'06停留所'!$B$2:$C$10500,2,0))</f>
        <v>←停留所idを選択</v>
      </c>
      <c r="D709" s="5"/>
      <c r="E709" s="5"/>
      <c r="F709" s="6"/>
    </row>
    <row r="710" spans="1:6" x14ac:dyDescent="0.2">
      <c r="A710" s="2">
        <v>709</v>
      </c>
      <c r="B710" s="5"/>
      <c r="C710" s="10" t="str">
        <f>IF(B710="","←停留所idを選択",VLOOKUP(B710,'06停留所'!$B$2:$C$10500,2,0))</f>
        <v>←停留所idを選択</v>
      </c>
      <c r="D710" s="5"/>
      <c r="E710" s="5"/>
      <c r="F710" s="6"/>
    </row>
    <row r="711" spans="1:6" x14ac:dyDescent="0.2">
      <c r="A711" s="2">
        <v>710</v>
      </c>
      <c r="B711" s="5"/>
      <c r="C711" s="10" t="str">
        <f>IF(B711="","←停留所idを選択",VLOOKUP(B711,'06停留所'!$B$2:$C$10500,2,0))</f>
        <v>←停留所idを選択</v>
      </c>
      <c r="D711" s="5"/>
      <c r="E711" s="5"/>
      <c r="F711" s="6"/>
    </row>
    <row r="712" spans="1:6" x14ac:dyDescent="0.2">
      <c r="A712" s="2">
        <v>711</v>
      </c>
      <c r="B712" s="5"/>
      <c r="C712" s="10" t="str">
        <f>IF(B712="","←停留所idを選択",VLOOKUP(B712,'06停留所'!$B$2:$C$10500,2,0))</f>
        <v>←停留所idを選択</v>
      </c>
      <c r="D712" s="5"/>
      <c r="E712" s="5"/>
      <c r="F712" s="6"/>
    </row>
    <row r="713" spans="1:6" x14ac:dyDescent="0.2">
      <c r="A713" s="2">
        <v>712</v>
      </c>
      <c r="B713" s="5"/>
      <c r="C713" s="10" t="str">
        <f>IF(B713="","←停留所idを選択",VLOOKUP(B713,'06停留所'!$B$2:$C$10500,2,0))</f>
        <v>←停留所idを選択</v>
      </c>
      <c r="D713" s="5"/>
      <c r="E713" s="5"/>
      <c r="F713" s="6"/>
    </row>
    <row r="714" spans="1:6" x14ac:dyDescent="0.2">
      <c r="A714" s="2">
        <v>713</v>
      </c>
      <c r="B714" s="5"/>
      <c r="C714" s="10" t="str">
        <f>IF(B714="","←停留所idを選択",VLOOKUP(B714,'06停留所'!$B$2:$C$10500,2,0))</f>
        <v>←停留所idを選択</v>
      </c>
      <c r="D714" s="5"/>
      <c r="E714" s="5"/>
      <c r="F714" s="6"/>
    </row>
    <row r="715" spans="1:6" x14ac:dyDescent="0.2">
      <c r="A715" s="2">
        <v>714</v>
      </c>
      <c r="B715" s="5"/>
      <c r="C715" s="10" t="str">
        <f>IF(B715="","←停留所idを選択",VLOOKUP(B715,'06停留所'!$B$2:$C$10500,2,0))</f>
        <v>←停留所idを選択</v>
      </c>
      <c r="D715" s="5"/>
      <c r="E715" s="5"/>
      <c r="F715" s="6"/>
    </row>
    <row r="716" spans="1:6" x14ac:dyDescent="0.2">
      <c r="A716" s="2">
        <v>715</v>
      </c>
      <c r="B716" s="5"/>
      <c r="C716" s="10" t="str">
        <f>IF(B716="","←停留所idを選択",VLOOKUP(B716,'06停留所'!$B$2:$C$10500,2,0))</f>
        <v>←停留所idを選択</v>
      </c>
      <c r="D716" s="5"/>
      <c r="E716" s="5"/>
      <c r="F716" s="6"/>
    </row>
    <row r="717" spans="1:6" x14ac:dyDescent="0.2">
      <c r="A717" s="2">
        <v>716</v>
      </c>
      <c r="B717" s="5"/>
      <c r="C717" s="10" t="str">
        <f>IF(B717="","←停留所idを選択",VLOOKUP(B717,'06停留所'!$B$2:$C$10500,2,0))</f>
        <v>←停留所idを選択</v>
      </c>
      <c r="D717" s="5"/>
      <c r="E717" s="5"/>
      <c r="F717" s="6"/>
    </row>
    <row r="718" spans="1:6" x14ac:dyDescent="0.2">
      <c r="A718" s="2">
        <v>717</v>
      </c>
      <c r="B718" s="5"/>
      <c r="C718" s="10" t="str">
        <f>IF(B718="","←停留所idを選択",VLOOKUP(B718,'06停留所'!$B$2:$C$10500,2,0))</f>
        <v>←停留所idを選択</v>
      </c>
      <c r="D718" s="5"/>
      <c r="E718" s="5"/>
      <c r="F718" s="6"/>
    </row>
    <row r="719" spans="1:6" x14ac:dyDescent="0.2">
      <c r="A719" s="2">
        <v>718</v>
      </c>
      <c r="B719" s="5"/>
      <c r="C719" s="10" t="str">
        <f>IF(B719="","←停留所idを選択",VLOOKUP(B719,'06停留所'!$B$2:$C$10500,2,0))</f>
        <v>←停留所idを選択</v>
      </c>
      <c r="D719" s="5"/>
      <c r="E719" s="5"/>
      <c r="F719" s="6"/>
    </row>
    <row r="720" spans="1:6" x14ac:dyDescent="0.2">
      <c r="A720" s="2">
        <v>719</v>
      </c>
      <c r="B720" s="5"/>
      <c r="C720" s="10" t="str">
        <f>IF(B720="","←停留所idを選択",VLOOKUP(B720,'06停留所'!$B$2:$C$10500,2,0))</f>
        <v>←停留所idを選択</v>
      </c>
      <c r="D720" s="5"/>
      <c r="E720" s="5"/>
      <c r="F720" s="6"/>
    </row>
    <row r="721" spans="1:6" x14ac:dyDescent="0.2">
      <c r="A721" s="2">
        <v>720</v>
      </c>
      <c r="B721" s="5"/>
      <c r="C721" s="10" t="str">
        <f>IF(B721="","←停留所idを選択",VLOOKUP(B721,'06停留所'!$B$2:$C$10500,2,0))</f>
        <v>←停留所idを選択</v>
      </c>
      <c r="D721" s="5"/>
      <c r="E721" s="5"/>
      <c r="F721" s="6"/>
    </row>
    <row r="722" spans="1:6" x14ac:dyDescent="0.2">
      <c r="A722" s="2">
        <v>721</v>
      </c>
      <c r="B722" s="5"/>
      <c r="C722" s="10" t="str">
        <f>IF(B722="","←停留所idを選択",VLOOKUP(B722,'06停留所'!$B$2:$C$10500,2,0))</f>
        <v>←停留所idを選択</v>
      </c>
      <c r="D722" s="5"/>
      <c r="E722" s="5"/>
      <c r="F722" s="6"/>
    </row>
    <row r="723" spans="1:6" x14ac:dyDescent="0.2">
      <c r="A723" s="2">
        <v>722</v>
      </c>
      <c r="B723" s="5"/>
      <c r="C723" s="10" t="str">
        <f>IF(B723="","←停留所idを選択",VLOOKUP(B723,'06停留所'!$B$2:$C$10500,2,0))</f>
        <v>←停留所idを選択</v>
      </c>
      <c r="D723" s="5"/>
      <c r="E723" s="5"/>
      <c r="F723" s="6"/>
    </row>
    <row r="724" spans="1:6" x14ac:dyDescent="0.2">
      <c r="A724" s="2">
        <v>723</v>
      </c>
      <c r="B724" s="5"/>
      <c r="C724" s="10" t="str">
        <f>IF(B724="","←停留所idを選択",VLOOKUP(B724,'06停留所'!$B$2:$C$10500,2,0))</f>
        <v>←停留所idを選択</v>
      </c>
      <c r="D724" s="5"/>
      <c r="E724" s="5"/>
      <c r="F724" s="6"/>
    </row>
    <row r="725" spans="1:6" x14ac:dyDescent="0.2">
      <c r="A725" s="2">
        <v>724</v>
      </c>
      <c r="B725" s="5"/>
      <c r="C725" s="10" t="str">
        <f>IF(B725="","←停留所idを選択",VLOOKUP(B725,'06停留所'!$B$2:$C$10500,2,0))</f>
        <v>←停留所idを選択</v>
      </c>
      <c r="D725" s="5"/>
      <c r="E725" s="5"/>
      <c r="F725" s="6"/>
    </row>
    <row r="726" spans="1:6" x14ac:dyDescent="0.2">
      <c r="A726" s="2">
        <v>725</v>
      </c>
      <c r="B726" s="5"/>
      <c r="C726" s="10" t="str">
        <f>IF(B726="","←停留所idを選択",VLOOKUP(B726,'06停留所'!$B$2:$C$10500,2,0))</f>
        <v>←停留所idを選択</v>
      </c>
      <c r="D726" s="5"/>
      <c r="E726" s="5"/>
      <c r="F726" s="6"/>
    </row>
    <row r="727" spans="1:6" x14ac:dyDescent="0.2">
      <c r="A727" s="2">
        <v>726</v>
      </c>
      <c r="B727" s="5"/>
      <c r="C727" s="10" t="str">
        <f>IF(B727="","←停留所idを選択",VLOOKUP(B727,'06停留所'!$B$2:$C$10500,2,0))</f>
        <v>←停留所idを選択</v>
      </c>
      <c r="D727" s="5"/>
      <c r="E727" s="5"/>
      <c r="F727" s="6"/>
    </row>
    <row r="728" spans="1:6" x14ac:dyDescent="0.2">
      <c r="A728" s="2">
        <v>727</v>
      </c>
      <c r="B728" s="5"/>
      <c r="C728" s="10" t="str">
        <f>IF(B728="","←停留所idを選択",VLOOKUP(B728,'06停留所'!$B$2:$C$10500,2,0))</f>
        <v>←停留所idを選択</v>
      </c>
      <c r="D728" s="5"/>
      <c r="E728" s="5"/>
      <c r="F728" s="6"/>
    </row>
    <row r="729" spans="1:6" x14ac:dyDescent="0.2">
      <c r="A729" s="2">
        <v>728</v>
      </c>
      <c r="B729" s="5"/>
      <c r="C729" s="10" t="str">
        <f>IF(B729="","←停留所idを選択",VLOOKUP(B729,'06停留所'!$B$2:$C$10500,2,0))</f>
        <v>←停留所idを選択</v>
      </c>
      <c r="D729" s="5"/>
      <c r="E729" s="5"/>
      <c r="F729" s="6"/>
    </row>
    <row r="730" spans="1:6" x14ac:dyDescent="0.2">
      <c r="A730" s="2">
        <v>729</v>
      </c>
      <c r="B730" s="5"/>
      <c r="C730" s="10" t="str">
        <f>IF(B730="","←停留所idを選択",VLOOKUP(B730,'06停留所'!$B$2:$C$10500,2,0))</f>
        <v>←停留所idを選択</v>
      </c>
      <c r="D730" s="5"/>
      <c r="E730" s="5"/>
      <c r="F730" s="6"/>
    </row>
    <row r="731" spans="1:6" x14ac:dyDescent="0.2">
      <c r="A731" s="2">
        <v>730</v>
      </c>
      <c r="B731" s="5"/>
      <c r="C731" s="10" t="str">
        <f>IF(B731="","←停留所idを選択",VLOOKUP(B731,'06停留所'!$B$2:$C$10500,2,0))</f>
        <v>←停留所idを選択</v>
      </c>
      <c r="D731" s="5"/>
      <c r="E731" s="5"/>
      <c r="F731" s="6"/>
    </row>
    <row r="732" spans="1:6" x14ac:dyDescent="0.2">
      <c r="A732" s="2">
        <v>731</v>
      </c>
      <c r="B732" s="5"/>
      <c r="C732" s="10" t="str">
        <f>IF(B732="","←停留所idを選択",VLOOKUP(B732,'06停留所'!$B$2:$C$10500,2,0))</f>
        <v>←停留所idを選択</v>
      </c>
      <c r="D732" s="5"/>
      <c r="E732" s="5"/>
      <c r="F732" s="6"/>
    </row>
    <row r="733" spans="1:6" x14ac:dyDescent="0.2">
      <c r="A733" s="2">
        <v>732</v>
      </c>
      <c r="B733" s="5"/>
      <c r="C733" s="10" t="str">
        <f>IF(B733="","←停留所idを選択",VLOOKUP(B733,'06停留所'!$B$2:$C$10500,2,0))</f>
        <v>←停留所idを選択</v>
      </c>
      <c r="D733" s="5"/>
      <c r="E733" s="5"/>
      <c r="F733" s="6"/>
    </row>
    <row r="734" spans="1:6" x14ac:dyDescent="0.2">
      <c r="A734" s="2">
        <v>733</v>
      </c>
      <c r="B734" s="5"/>
      <c r="C734" s="10" t="str">
        <f>IF(B734="","←停留所idを選択",VLOOKUP(B734,'06停留所'!$B$2:$C$10500,2,0))</f>
        <v>←停留所idを選択</v>
      </c>
      <c r="D734" s="5"/>
      <c r="E734" s="5"/>
      <c r="F734" s="6"/>
    </row>
    <row r="735" spans="1:6" x14ac:dyDescent="0.2">
      <c r="A735" s="2">
        <v>734</v>
      </c>
      <c r="B735" s="5"/>
      <c r="C735" s="10" t="str">
        <f>IF(B735="","←停留所idを選択",VLOOKUP(B735,'06停留所'!$B$2:$C$10500,2,0))</f>
        <v>←停留所idを選択</v>
      </c>
      <c r="D735" s="5"/>
      <c r="E735" s="5"/>
      <c r="F735" s="6"/>
    </row>
    <row r="736" spans="1:6" x14ac:dyDescent="0.2">
      <c r="A736" s="2">
        <v>735</v>
      </c>
      <c r="B736" s="5"/>
      <c r="C736" s="10" t="str">
        <f>IF(B736="","←停留所idを選択",VLOOKUP(B736,'06停留所'!$B$2:$C$10500,2,0))</f>
        <v>←停留所idを選択</v>
      </c>
      <c r="D736" s="5"/>
      <c r="E736" s="5"/>
      <c r="F736" s="6"/>
    </row>
    <row r="737" spans="1:6" x14ac:dyDescent="0.2">
      <c r="A737" s="2">
        <v>736</v>
      </c>
      <c r="B737" s="5"/>
      <c r="C737" s="10" t="str">
        <f>IF(B737="","←停留所idを選択",VLOOKUP(B737,'06停留所'!$B$2:$C$10500,2,0))</f>
        <v>←停留所idを選択</v>
      </c>
      <c r="D737" s="5"/>
      <c r="E737" s="5"/>
      <c r="F737" s="6"/>
    </row>
    <row r="738" spans="1:6" x14ac:dyDescent="0.2">
      <c r="A738" s="2">
        <v>737</v>
      </c>
      <c r="B738" s="5"/>
      <c r="C738" s="10" t="str">
        <f>IF(B738="","←停留所idを選択",VLOOKUP(B738,'06停留所'!$B$2:$C$10500,2,0))</f>
        <v>←停留所idを選択</v>
      </c>
      <c r="D738" s="5"/>
      <c r="E738" s="5"/>
      <c r="F738" s="6"/>
    </row>
    <row r="739" spans="1:6" x14ac:dyDescent="0.2">
      <c r="A739" s="2">
        <v>738</v>
      </c>
      <c r="B739" s="5"/>
      <c r="C739" s="10" t="str">
        <f>IF(B739="","←停留所idを選択",VLOOKUP(B739,'06停留所'!$B$2:$C$10500,2,0))</f>
        <v>←停留所idを選択</v>
      </c>
      <c r="D739" s="5"/>
      <c r="E739" s="5"/>
      <c r="F739" s="6"/>
    </row>
    <row r="740" spans="1:6" x14ac:dyDescent="0.2">
      <c r="A740" s="2">
        <v>739</v>
      </c>
      <c r="B740" s="5"/>
      <c r="C740" s="10" t="str">
        <f>IF(B740="","←停留所idを選択",VLOOKUP(B740,'06停留所'!$B$2:$C$10500,2,0))</f>
        <v>←停留所idを選択</v>
      </c>
      <c r="D740" s="5"/>
      <c r="E740" s="5"/>
      <c r="F740" s="6"/>
    </row>
    <row r="741" spans="1:6" x14ac:dyDescent="0.2">
      <c r="A741" s="2">
        <v>740</v>
      </c>
      <c r="B741" s="5"/>
      <c r="C741" s="10" t="str">
        <f>IF(B741="","←停留所idを選択",VLOOKUP(B741,'06停留所'!$B$2:$C$10500,2,0))</f>
        <v>←停留所idを選択</v>
      </c>
      <c r="D741" s="5"/>
      <c r="E741" s="5"/>
      <c r="F741" s="6"/>
    </row>
    <row r="742" spans="1:6" x14ac:dyDescent="0.2">
      <c r="A742" s="2">
        <v>741</v>
      </c>
      <c r="B742" s="5"/>
      <c r="C742" s="10" t="str">
        <f>IF(B742="","←停留所idを選択",VLOOKUP(B742,'06停留所'!$B$2:$C$10500,2,0))</f>
        <v>←停留所idを選択</v>
      </c>
      <c r="D742" s="5"/>
      <c r="E742" s="5"/>
      <c r="F742" s="6"/>
    </row>
    <row r="743" spans="1:6" x14ac:dyDescent="0.2">
      <c r="A743" s="2">
        <v>742</v>
      </c>
      <c r="B743" s="5"/>
      <c r="C743" s="10" t="str">
        <f>IF(B743="","←停留所idを選択",VLOOKUP(B743,'06停留所'!$B$2:$C$10500,2,0))</f>
        <v>←停留所idを選択</v>
      </c>
      <c r="D743" s="5"/>
      <c r="E743" s="5"/>
      <c r="F743" s="6"/>
    </row>
    <row r="744" spans="1:6" x14ac:dyDescent="0.2">
      <c r="A744" s="2">
        <v>743</v>
      </c>
      <c r="B744" s="5"/>
      <c r="C744" s="10" t="str">
        <f>IF(B744="","←停留所idを選択",VLOOKUP(B744,'06停留所'!$B$2:$C$10500,2,0))</f>
        <v>←停留所idを選択</v>
      </c>
      <c r="D744" s="5"/>
      <c r="E744" s="5"/>
      <c r="F744" s="6"/>
    </row>
    <row r="745" spans="1:6" x14ac:dyDescent="0.2">
      <c r="A745" s="2">
        <v>744</v>
      </c>
      <c r="B745" s="5"/>
      <c r="C745" s="10" t="str">
        <f>IF(B745="","←停留所idを選択",VLOOKUP(B745,'06停留所'!$B$2:$C$10500,2,0))</f>
        <v>←停留所idを選択</v>
      </c>
      <c r="D745" s="5"/>
      <c r="E745" s="5"/>
      <c r="F745" s="6"/>
    </row>
    <row r="746" spans="1:6" x14ac:dyDescent="0.2">
      <c r="A746" s="2">
        <v>745</v>
      </c>
      <c r="B746" s="5"/>
      <c r="C746" s="10" t="str">
        <f>IF(B746="","←停留所idを選択",VLOOKUP(B746,'06停留所'!$B$2:$C$10500,2,0))</f>
        <v>←停留所idを選択</v>
      </c>
      <c r="D746" s="5"/>
      <c r="E746" s="5"/>
      <c r="F746" s="6"/>
    </row>
    <row r="747" spans="1:6" x14ac:dyDescent="0.2">
      <c r="A747" s="2">
        <v>746</v>
      </c>
      <c r="B747" s="5"/>
      <c r="C747" s="10" t="str">
        <f>IF(B747="","←停留所idを選択",VLOOKUP(B747,'06停留所'!$B$2:$C$10500,2,0))</f>
        <v>←停留所idを選択</v>
      </c>
      <c r="D747" s="5"/>
      <c r="E747" s="5"/>
      <c r="F747" s="6"/>
    </row>
    <row r="748" spans="1:6" x14ac:dyDescent="0.2">
      <c r="A748" s="2">
        <v>747</v>
      </c>
      <c r="B748" s="5"/>
      <c r="C748" s="10" t="str">
        <f>IF(B748="","←停留所idを選択",VLOOKUP(B748,'06停留所'!$B$2:$C$10500,2,0))</f>
        <v>←停留所idを選択</v>
      </c>
      <c r="D748" s="5"/>
      <c r="E748" s="5"/>
      <c r="F748" s="6"/>
    </row>
    <row r="749" spans="1:6" x14ac:dyDescent="0.2">
      <c r="A749" s="2">
        <v>748</v>
      </c>
      <c r="B749" s="5"/>
      <c r="C749" s="10" t="str">
        <f>IF(B749="","←停留所idを選択",VLOOKUP(B749,'06停留所'!$B$2:$C$10500,2,0))</f>
        <v>←停留所idを選択</v>
      </c>
      <c r="D749" s="5"/>
      <c r="E749" s="5"/>
      <c r="F749" s="6"/>
    </row>
    <row r="750" spans="1:6" x14ac:dyDescent="0.2">
      <c r="A750" s="2">
        <v>749</v>
      </c>
      <c r="B750" s="5"/>
      <c r="C750" s="10" t="str">
        <f>IF(B750="","←停留所idを選択",VLOOKUP(B750,'06停留所'!$B$2:$C$10500,2,0))</f>
        <v>←停留所idを選択</v>
      </c>
      <c r="D750" s="5"/>
      <c r="E750" s="5"/>
      <c r="F750" s="6"/>
    </row>
    <row r="751" spans="1:6" x14ac:dyDescent="0.2">
      <c r="A751" s="2">
        <v>750</v>
      </c>
      <c r="B751" s="5"/>
      <c r="C751" s="10" t="str">
        <f>IF(B751="","←停留所idを選択",VLOOKUP(B751,'06停留所'!$B$2:$C$10500,2,0))</f>
        <v>←停留所idを選択</v>
      </c>
      <c r="D751" s="5"/>
      <c r="E751" s="5"/>
      <c r="F751" s="6"/>
    </row>
    <row r="752" spans="1:6" x14ac:dyDescent="0.2">
      <c r="A752" s="2">
        <v>751</v>
      </c>
      <c r="B752" s="5"/>
      <c r="C752" s="10" t="str">
        <f>IF(B752="","←停留所idを選択",VLOOKUP(B752,'06停留所'!$B$2:$C$10500,2,0))</f>
        <v>←停留所idを選択</v>
      </c>
      <c r="D752" s="5"/>
      <c r="E752" s="5"/>
      <c r="F752" s="6"/>
    </row>
    <row r="753" spans="1:6" x14ac:dyDescent="0.2">
      <c r="A753" s="2">
        <v>752</v>
      </c>
      <c r="B753" s="5"/>
      <c r="C753" s="10" t="str">
        <f>IF(B753="","←停留所idを選択",VLOOKUP(B753,'06停留所'!$B$2:$C$10500,2,0))</f>
        <v>←停留所idを選択</v>
      </c>
      <c r="D753" s="5"/>
      <c r="E753" s="5"/>
      <c r="F753" s="6"/>
    </row>
    <row r="754" spans="1:6" x14ac:dyDescent="0.2">
      <c r="A754" s="2">
        <v>753</v>
      </c>
      <c r="B754" s="5"/>
      <c r="C754" s="10" t="str">
        <f>IF(B754="","←停留所idを選択",VLOOKUP(B754,'06停留所'!$B$2:$C$10500,2,0))</f>
        <v>←停留所idを選択</v>
      </c>
      <c r="D754" s="5"/>
      <c r="E754" s="5"/>
      <c r="F754" s="6"/>
    </row>
    <row r="755" spans="1:6" x14ac:dyDescent="0.2">
      <c r="A755" s="2">
        <v>754</v>
      </c>
      <c r="B755" s="5"/>
      <c r="C755" s="10" t="str">
        <f>IF(B755="","←停留所idを選択",VLOOKUP(B755,'06停留所'!$B$2:$C$10500,2,0))</f>
        <v>←停留所idを選択</v>
      </c>
      <c r="D755" s="5"/>
      <c r="E755" s="5"/>
      <c r="F755" s="6"/>
    </row>
    <row r="756" spans="1:6" x14ac:dyDescent="0.2">
      <c r="A756" s="2">
        <v>755</v>
      </c>
      <c r="B756" s="5"/>
      <c r="C756" s="10" t="str">
        <f>IF(B756="","←停留所idを選択",VLOOKUP(B756,'06停留所'!$B$2:$C$10500,2,0))</f>
        <v>←停留所idを選択</v>
      </c>
      <c r="D756" s="5"/>
      <c r="E756" s="5"/>
      <c r="F756" s="6"/>
    </row>
    <row r="757" spans="1:6" x14ac:dyDescent="0.2">
      <c r="A757" s="2">
        <v>756</v>
      </c>
      <c r="B757" s="5"/>
      <c r="C757" s="10" t="str">
        <f>IF(B757="","←停留所idを選択",VLOOKUP(B757,'06停留所'!$B$2:$C$10500,2,0))</f>
        <v>←停留所idを選択</v>
      </c>
      <c r="D757" s="5"/>
      <c r="E757" s="5"/>
      <c r="F757" s="6"/>
    </row>
    <row r="758" spans="1:6" x14ac:dyDescent="0.2">
      <c r="A758" s="2">
        <v>757</v>
      </c>
      <c r="B758" s="5"/>
      <c r="C758" s="10" t="str">
        <f>IF(B758="","←停留所idを選択",VLOOKUP(B758,'06停留所'!$B$2:$C$10500,2,0))</f>
        <v>←停留所idを選択</v>
      </c>
      <c r="D758" s="5"/>
      <c r="E758" s="5"/>
      <c r="F758" s="6"/>
    </row>
    <row r="759" spans="1:6" x14ac:dyDescent="0.2">
      <c r="A759" s="2">
        <v>758</v>
      </c>
      <c r="B759" s="5"/>
      <c r="C759" s="10" t="str">
        <f>IF(B759="","←停留所idを選択",VLOOKUP(B759,'06停留所'!$B$2:$C$10500,2,0))</f>
        <v>←停留所idを選択</v>
      </c>
      <c r="D759" s="5"/>
      <c r="E759" s="5"/>
      <c r="F759" s="6"/>
    </row>
    <row r="760" spans="1:6" x14ac:dyDescent="0.2">
      <c r="A760" s="2">
        <v>759</v>
      </c>
      <c r="B760" s="5"/>
      <c r="C760" s="10" t="str">
        <f>IF(B760="","←停留所idを選択",VLOOKUP(B760,'06停留所'!$B$2:$C$10500,2,0))</f>
        <v>←停留所idを選択</v>
      </c>
      <c r="D760" s="5"/>
      <c r="E760" s="5"/>
      <c r="F760" s="6"/>
    </row>
    <row r="761" spans="1:6" x14ac:dyDescent="0.2">
      <c r="A761" s="2">
        <v>760</v>
      </c>
      <c r="B761" s="5"/>
      <c r="C761" s="10" t="str">
        <f>IF(B761="","←停留所idを選択",VLOOKUP(B761,'06停留所'!$B$2:$C$10500,2,0))</f>
        <v>←停留所idを選択</v>
      </c>
      <c r="D761" s="5"/>
      <c r="E761" s="5"/>
      <c r="F761" s="6"/>
    </row>
    <row r="762" spans="1:6" x14ac:dyDescent="0.2">
      <c r="A762" s="2">
        <v>761</v>
      </c>
      <c r="B762" s="5"/>
      <c r="C762" s="10" t="str">
        <f>IF(B762="","←停留所idを選択",VLOOKUP(B762,'06停留所'!$B$2:$C$10500,2,0))</f>
        <v>←停留所idを選択</v>
      </c>
      <c r="D762" s="5"/>
      <c r="E762" s="5"/>
      <c r="F762" s="6"/>
    </row>
    <row r="763" spans="1:6" x14ac:dyDescent="0.2">
      <c r="A763" s="2">
        <v>762</v>
      </c>
      <c r="B763" s="5"/>
      <c r="C763" s="10" t="str">
        <f>IF(B763="","←停留所idを選択",VLOOKUP(B763,'06停留所'!$B$2:$C$10500,2,0))</f>
        <v>←停留所idを選択</v>
      </c>
      <c r="D763" s="5"/>
      <c r="E763" s="5"/>
      <c r="F763" s="6"/>
    </row>
    <row r="764" spans="1:6" x14ac:dyDescent="0.2">
      <c r="A764" s="2">
        <v>763</v>
      </c>
      <c r="B764" s="5"/>
      <c r="C764" s="10" t="str">
        <f>IF(B764="","←停留所idを選択",VLOOKUP(B764,'06停留所'!$B$2:$C$10500,2,0))</f>
        <v>←停留所idを選択</v>
      </c>
      <c r="D764" s="5"/>
      <c r="E764" s="5"/>
      <c r="F764" s="6"/>
    </row>
    <row r="765" spans="1:6" x14ac:dyDescent="0.2">
      <c r="A765" s="2">
        <v>764</v>
      </c>
      <c r="B765" s="5"/>
      <c r="C765" s="10" t="str">
        <f>IF(B765="","←停留所idを選択",VLOOKUP(B765,'06停留所'!$B$2:$C$10500,2,0))</f>
        <v>←停留所idを選択</v>
      </c>
      <c r="D765" s="5"/>
      <c r="E765" s="5"/>
      <c r="F765" s="6"/>
    </row>
    <row r="766" spans="1:6" x14ac:dyDescent="0.2">
      <c r="A766" s="2">
        <v>765</v>
      </c>
      <c r="B766" s="5"/>
      <c r="C766" s="10" t="str">
        <f>IF(B766="","←停留所idを選択",VLOOKUP(B766,'06停留所'!$B$2:$C$10500,2,0))</f>
        <v>←停留所idを選択</v>
      </c>
      <c r="D766" s="5"/>
      <c r="E766" s="5"/>
      <c r="F766" s="6"/>
    </row>
    <row r="767" spans="1:6" x14ac:dyDescent="0.2">
      <c r="A767" s="2">
        <v>766</v>
      </c>
      <c r="B767" s="5"/>
      <c r="C767" s="10" t="str">
        <f>IF(B767="","←停留所idを選択",VLOOKUP(B767,'06停留所'!$B$2:$C$10500,2,0))</f>
        <v>←停留所idを選択</v>
      </c>
      <c r="D767" s="5"/>
      <c r="E767" s="5"/>
      <c r="F767" s="6"/>
    </row>
    <row r="768" spans="1:6" x14ac:dyDescent="0.2">
      <c r="A768" s="2">
        <v>767</v>
      </c>
      <c r="B768" s="5"/>
      <c r="C768" s="10" t="str">
        <f>IF(B768="","←停留所idを選択",VLOOKUP(B768,'06停留所'!$B$2:$C$10500,2,0))</f>
        <v>←停留所idを選択</v>
      </c>
      <c r="D768" s="5"/>
      <c r="E768" s="5"/>
      <c r="F768" s="6"/>
    </row>
    <row r="769" spans="1:6" x14ac:dyDescent="0.2">
      <c r="A769" s="2">
        <v>768</v>
      </c>
      <c r="B769" s="5"/>
      <c r="C769" s="10" t="str">
        <f>IF(B769="","←停留所idを選択",VLOOKUP(B769,'06停留所'!$B$2:$C$10500,2,0))</f>
        <v>←停留所idを選択</v>
      </c>
      <c r="D769" s="5"/>
      <c r="E769" s="5"/>
      <c r="F769" s="6"/>
    </row>
    <row r="770" spans="1:6" x14ac:dyDescent="0.2">
      <c r="A770" s="2">
        <v>769</v>
      </c>
      <c r="B770" s="5"/>
      <c r="C770" s="10" t="str">
        <f>IF(B770="","←停留所idを選択",VLOOKUP(B770,'06停留所'!$B$2:$C$10500,2,0))</f>
        <v>←停留所idを選択</v>
      </c>
      <c r="D770" s="5"/>
      <c r="E770" s="5"/>
      <c r="F770" s="6"/>
    </row>
    <row r="771" spans="1:6" x14ac:dyDescent="0.2">
      <c r="A771" s="2">
        <v>770</v>
      </c>
      <c r="B771" s="5"/>
      <c r="C771" s="10" t="str">
        <f>IF(B771="","←停留所idを選択",VLOOKUP(B771,'06停留所'!$B$2:$C$10500,2,0))</f>
        <v>←停留所idを選択</v>
      </c>
      <c r="D771" s="5"/>
      <c r="E771" s="5"/>
      <c r="F771" s="6"/>
    </row>
    <row r="772" spans="1:6" x14ac:dyDescent="0.2">
      <c r="A772" s="2">
        <v>771</v>
      </c>
      <c r="B772" s="5"/>
      <c r="C772" s="10" t="str">
        <f>IF(B772="","←停留所idを選択",VLOOKUP(B772,'06停留所'!$B$2:$C$10500,2,0))</f>
        <v>←停留所idを選択</v>
      </c>
      <c r="D772" s="5"/>
      <c r="E772" s="5"/>
      <c r="F772" s="6"/>
    </row>
    <row r="773" spans="1:6" x14ac:dyDescent="0.2">
      <c r="A773" s="2">
        <v>772</v>
      </c>
      <c r="B773" s="5"/>
      <c r="C773" s="10" t="str">
        <f>IF(B773="","←停留所idを選択",VLOOKUP(B773,'06停留所'!$B$2:$C$10500,2,0))</f>
        <v>←停留所idを選択</v>
      </c>
      <c r="D773" s="5"/>
      <c r="E773" s="5"/>
      <c r="F773" s="6"/>
    </row>
    <row r="774" spans="1:6" x14ac:dyDescent="0.2">
      <c r="A774" s="2">
        <v>773</v>
      </c>
      <c r="B774" s="5"/>
      <c r="C774" s="10" t="str">
        <f>IF(B774="","←停留所idを選択",VLOOKUP(B774,'06停留所'!$B$2:$C$10500,2,0))</f>
        <v>←停留所idを選択</v>
      </c>
      <c r="D774" s="5"/>
      <c r="E774" s="5"/>
      <c r="F774" s="6"/>
    </row>
    <row r="775" spans="1:6" x14ac:dyDescent="0.2">
      <c r="A775" s="2">
        <v>774</v>
      </c>
      <c r="B775" s="5"/>
      <c r="C775" s="10" t="str">
        <f>IF(B775="","←停留所idを選択",VLOOKUP(B775,'06停留所'!$B$2:$C$10500,2,0))</f>
        <v>←停留所idを選択</v>
      </c>
      <c r="D775" s="5"/>
      <c r="E775" s="5"/>
      <c r="F775" s="6"/>
    </row>
    <row r="776" spans="1:6" x14ac:dyDescent="0.2">
      <c r="A776" s="2">
        <v>775</v>
      </c>
      <c r="B776" s="5"/>
      <c r="C776" s="10" t="str">
        <f>IF(B776="","←停留所idを選択",VLOOKUP(B776,'06停留所'!$B$2:$C$10500,2,0))</f>
        <v>←停留所idを選択</v>
      </c>
      <c r="D776" s="5"/>
      <c r="E776" s="5"/>
      <c r="F776" s="6"/>
    </row>
    <row r="777" spans="1:6" x14ac:dyDescent="0.2">
      <c r="A777" s="2">
        <v>776</v>
      </c>
      <c r="B777" s="5"/>
      <c r="C777" s="10" t="str">
        <f>IF(B777="","←停留所idを選択",VLOOKUP(B777,'06停留所'!$B$2:$C$10500,2,0))</f>
        <v>←停留所idを選択</v>
      </c>
      <c r="D777" s="5"/>
      <c r="E777" s="5"/>
      <c r="F777" s="6"/>
    </row>
    <row r="778" spans="1:6" x14ac:dyDescent="0.2">
      <c r="A778" s="2">
        <v>777</v>
      </c>
      <c r="B778" s="5"/>
      <c r="C778" s="10" t="str">
        <f>IF(B778="","←停留所idを選択",VLOOKUP(B778,'06停留所'!$B$2:$C$10500,2,0))</f>
        <v>←停留所idを選択</v>
      </c>
      <c r="D778" s="5"/>
      <c r="E778" s="5"/>
      <c r="F778" s="6"/>
    </row>
    <row r="779" spans="1:6" x14ac:dyDescent="0.2">
      <c r="A779" s="2">
        <v>778</v>
      </c>
      <c r="B779" s="5"/>
      <c r="C779" s="10" t="str">
        <f>IF(B779="","←停留所idを選択",VLOOKUP(B779,'06停留所'!$B$2:$C$10500,2,0))</f>
        <v>←停留所idを選択</v>
      </c>
      <c r="D779" s="5"/>
      <c r="E779" s="5"/>
      <c r="F779" s="6"/>
    </row>
    <row r="780" spans="1:6" x14ac:dyDescent="0.2">
      <c r="A780" s="2">
        <v>779</v>
      </c>
      <c r="B780" s="5"/>
      <c r="C780" s="10" t="str">
        <f>IF(B780="","←停留所idを選択",VLOOKUP(B780,'06停留所'!$B$2:$C$10500,2,0))</f>
        <v>←停留所idを選択</v>
      </c>
      <c r="D780" s="5"/>
      <c r="E780" s="5"/>
      <c r="F780" s="6"/>
    </row>
    <row r="781" spans="1:6" x14ac:dyDescent="0.2">
      <c r="A781" s="2">
        <v>780</v>
      </c>
      <c r="B781" s="5"/>
      <c r="C781" s="10" t="str">
        <f>IF(B781="","←停留所idを選択",VLOOKUP(B781,'06停留所'!$B$2:$C$10500,2,0))</f>
        <v>←停留所idを選択</v>
      </c>
      <c r="D781" s="5"/>
      <c r="E781" s="5"/>
      <c r="F781" s="6"/>
    </row>
    <row r="782" spans="1:6" x14ac:dyDescent="0.2">
      <c r="A782" s="2">
        <v>781</v>
      </c>
      <c r="B782" s="5"/>
      <c r="C782" s="10" t="str">
        <f>IF(B782="","←停留所idを選択",VLOOKUP(B782,'06停留所'!$B$2:$C$10500,2,0))</f>
        <v>←停留所idを選択</v>
      </c>
      <c r="D782" s="5"/>
      <c r="E782" s="5"/>
      <c r="F782" s="6"/>
    </row>
    <row r="783" spans="1:6" x14ac:dyDescent="0.2">
      <c r="A783" s="2">
        <v>782</v>
      </c>
      <c r="B783" s="5"/>
      <c r="C783" s="10" t="str">
        <f>IF(B783="","←停留所idを選択",VLOOKUP(B783,'06停留所'!$B$2:$C$10500,2,0))</f>
        <v>←停留所idを選択</v>
      </c>
      <c r="D783" s="5"/>
      <c r="E783" s="5"/>
      <c r="F783" s="6"/>
    </row>
    <row r="784" spans="1:6" x14ac:dyDescent="0.2">
      <c r="A784" s="2">
        <v>783</v>
      </c>
      <c r="B784" s="5"/>
      <c r="C784" s="10" t="str">
        <f>IF(B784="","←停留所idを選択",VLOOKUP(B784,'06停留所'!$B$2:$C$10500,2,0))</f>
        <v>←停留所idを選択</v>
      </c>
      <c r="D784" s="5"/>
      <c r="E784" s="5"/>
      <c r="F784" s="6"/>
    </row>
    <row r="785" spans="1:6" x14ac:dyDescent="0.2">
      <c r="A785" s="2">
        <v>784</v>
      </c>
      <c r="B785" s="5"/>
      <c r="C785" s="10" t="str">
        <f>IF(B785="","←停留所idを選択",VLOOKUP(B785,'06停留所'!$B$2:$C$10500,2,0))</f>
        <v>←停留所idを選択</v>
      </c>
      <c r="D785" s="5"/>
      <c r="E785" s="5"/>
      <c r="F785" s="6"/>
    </row>
    <row r="786" spans="1:6" x14ac:dyDescent="0.2">
      <c r="A786" s="2">
        <v>785</v>
      </c>
      <c r="B786" s="5"/>
      <c r="C786" s="10" t="str">
        <f>IF(B786="","←停留所idを選択",VLOOKUP(B786,'06停留所'!$B$2:$C$10500,2,0))</f>
        <v>←停留所idを選択</v>
      </c>
      <c r="D786" s="5"/>
      <c r="E786" s="5"/>
      <c r="F786" s="6"/>
    </row>
    <row r="787" spans="1:6" x14ac:dyDescent="0.2">
      <c r="A787" s="2">
        <v>786</v>
      </c>
      <c r="B787" s="5"/>
      <c r="C787" s="10" t="str">
        <f>IF(B787="","←停留所idを選択",VLOOKUP(B787,'06停留所'!$B$2:$C$10500,2,0))</f>
        <v>←停留所idを選択</v>
      </c>
      <c r="D787" s="5"/>
      <c r="E787" s="5"/>
      <c r="F787" s="6"/>
    </row>
    <row r="788" spans="1:6" x14ac:dyDescent="0.2">
      <c r="A788" s="2">
        <v>787</v>
      </c>
      <c r="B788" s="5"/>
      <c r="C788" s="10" t="str">
        <f>IF(B788="","←停留所idを選択",VLOOKUP(B788,'06停留所'!$B$2:$C$10500,2,0))</f>
        <v>←停留所idを選択</v>
      </c>
      <c r="D788" s="5"/>
      <c r="E788" s="5"/>
      <c r="F788" s="6"/>
    </row>
    <row r="789" spans="1:6" x14ac:dyDescent="0.2">
      <c r="A789" s="2">
        <v>788</v>
      </c>
      <c r="B789" s="5"/>
      <c r="C789" s="10" t="str">
        <f>IF(B789="","←停留所idを選択",VLOOKUP(B789,'06停留所'!$B$2:$C$10500,2,0))</f>
        <v>←停留所idを選択</v>
      </c>
      <c r="D789" s="5"/>
      <c r="E789" s="5"/>
      <c r="F789" s="6"/>
    </row>
    <row r="790" spans="1:6" x14ac:dyDescent="0.2">
      <c r="A790" s="2">
        <v>789</v>
      </c>
      <c r="B790" s="5"/>
      <c r="C790" s="10" t="str">
        <f>IF(B790="","←停留所idを選択",VLOOKUP(B790,'06停留所'!$B$2:$C$10500,2,0))</f>
        <v>←停留所idを選択</v>
      </c>
      <c r="D790" s="5"/>
      <c r="E790" s="5"/>
      <c r="F790" s="6"/>
    </row>
    <row r="791" spans="1:6" x14ac:dyDescent="0.2">
      <c r="A791" s="2">
        <v>790</v>
      </c>
      <c r="B791" s="5"/>
      <c r="C791" s="10" t="str">
        <f>IF(B791="","←停留所idを選択",VLOOKUP(B791,'06停留所'!$B$2:$C$10500,2,0))</f>
        <v>←停留所idを選択</v>
      </c>
      <c r="D791" s="5"/>
      <c r="E791" s="5"/>
      <c r="F791" s="6"/>
    </row>
    <row r="792" spans="1:6" x14ac:dyDescent="0.2">
      <c r="A792" s="2">
        <v>791</v>
      </c>
      <c r="B792" s="5"/>
      <c r="C792" s="10" t="str">
        <f>IF(B792="","←停留所idを選択",VLOOKUP(B792,'06停留所'!$B$2:$C$10500,2,0))</f>
        <v>←停留所idを選択</v>
      </c>
      <c r="D792" s="5"/>
      <c r="E792" s="5"/>
      <c r="F792" s="6"/>
    </row>
    <row r="793" spans="1:6" x14ac:dyDescent="0.2">
      <c r="A793" s="2">
        <v>792</v>
      </c>
      <c r="B793" s="5"/>
      <c r="C793" s="10" t="str">
        <f>IF(B793="","←停留所idを選択",VLOOKUP(B793,'06停留所'!$B$2:$C$10500,2,0))</f>
        <v>←停留所idを選択</v>
      </c>
      <c r="D793" s="5"/>
      <c r="E793" s="5"/>
      <c r="F793" s="6"/>
    </row>
    <row r="794" spans="1:6" x14ac:dyDescent="0.2">
      <c r="A794" s="2">
        <v>793</v>
      </c>
      <c r="B794" s="5"/>
      <c r="C794" s="10" t="str">
        <f>IF(B794="","←停留所idを選択",VLOOKUP(B794,'06停留所'!$B$2:$C$10500,2,0))</f>
        <v>←停留所idを選択</v>
      </c>
      <c r="D794" s="5"/>
      <c r="E794" s="5"/>
      <c r="F794" s="6"/>
    </row>
    <row r="795" spans="1:6" x14ac:dyDescent="0.2">
      <c r="A795" s="2">
        <v>794</v>
      </c>
      <c r="B795" s="5"/>
      <c r="C795" s="10" t="str">
        <f>IF(B795="","←停留所idを選択",VLOOKUP(B795,'06停留所'!$B$2:$C$10500,2,0))</f>
        <v>←停留所idを選択</v>
      </c>
      <c r="D795" s="5"/>
      <c r="E795" s="5"/>
      <c r="F795" s="6"/>
    </row>
    <row r="796" spans="1:6" x14ac:dyDescent="0.2">
      <c r="A796" s="2">
        <v>795</v>
      </c>
      <c r="B796" s="5"/>
      <c r="C796" s="10" t="str">
        <f>IF(B796="","←停留所idを選択",VLOOKUP(B796,'06停留所'!$B$2:$C$10500,2,0))</f>
        <v>←停留所idを選択</v>
      </c>
      <c r="D796" s="5"/>
      <c r="E796" s="5"/>
      <c r="F796" s="6"/>
    </row>
    <row r="797" spans="1:6" x14ac:dyDescent="0.2">
      <c r="A797" s="2">
        <v>796</v>
      </c>
      <c r="B797" s="5"/>
      <c r="C797" s="10" t="str">
        <f>IF(B797="","←停留所idを選択",VLOOKUP(B797,'06停留所'!$B$2:$C$10500,2,0))</f>
        <v>←停留所idを選択</v>
      </c>
      <c r="D797" s="5"/>
      <c r="E797" s="5"/>
      <c r="F797" s="6"/>
    </row>
    <row r="798" spans="1:6" x14ac:dyDescent="0.2">
      <c r="A798" s="2">
        <v>797</v>
      </c>
      <c r="B798" s="5"/>
      <c r="C798" s="10" t="str">
        <f>IF(B798="","←停留所idを選択",VLOOKUP(B798,'06停留所'!$B$2:$C$10500,2,0))</f>
        <v>←停留所idを選択</v>
      </c>
      <c r="D798" s="5"/>
      <c r="E798" s="5"/>
      <c r="F798" s="6"/>
    </row>
    <row r="799" spans="1:6" x14ac:dyDescent="0.2">
      <c r="A799" s="2">
        <v>798</v>
      </c>
      <c r="B799" s="5"/>
      <c r="C799" s="10" t="str">
        <f>IF(B799="","←停留所idを選択",VLOOKUP(B799,'06停留所'!$B$2:$C$10500,2,0))</f>
        <v>←停留所idを選択</v>
      </c>
      <c r="D799" s="5"/>
      <c r="E799" s="5"/>
      <c r="F799" s="6"/>
    </row>
    <row r="800" spans="1:6" x14ac:dyDescent="0.2">
      <c r="A800" s="2">
        <v>799</v>
      </c>
      <c r="B800" s="5"/>
      <c r="C800" s="10" t="str">
        <f>IF(B800="","←停留所idを選択",VLOOKUP(B800,'06停留所'!$B$2:$C$10500,2,0))</f>
        <v>←停留所idを選択</v>
      </c>
      <c r="D800" s="5"/>
      <c r="E800" s="5"/>
      <c r="F800" s="6"/>
    </row>
    <row r="801" spans="1:6" x14ac:dyDescent="0.2">
      <c r="A801" s="2">
        <v>800</v>
      </c>
      <c r="B801" s="5"/>
      <c r="C801" s="10" t="str">
        <f>IF(B801="","←停留所idを選択",VLOOKUP(B801,'06停留所'!$B$2:$C$10500,2,0))</f>
        <v>←停留所idを選択</v>
      </c>
      <c r="D801" s="5"/>
      <c r="E801" s="5"/>
      <c r="F801" s="6"/>
    </row>
    <row r="802" spans="1:6" x14ac:dyDescent="0.2">
      <c r="A802" s="2">
        <v>801</v>
      </c>
      <c r="B802" s="5"/>
      <c r="C802" s="10" t="str">
        <f>IF(B802="","←停留所idを選択",VLOOKUP(B802,'06停留所'!$B$2:$C$10500,2,0))</f>
        <v>←停留所idを選択</v>
      </c>
      <c r="D802" s="5"/>
      <c r="E802" s="5"/>
      <c r="F802" s="6"/>
    </row>
    <row r="803" spans="1:6" x14ac:dyDescent="0.2">
      <c r="A803" s="2">
        <v>802</v>
      </c>
      <c r="B803" s="5"/>
      <c r="C803" s="10" t="str">
        <f>IF(B803="","←停留所idを選択",VLOOKUP(B803,'06停留所'!$B$2:$C$10500,2,0))</f>
        <v>←停留所idを選択</v>
      </c>
      <c r="D803" s="5"/>
      <c r="E803" s="5"/>
      <c r="F803" s="6"/>
    </row>
    <row r="804" spans="1:6" x14ac:dyDescent="0.2">
      <c r="A804" s="2">
        <v>803</v>
      </c>
      <c r="B804" s="5"/>
      <c r="C804" s="10" t="str">
        <f>IF(B804="","←停留所idを選択",VLOOKUP(B804,'06停留所'!$B$2:$C$10500,2,0))</f>
        <v>←停留所idを選択</v>
      </c>
      <c r="D804" s="5"/>
      <c r="E804" s="5"/>
      <c r="F804" s="6"/>
    </row>
    <row r="805" spans="1:6" x14ac:dyDescent="0.2">
      <c r="A805" s="2">
        <v>804</v>
      </c>
      <c r="B805" s="5"/>
      <c r="C805" s="10" t="str">
        <f>IF(B805="","←停留所idを選択",VLOOKUP(B805,'06停留所'!$B$2:$C$10500,2,0))</f>
        <v>←停留所idを選択</v>
      </c>
      <c r="D805" s="5"/>
      <c r="E805" s="5"/>
      <c r="F805" s="6"/>
    </row>
    <row r="806" spans="1:6" x14ac:dyDescent="0.2">
      <c r="A806" s="2">
        <v>805</v>
      </c>
      <c r="B806" s="5"/>
      <c r="C806" s="10" t="str">
        <f>IF(B806="","←停留所idを選択",VLOOKUP(B806,'06停留所'!$B$2:$C$10500,2,0))</f>
        <v>←停留所idを選択</v>
      </c>
      <c r="D806" s="5"/>
      <c r="E806" s="5"/>
      <c r="F806" s="6"/>
    </row>
    <row r="807" spans="1:6" x14ac:dyDescent="0.2">
      <c r="A807" s="2">
        <v>806</v>
      </c>
      <c r="B807" s="5"/>
      <c r="C807" s="10" t="str">
        <f>IF(B807="","←停留所idを選択",VLOOKUP(B807,'06停留所'!$B$2:$C$10500,2,0))</f>
        <v>←停留所idを選択</v>
      </c>
      <c r="D807" s="5"/>
      <c r="E807" s="5"/>
      <c r="F807" s="6"/>
    </row>
    <row r="808" spans="1:6" x14ac:dyDescent="0.2">
      <c r="A808" s="2">
        <v>807</v>
      </c>
      <c r="B808" s="5"/>
      <c r="C808" s="10" t="str">
        <f>IF(B808="","←停留所idを選択",VLOOKUP(B808,'06停留所'!$B$2:$C$10500,2,0))</f>
        <v>←停留所idを選択</v>
      </c>
      <c r="D808" s="5"/>
      <c r="E808" s="5"/>
      <c r="F808" s="6"/>
    </row>
    <row r="809" spans="1:6" x14ac:dyDescent="0.2">
      <c r="A809" s="2">
        <v>808</v>
      </c>
      <c r="B809" s="5"/>
      <c r="C809" s="10" t="str">
        <f>IF(B809="","←停留所idを選択",VLOOKUP(B809,'06停留所'!$B$2:$C$10500,2,0))</f>
        <v>←停留所idを選択</v>
      </c>
      <c r="D809" s="5"/>
      <c r="E809" s="5"/>
      <c r="F809" s="6"/>
    </row>
    <row r="810" spans="1:6" x14ac:dyDescent="0.2">
      <c r="A810" s="2">
        <v>809</v>
      </c>
      <c r="B810" s="5"/>
      <c r="C810" s="10" t="str">
        <f>IF(B810="","←停留所idを選択",VLOOKUP(B810,'06停留所'!$B$2:$C$10500,2,0))</f>
        <v>←停留所idを選択</v>
      </c>
      <c r="D810" s="5"/>
      <c r="E810" s="5"/>
      <c r="F810" s="6"/>
    </row>
    <row r="811" spans="1:6" x14ac:dyDescent="0.2">
      <c r="A811" s="2">
        <v>810</v>
      </c>
      <c r="B811" s="5"/>
      <c r="C811" s="10" t="str">
        <f>IF(B811="","←停留所idを選択",VLOOKUP(B811,'06停留所'!$B$2:$C$10500,2,0))</f>
        <v>←停留所idを選択</v>
      </c>
      <c r="D811" s="5"/>
      <c r="E811" s="5"/>
      <c r="F811" s="6"/>
    </row>
    <row r="812" spans="1:6" x14ac:dyDescent="0.2">
      <c r="A812" s="2">
        <v>811</v>
      </c>
      <c r="B812" s="5"/>
      <c r="C812" s="10" t="str">
        <f>IF(B812="","←停留所idを選択",VLOOKUP(B812,'06停留所'!$B$2:$C$10500,2,0))</f>
        <v>←停留所idを選択</v>
      </c>
      <c r="D812" s="5"/>
      <c r="E812" s="5"/>
      <c r="F812" s="6"/>
    </row>
    <row r="813" spans="1:6" x14ac:dyDescent="0.2">
      <c r="A813" s="2">
        <v>812</v>
      </c>
      <c r="B813" s="5"/>
      <c r="C813" s="10" t="str">
        <f>IF(B813="","←停留所idを選択",VLOOKUP(B813,'06停留所'!$B$2:$C$10500,2,0))</f>
        <v>←停留所idを選択</v>
      </c>
      <c r="D813" s="5"/>
      <c r="E813" s="5"/>
      <c r="F813" s="6"/>
    </row>
    <row r="814" spans="1:6" x14ac:dyDescent="0.2">
      <c r="A814" s="2">
        <v>813</v>
      </c>
      <c r="B814" s="5"/>
      <c r="C814" s="10" t="str">
        <f>IF(B814="","←停留所idを選択",VLOOKUP(B814,'06停留所'!$B$2:$C$10500,2,0))</f>
        <v>←停留所idを選択</v>
      </c>
      <c r="D814" s="5"/>
      <c r="E814" s="5"/>
      <c r="F814" s="6"/>
    </row>
    <row r="815" spans="1:6" x14ac:dyDescent="0.2">
      <c r="A815" s="2">
        <v>814</v>
      </c>
      <c r="B815" s="5"/>
      <c r="C815" s="10" t="str">
        <f>IF(B815="","←停留所idを選択",VLOOKUP(B815,'06停留所'!$B$2:$C$10500,2,0))</f>
        <v>←停留所idを選択</v>
      </c>
      <c r="D815" s="5"/>
      <c r="E815" s="5"/>
      <c r="F815" s="6"/>
    </row>
    <row r="816" spans="1:6" x14ac:dyDescent="0.2">
      <c r="A816" s="2">
        <v>815</v>
      </c>
      <c r="B816" s="5"/>
      <c r="C816" s="10" t="str">
        <f>IF(B816="","←停留所idを選択",VLOOKUP(B816,'06停留所'!$B$2:$C$10500,2,0))</f>
        <v>←停留所idを選択</v>
      </c>
      <c r="D816" s="5"/>
      <c r="E816" s="5"/>
      <c r="F816" s="6"/>
    </row>
    <row r="817" spans="1:6" x14ac:dyDescent="0.2">
      <c r="A817" s="2">
        <v>816</v>
      </c>
      <c r="B817" s="5"/>
      <c r="C817" s="10" t="str">
        <f>IF(B817="","←停留所idを選択",VLOOKUP(B817,'06停留所'!$B$2:$C$10500,2,0))</f>
        <v>←停留所idを選択</v>
      </c>
      <c r="D817" s="5"/>
      <c r="E817" s="5"/>
      <c r="F817" s="6"/>
    </row>
    <row r="818" spans="1:6" x14ac:dyDescent="0.2">
      <c r="A818" s="2">
        <v>817</v>
      </c>
      <c r="B818" s="5"/>
      <c r="C818" s="10" t="str">
        <f>IF(B818="","←停留所idを選択",VLOOKUP(B818,'06停留所'!$B$2:$C$10500,2,0))</f>
        <v>←停留所idを選択</v>
      </c>
      <c r="D818" s="5"/>
      <c r="E818" s="5"/>
      <c r="F818" s="6"/>
    </row>
    <row r="819" spans="1:6" x14ac:dyDescent="0.2">
      <c r="A819" s="2">
        <v>818</v>
      </c>
      <c r="B819" s="5"/>
      <c r="C819" s="10" t="str">
        <f>IF(B819="","←停留所idを選択",VLOOKUP(B819,'06停留所'!$B$2:$C$10500,2,0))</f>
        <v>←停留所idを選択</v>
      </c>
      <c r="D819" s="5"/>
      <c r="E819" s="5"/>
      <c r="F819" s="6"/>
    </row>
    <row r="820" spans="1:6" x14ac:dyDescent="0.2">
      <c r="A820" s="2">
        <v>819</v>
      </c>
      <c r="B820" s="5"/>
      <c r="C820" s="10" t="str">
        <f>IF(B820="","←停留所idを選択",VLOOKUP(B820,'06停留所'!$B$2:$C$10500,2,0))</f>
        <v>←停留所idを選択</v>
      </c>
      <c r="D820" s="5"/>
      <c r="E820" s="5"/>
      <c r="F820" s="6"/>
    </row>
    <row r="821" spans="1:6" x14ac:dyDescent="0.2">
      <c r="A821" s="2">
        <v>820</v>
      </c>
      <c r="B821" s="5"/>
      <c r="C821" s="10" t="str">
        <f>IF(B821="","←停留所idを選択",VLOOKUP(B821,'06停留所'!$B$2:$C$10500,2,0))</f>
        <v>←停留所idを選択</v>
      </c>
      <c r="D821" s="5"/>
      <c r="E821" s="5"/>
      <c r="F821" s="6"/>
    </row>
    <row r="822" spans="1:6" x14ac:dyDescent="0.2">
      <c r="A822" s="2">
        <v>821</v>
      </c>
      <c r="B822" s="5"/>
      <c r="C822" s="10" t="str">
        <f>IF(B822="","←停留所idを選択",VLOOKUP(B822,'06停留所'!$B$2:$C$10500,2,0))</f>
        <v>←停留所idを選択</v>
      </c>
      <c r="D822" s="5"/>
      <c r="E822" s="5"/>
      <c r="F822" s="6"/>
    </row>
    <row r="823" spans="1:6" x14ac:dyDescent="0.2">
      <c r="A823" s="2">
        <v>822</v>
      </c>
      <c r="B823" s="5"/>
      <c r="C823" s="10" t="str">
        <f>IF(B823="","←停留所idを選択",VLOOKUP(B823,'06停留所'!$B$2:$C$10500,2,0))</f>
        <v>←停留所idを選択</v>
      </c>
      <c r="D823" s="5"/>
      <c r="E823" s="5"/>
      <c r="F823" s="6"/>
    </row>
    <row r="824" spans="1:6" x14ac:dyDescent="0.2">
      <c r="A824" s="2">
        <v>823</v>
      </c>
      <c r="B824" s="5"/>
      <c r="C824" s="10" t="str">
        <f>IF(B824="","←停留所idを選択",VLOOKUP(B824,'06停留所'!$B$2:$C$10500,2,0))</f>
        <v>←停留所idを選択</v>
      </c>
      <c r="D824" s="5"/>
      <c r="E824" s="5"/>
      <c r="F824" s="6"/>
    </row>
    <row r="825" spans="1:6" x14ac:dyDescent="0.2">
      <c r="A825" s="2">
        <v>824</v>
      </c>
      <c r="B825" s="5"/>
      <c r="C825" s="10" t="str">
        <f>IF(B825="","←停留所idを選択",VLOOKUP(B825,'06停留所'!$B$2:$C$10500,2,0))</f>
        <v>←停留所idを選択</v>
      </c>
      <c r="D825" s="5"/>
      <c r="E825" s="5"/>
      <c r="F825" s="6"/>
    </row>
    <row r="826" spans="1:6" x14ac:dyDescent="0.2">
      <c r="A826" s="2">
        <v>825</v>
      </c>
      <c r="B826" s="5"/>
      <c r="C826" s="10" t="str">
        <f>IF(B826="","←停留所idを選択",VLOOKUP(B826,'06停留所'!$B$2:$C$10500,2,0))</f>
        <v>←停留所idを選択</v>
      </c>
      <c r="D826" s="5"/>
      <c r="E826" s="5"/>
      <c r="F826" s="6"/>
    </row>
    <row r="827" spans="1:6" x14ac:dyDescent="0.2">
      <c r="A827" s="2">
        <v>826</v>
      </c>
      <c r="B827" s="5"/>
      <c r="C827" s="10" t="str">
        <f>IF(B827="","←停留所idを選択",VLOOKUP(B827,'06停留所'!$B$2:$C$10500,2,0))</f>
        <v>←停留所idを選択</v>
      </c>
      <c r="D827" s="5"/>
      <c r="E827" s="5"/>
      <c r="F827" s="6"/>
    </row>
    <row r="828" spans="1:6" x14ac:dyDescent="0.2">
      <c r="A828" s="2">
        <v>827</v>
      </c>
      <c r="B828" s="5"/>
      <c r="C828" s="10" t="str">
        <f>IF(B828="","←停留所idを選択",VLOOKUP(B828,'06停留所'!$B$2:$C$10500,2,0))</f>
        <v>←停留所idを選択</v>
      </c>
      <c r="D828" s="5"/>
      <c r="E828" s="5"/>
      <c r="F828" s="6"/>
    </row>
    <row r="829" spans="1:6" x14ac:dyDescent="0.2">
      <c r="A829" s="2">
        <v>828</v>
      </c>
      <c r="B829" s="5"/>
      <c r="C829" s="10" t="str">
        <f>IF(B829="","←停留所idを選択",VLOOKUP(B829,'06停留所'!$B$2:$C$10500,2,0))</f>
        <v>←停留所idを選択</v>
      </c>
      <c r="D829" s="5"/>
      <c r="E829" s="5"/>
      <c r="F829" s="6"/>
    </row>
    <row r="830" spans="1:6" x14ac:dyDescent="0.2">
      <c r="A830" s="2">
        <v>829</v>
      </c>
      <c r="B830" s="5"/>
      <c r="C830" s="10" t="str">
        <f>IF(B830="","←停留所idを選択",VLOOKUP(B830,'06停留所'!$B$2:$C$10500,2,0))</f>
        <v>←停留所idを選択</v>
      </c>
      <c r="D830" s="5"/>
      <c r="E830" s="5"/>
      <c r="F830" s="6"/>
    </row>
    <row r="831" spans="1:6" x14ac:dyDescent="0.2">
      <c r="A831" s="2">
        <v>830</v>
      </c>
      <c r="B831" s="5"/>
      <c r="C831" s="10" t="str">
        <f>IF(B831="","←停留所idを選択",VLOOKUP(B831,'06停留所'!$B$2:$C$10500,2,0))</f>
        <v>←停留所idを選択</v>
      </c>
      <c r="D831" s="5"/>
      <c r="E831" s="5"/>
      <c r="F831" s="6"/>
    </row>
    <row r="832" spans="1:6" x14ac:dyDescent="0.2">
      <c r="A832" s="2">
        <v>831</v>
      </c>
      <c r="B832" s="5"/>
      <c r="C832" s="10" t="str">
        <f>IF(B832="","←停留所idを選択",VLOOKUP(B832,'06停留所'!$B$2:$C$10500,2,0))</f>
        <v>←停留所idを選択</v>
      </c>
      <c r="D832" s="5"/>
      <c r="E832" s="5"/>
      <c r="F832" s="6"/>
    </row>
    <row r="833" spans="1:6" x14ac:dyDescent="0.2">
      <c r="A833" s="2">
        <v>832</v>
      </c>
      <c r="B833" s="5"/>
      <c r="C833" s="10" t="str">
        <f>IF(B833="","←停留所idを選択",VLOOKUP(B833,'06停留所'!$B$2:$C$10500,2,0))</f>
        <v>←停留所idを選択</v>
      </c>
      <c r="D833" s="5"/>
      <c r="E833" s="5"/>
      <c r="F833" s="6"/>
    </row>
    <row r="834" spans="1:6" x14ac:dyDescent="0.2">
      <c r="A834" s="2">
        <v>833</v>
      </c>
      <c r="B834" s="5"/>
      <c r="C834" s="10" t="str">
        <f>IF(B834="","←停留所idを選択",VLOOKUP(B834,'06停留所'!$B$2:$C$10500,2,0))</f>
        <v>←停留所idを選択</v>
      </c>
      <c r="D834" s="5"/>
      <c r="E834" s="5"/>
      <c r="F834" s="6"/>
    </row>
    <row r="835" spans="1:6" x14ac:dyDescent="0.2">
      <c r="A835" s="2">
        <v>834</v>
      </c>
      <c r="B835" s="5"/>
      <c r="C835" s="10" t="str">
        <f>IF(B835="","←停留所idを選択",VLOOKUP(B835,'06停留所'!$B$2:$C$10500,2,0))</f>
        <v>←停留所idを選択</v>
      </c>
      <c r="D835" s="5"/>
      <c r="E835" s="5"/>
      <c r="F835" s="6"/>
    </row>
    <row r="836" spans="1:6" x14ac:dyDescent="0.2">
      <c r="A836" s="2">
        <v>835</v>
      </c>
      <c r="B836" s="5"/>
      <c r="C836" s="10" t="str">
        <f>IF(B836="","←停留所idを選択",VLOOKUP(B836,'06停留所'!$B$2:$C$10500,2,0))</f>
        <v>←停留所idを選択</v>
      </c>
      <c r="D836" s="5"/>
      <c r="E836" s="5"/>
      <c r="F836" s="6"/>
    </row>
    <row r="837" spans="1:6" x14ac:dyDescent="0.2">
      <c r="A837" s="2">
        <v>836</v>
      </c>
      <c r="B837" s="5"/>
      <c r="C837" s="10" t="str">
        <f>IF(B837="","←停留所idを選択",VLOOKUP(B837,'06停留所'!$B$2:$C$10500,2,0))</f>
        <v>←停留所idを選択</v>
      </c>
      <c r="D837" s="5"/>
      <c r="E837" s="5"/>
      <c r="F837" s="6"/>
    </row>
    <row r="838" spans="1:6" x14ac:dyDescent="0.2">
      <c r="A838" s="2">
        <v>837</v>
      </c>
      <c r="B838" s="5"/>
      <c r="C838" s="10" t="str">
        <f>IF(B838="","←停留所idを選択",VLOOKUP(B838,'06停留所'!$B$2:$C$10500,2,0))</f>
        <v>←停留所idを選択</v>
      </c>
      <c r="D838" s="5"/>
      <c r="E838" s="5"/>
      <c r="F838" s="6"/>
    </row>
    <row r="839" spans="1:6" x14ac:dyDescent="0.2">
      <c r="A839" s="2">
        <v>838</v>
      </c>
      <c r="B839" s="5"/>
      <c r="C839" s="10" t="str">
        <f>IF(B839="","←停留所idを選択",VLOOKUP(B839,'06停留所'!$B$2:$C$10500,2,0))</f>
        <v>←停留所idを選択</v>
      </c>
      <c r="D839" s="5"/>
      <c r="E839" s="5"/>
      <c r="F839" s="6"/>
    </row>
    <row r="840" spans="1:6" x14ac:dyDescent="0.2">
      <c r="A840" s="2">
        <v>839</v>
      </c>
      <c r="B840" s="5"/>
      <c r="C840" s="10" t="str">
        <f>IF(B840="","←停留所idを選択",VLOOKUP(B840,'06停留所'!$B$2:$C$10500,2,0))</f>
        <v>←停留所idを選択</v>
      </c>
      <c r="D840" s="5"/>
      <c r="E840" s="5"/>
      <c r="F840" s="6"/>
    </row>
    <row r="841" spans="1:6" x14ac:dyDescent="0.2">
      <c r="A841" s="2">
        <v>840</v>
      </c>
      <c r="B841" s="5"/>
      <c r="C841" s="10" t="str">
        <f>IF(B841="","←停留所idを選択",VLOOKUP(B841,'06停留所'!$B$2:$C$10500,2,0))</f>
        <v>←停留所idを選択</v>
      </c>
      <c r="D841" s="5"/>
      <c r="E841" s="5"/>
      <c r="F841" s="6"/>
    </row>
    <row r="842" spans="1:6" x14ac:dyDescent="0.2">
      <c r="A842" s="2">
        <v>841</v>
      </c>
      <c r="B842" s="5"/>
      <c r="C842" s="10" t="str">
        <f>IF(B842="","←停留所idを選択",VLOOKUP(B842,'06停留所'!$B$2:$C$10500,2,0))</f>
        <v>←停留所idを選択</v>
      </c>
      <c r="D842" s="5"/>
      <c r="E842" s="5"/>
      <c r="F842" s="6"/>
    </row>
    <row r="843" spans="1:6" x14ac:dyDescent="0.2">
      <c r="A843" s="2">
        <v>842</v>
      </c>
      <c r="B843" s="5"/>
      <c r="C843" s="10" t="str">
        <f>IF(B843="","←停留所idを選択",VLOOKUP(B843,'06停留所'!$B$2:$C$10500,2,0))</f>
        <v>←停留所idを選択</v>
      </c>
      <c r="D843" s="5"/>
      <c r="E843" s="5"/>
      <c r="F843" s="6"/>
    </row>
    <row r="844" spans="1:6" x14ac:dyDescent="0.2">
      <c r="A844" s="2">
        <v>843</v>
      </c>
      <c r="B844" s="5"/>
      <c r="C844" s="10" t="str">
        <f>IF(B844="","←停留所idを選択",VLOOKUP(B844,'06停留所'!$B$2:$C$10500,2,0))</f>
        <v>←停留所idを選択</v>
      </c>
      <c r="D844" s="5"/>
      <c r="E844" s="5"/>
      <c r="F844" s="6"/>
    </row>
    <row r="845" spans="1:6" x14ac:dyDescent="0.2">
      <c r="A845" s="2">
        <v>844</v>
      </c>
      <c r="B845" s="5"/>
      <c r="C845" s="10" t="str">
        <f>IF(B845="","←停留所idを選択",VLOOKUP(B845,'06停留所'!$B$2:$C$10500,2,0))</f>
        <v>←停留所idを選択</v>
      </c>
      <c r="D845" s="5"/>
      <c r="E845" s="5"/>
      <c r="F845" s="6"/>
    </row>
    <row r="846" spans="1:6" x14ac:dyDescent="0.2">
      <c r="A846" s="2">
        <v>845</v>
      </c>
      <c r="B846" s="5"/>
      <c r="C846" s="10" t="str">
        <f>IF(B846="","←停留所idを選択",VLOOKUP(B846,'06停留所'!$B$2:$C$10500,2,0))</f>
        <v>←停留所idを選択</v>
      </c>
      <c r="D846" s="5"/>
      <c r="E846" s="5"/>
      <c r="F846" s="6"/>
    </row>
    <row r="847" spans="1:6" x14ac:dyDescent="0.2">
      <c r="A847" s="2">
        <v>846</v>
      </c>
      <c r="B847" s="5"/>
      <c r="C847" s="10" t="str">
        <f>IF(B847="","←停留所idを選択",VLOOKUP(B847,'06停留所'!$B$2:$C$10500,2,0))</f>
        <v>←停留所idを選択</v>
      </c>
      <c r="D847" s="5"/>
      <c r="E847" s="5"/>
      <c r="F847" s="6"/>
    </row>
    <row r="848" spans="1:6" x14ac:dyDescent="0.2">
      <c r="A848" s="2">
        <v>847</v>
      </c>
      <c r="B848" s="5"/>
      <c r="C848" s="10" t="str">
        <f>IF(B848="","←停留所idを選択",VLOOKUP(B848,'06停留所'!$B$2:$C$10500,2,0))</f>
        <v>←停留所idを選択</v>
      </c>
      <c r="D848" s="5"/>
      <c r="E848" s="5"/>
      <c r="F848" s="6"/>
    </row>
    <row r="849" spans="1:6" x14ac:dyDescent="0.2">
      <c r="A849" s="2">
        <v>848</v>
      </c>
      <c r="B849" s="5"/>
      <c r="C849" s="10" t="str">
        <f>IF(B849="","←停留所idを選択",VLOOKUP(B849,'06停留所'!$B$2:$C$10500,2,0))</f>
        <v>←停留所idを選択</v>
      </c>
      <c r="D849" s="5"/>
      <c r="E849" s="5"/>
      <c r="F849" s="6"/>
    </row>
    <row r="850" spans="1:6" x14ac:dyDescent="0.2">
      <c r="A850" s="2">
        <v>849</v>
      </c>
      <c r="B850" s="5"/>
      <c r="C850" s="10" t="str">
        <f>IF(B850="","←停留所idを選択",VLOOKUP(B850,'06停留所'!$B$2:$C$10500,2,0))</f>
        <v>←停留所idを選択</v>
      </c>
      <c r="D850" s="5"/>
      <c r="E850" s="5"/>
      <c r="F850" s="6"/>
    </row>
    <row r="851" spans="1:6" x14ac:dyDescent="0.2">
      <c r="A851" s="2">
        <v>850</v>
      </c>
      <c r="B851" s="5"/>
      <c r="C851" s="10" t="str">
        <f>IF(B851="","←停留所idを選択",VLOOKUP(B851,'06停留所'!$B$2:$C$10500,2,0))</f>
        <v>←停留所idを選択</v>
      </c>
      <c r="D851" s="5"/>
      <c r="E851" s="5"/>
      <c r="F851" s="6"/>
    </row>
    <row r="852" spans="1:6" x14ac:dyDescent="0.2">
      <c r="A852" s="2">
        <v>851</v>
      </c>
      <c r="B852" s="5"/>
      <c r="C852" s="10" t="str">
        <f>IF(B852="","←停留所idを選択",VLOOKUP(B852,'06停留所'!$B$2:$C$10500,2,0))</f>
        <v>←停留所idを選択</v>
      </c>
      <c r="D852" s="5"/>
      <c r="E852" s="5"/>
      <c r="F852" s="6"/>
    </row>
    <row r="853" spans="1:6" x14ac:dyDescent="0.2">
      <c r="A853" s="2">
        <v>852</v>
      </c>
      <c r="B853" s="5"/>
      <c r="C853" s="10" t="str">
        <f>IF(B853="","←停留所idを選択",VLOOKUP(B853,'06停留所'!$B$2:$C$10500,2,0))</f>
        <v>←停留所idを選択</v>
      </c>
      <c r="D853" s="5"/>
      <c r="E853" s="5"/>
      <c r="F853" s="6"/>
    </row>
    <row r="854" spans="1:6" x14ac:dyDescent="0.2">
      <c r="A854" s="2">
        <v>853</v>
      </c>
      <c r="B854" s="5"/>
      <c r="C854" s="10" t="str">
        <f>IF(B854="","←停留所idを選択",VLOOKUP(B854,'06停留所'!$B$2:$C$10500,2,0))</f>
        <v>←停留所idを選択</v>
      </c>
      <c r="D854" s="5"/>
      <c r="E854" s="5"/>
      <c r="F854" s="6"/>
    </row>
    <row r="855" spans="1:6" x14ac:dyDescent="0.2">
      <c r="A855" s="2">
        <v>854</v>
      </c>
      <c r="B855" s="5"/>
      <c r="C855" s="10" t="str">
        <f>IF(B855="","←停留所idを選択",VLOOKUP(B855,'06停留所'!$B$2:$C$10500,2,0))</f>
        <v>←停留所idを選択</v>
      </c>
      <c r="D855" s="5"/>
      <c r="E855" s="5"/>
      <c r="F855" s="6"/>
    </row>
    <row r="856" spans="1:6" x14ac:dyDescent="0.2">
      <c r="A856" s="2">
        <v>855</v>
      </c>
      <c r="B856" s="5"/>
      <c r="C856" s="10" t="str">
        <f>IF(B856="","←停留所idを選択",VLOOKUP(B856,'06停留所'!$B$2:$C$10500,2,0))</f>
        <v>←停留所idを選択</v>
      </c>
      <c r="D856" s="5"/>
      <c r="E856" s="5"/>
      <c r="F856" s="6"/>
    </row>
    <row r="857" spans="1:6" x14ac:dyDescent="0.2">
      <c r="A857" s="2">
        <v>856</v>
      </c>
      <c r="B857" s="5"/>
      <c r="C857" s="10" t="str">
        <f>IF(B857="","←停留所idを選択",VLOOKUP(B857,'06停留所'!$B$2:$C$10500,2,0))</f>
        <v>←停留所idを選択</v>
      </c>
      <c r="D857" s="5"/>
      <c r="E857" s="5"/>
      <c r="F857" s="6"/>
    </row>
    <row r="858" spans="1:6" x14ac:dyDescent="0.2">
      <c r="A858" s="2">
        <v>857</v>
      </c>
      <c r="B858" s="5"/>
      <c r="C858" s="10" t="str">
        <f>IF(B858="","←停留所idを選択",VLOOKUP(B858,'06停留所'!$B$2:$C$10500,2,0))</f>
        <v>←停留所idを選択</v>
      </c>
      <c r="D858" s="5"/>
      <c r="E858" s="5"/>
      <c r="F858" s="6"/>
    </row>
    <row r="859" spans="1:6" x14ac:dyDescent="0.2">
      <c r="A859" s="2">
        <v>858</v>
      </c>
      <c r="B859" s="5"/>
      <c r="C859" s="10" t="str">
        <f>IF(B859="","←停留所idを選択",VLOOKUP(B859,'06停留所'!$B$2:$C$10500,2,0))</f>
        <v>←停留所idを選択</v>
      </c>
      <c r="D859" s="5"/>
      <c r="E859" s="5"/>
      <c r="F859" s="6"/>
    </row>
    <row r="860" spans="1:6" x14ac:dyDescent="0.2">
      <c r="A860" s="2">
        <v>859</v>
      </c>
      <c r="B860" s="5"/>
      <c r="C860" s="10" t="str">
        <f>IF(B860="","←停留所idを選択",VLOOKUP(B860,'06停留所'!$B$2:$C$10500,2,0))</f>
        <v>←停留所idを選択</v>
      </c>
      <c r="D860" s="5"/>
      <c r="E860" s="5"/>
      <c r="F860" s="6"/>
    </row>
    <row r="861" spans="1:6" x14ac:dyDescent="0.2">
      <c r="A861" s="2">
        <v>860</v>
      </c>
      <c r="B861" s="5"/>
      <c r="C861" s="10" t="str">
        <f>IF(B861="","←停留所idを選択",VLOOKUP(B861,'06停留所'!$B$2:$C$10500,2,0))</f>
        <v>←停留所idを選択</v>
      </c>
      <c r="D861" s="5"/>
      <c r="E861" s="5"/>
      <c r="F861" s="6"/>
    </row>
    <row r="862" spans="1:6" x14ac:dyDescent="0.2">
      <c r="A862" s="2">
        <v>861</v>
      </c>
      <c r="B862" s="5"/>
      <c r="C862" s="10" t="str">
        <f>IF(B862="","←停留所idを選択",VLOOKUP(B862,'06停留所'!$B$2:$C$10500,2,0))</f>
        <v>←停留所idを選択</v>
      </c>
      <c r="D862" s="5"/>
      <c r="E862" s="5"/>
      <c r="F862" s="6"/>
    </row>
    <row r="863" spans="1:6" x14ac:dyDescent="0.2">
      <c r="A863" s="2">
        <v>862</v>
      </c>
      <c r="B863" s="5"/>
      <c r="C863" s="10" t="str">
        <f>IF(B863="","←停留所idを選択",VLOOKUP(B863,'06停留所'!$B$2:$C$10500,2,0))</f>
        <v>←停留所idを選択</v>
      </c>
      <c r="D863" s="5"/>
      <c r="E863" s="5"/>
      <c r="F863" s="6"/>
    </row>
    <row r="864" spans="1:6" x14ac:dyDescent="0.2">
      <c r="A864" s="2">
        <v>863</v>
      </c>
      <c r="B864" s="5"/>
      <c r="C864" s="10" t="str">
        <f>IF(B864="","←停留所idを選択",VLOOKUP(B864,'06停留所'!$B$2:$C$10500,2,0))</f>
        <v>←停留所idを選択</v>
      </c>
      <c r="D864" s="5"/>
      <c r="E864" s="5"/>
      <c r="F864" s="6"/>
    </row>
    <row r="865" spans="1:6" x14ac:dyDescent="0.2">
      <c r="A865" s="2">
        <v>864</v>
      </c>
      <c r="B865" s="5"/>
      <c r="C865" s="10" t="str">
        <f>IF(B865="","←停留所idを選択",VLOOKUP(B865,'06停留所'!$B$2:$C$10500,2,0))</f>
        <v>←停留所idを選択</v>
      </c>
      <c r="D865" s="5"/>
      <c r="E865" s="5"/>
      <c r="F865" s="6"/>
    </row>
    <row r="866" spans="1:6" x14ac:dyDescent="0.2">
      <c r="A866" s="2">
        <v>865</v>
      </c>
      <c r="B866" s="5"/>
      <c r="C866" s="10" t="str">
        <f>IF(B866="","←停留所idを選択",VLOOKUP(B866,'06停留所'!$B$2:$C$10500,2,0))</f>
        <v>←停留所idを選択</v>
      </c>
      <c r="D866" s="5"/>
      <c r="E866" s="5"/>
      <c r="F866" s="6"/>
    </row>
    <row r="867" spans="1:6" x14ac:dyDescent="0.2">
      <c r="A867" s="2">
        <v>866</v>
      </c>
      <c r="B867" s="5"/>
      <c r="C867" s="10" t="str">
        <f>IF(B867="","←停留所idを選択",VLOOKUP(B867,'06停留所'!$B$2:$C$10500,2,0))</f>
        <v>←停留所idを選択</v>
      </c>
      <c r="D867" s="5"/>
      <c r="E867" s="5"/>
      <c r="F867" s="6"/>
    </row>
    <row r="868" spans="1:6" x14ac:dyDescent="0.2">
      <c r="A868" s="2">
        <v>867</v>
      </c>
      <c r="B868" s="5"/>
      <c r="C868" s="10" t="str">
        <f>IF(B868="","←停留所idを選択",VLOOKUP(B868,'06停留所'!$B$2:$C$10500,2,0))</f>
        <v>←停留所idを選択</v>
      </c>
      <c r="D868" s="5"/>
      <c r="E868" s="5"/>
      <c r="F868" s="6"/>
    </row>
    <row r="869" spans="1:6" x14ac:dyDescent="0.2">
      <c r="A869" s="2">
        <v>868</v>
      </c>
      <c r="B869" s="5"/>
      <c r="C869" s="10" t="str">
        <f>IF(B869="","←停留所idを選択",VLOOKUP(B869,'06停留所'!$B$2:$C$10500,2,0))</f>
        <v>←停留所idを選択</v>
      </c>
      <c r="D869" s="5"/>
      <c r="E869" s="5"/>
      <c r="F869" s="6"/>
    </row>
    <row r="870" spans="1:6" x14ac:dyDescent="0.2">
      <c r="A870" s="2">
        <v>869</v>
      </c>
      <c r="B870" s="5"/>
      <c r="C870" s="10" t="str">
        <f>IF(B870="","←停留所idを選択",VLOOKUP(B870,'06停留所'!$B$2:$C$10500,2,0))</f>
        <v>←停留所idを選択</v>
      </c>
      <c r="D870" s="5"/>
      <c r="E870" s="5"/>
      <c r="F870" s="6"/>
    </row>
    <row r="871" spans="1:6" x14ac:dyDescent="0.2">
      <c r="A871" s="2">
        <v>870</v>
      </c>
      <c r="B871" s="5"/>
      <c r="C871" s="10" t="str">
        <f>IF(B871="","←停留所idを選択",VLOOKUP(B871,'06停留所'!$B$2:$C$10500,2,0))</f>
        <v>←停留所idを選択</v>
      </c>
      <c r="D871" s="5"/>
      <c r="E871" s="5"/>
      <c r="F871" s="6"/>
    </row>
    <row r="872" spans="1:6" x14ac:dyDescent="0.2">
      <c r="A872" s="2">
        <v>871</v>
      </c>
      <c r="B872" s="5"/>
      <c r="C872" s="10" t="str">
        <f>IF(B872="","←停留所idを選択",VLOOKUP(B872,'06停留所'!$B$2:$C$10500,2,0))</f>
        <v>←停留所idを選択</v>
      </c>
      <c r="D872" s="5"/>
      <c r="E872" s="5"/>
      <c r="F872" s="6"/>
    </row>
    <row r="873" spans="1:6" x14ac:dyDescent="0.2">
      <c r="A873" s="2">
        <v>872</v>
      </c>
      <c r="B873" s="5"/>
      <c r="C873" s="10" t="str">
        <f>IF(B873="","←停留所idを選択",VLOOKUP(B873,'06停留所'!$B$2:$C$10500,2,0))</f>
        <v>←停留所idを選択</v>
      </c>
      <c r="D873" s="5"/>
      <c r="E873" s="5"/>
      <c r="F873" s="6"/>
    </row>
    <row r="874" spans="1:6" x14ac:dyDescent="0.2">
      <c r="A874" s="2">
        <v>873</v>
      </c>
      <c r="B874" s="5"/>
      <c r="C874" s="10" t="str">
        <f>IF(B874="","←停留所idを選択",VLOOKUP(B874,'06停留所'!$B$2:$C$10500,2,0))</f>
        <v>←停留所idを選択</v>
      </c>
      <c r="D874" s="5"/>
      <c r="E874" s="5"/>
      <c r="F874" s="6"/>
    </row>
    <row r="875" spans="1:6" x14ac:dyDescent="0.2">
      <c r="A875" s="2">
        <v>874</v>
      </c>
      <c r="B875" s="5"/>
      <c r="C875" s="10" t="str">
        <f>IF(B875="","←停留所idを選択",VLOOKUP(B875,'06停留所'!$B$2:$C$10500,2,0))</f>
        <v>←停留所idを選択</v>
      </c>
      <c r="D875" s="5"/>
      <c r="E875" s="5"/>
      <c r="F875" s="6"/>
    </row>
    <row r="876" spans="1:6" x14ac:dyDescent="0.2">
      <c r="A876" s="2">
        <v>875</v>
      </c>
      <c r="B876" s="5"/>
      <c r="C876" s="10" t="str">
        <f>IF(B876="","←停留所idを選択",VLOOKUP(B876,'06停留所'!$B$2:$C$10500,2,0))</f>
        <v>←停留所idを選択</v>
      </c>
      <c r="D876" s="5"/>
      <c r="E876" s="5"/>
      <c r="F876" s="6"/>
    </row>
    <row r="877" spans="1:6" x14ac:dyDescent="0.2">
      <c r="A877" s="2">
        <v>876</v>
      </c>
      <c r="B877" s="5"/>
      <c r="C877" s="10" t="str">
        <f>IF(B877="","←停留所idを選択",VLOOKUP(B877,'06停留所'!$B$2:$C$10500,2,0))</f>
        <v>←停留所idを選択</v>
      </c>
      <c r="D877" s="5"/>
      <c r="E877" s="5"/>
      <c r="F877" s="6"/>
    </row>
    <row r="878" spans="1:6" x14ac:dyDescent="0.2">
      <c r="A878" s="2">
        <v>877</v>
      </c>
      <c r="B878" s="5"/>
      <c r="C878" s="10" t="str">
        <f>IF(B878="","←停留所idを選択",VLOOKUP(B878,'06停留所'!$B$2:$C$10500,2,0))</f>
        <v>←停留所idを選択</v>
      </c>
      <c r="D878" s="5"/>
      <c r="E878" s="5"/>
      <c r="F878" s="6"/>
    </row>
    <row r="879" spans="1:6" x14ac:dyDescent="0.2">
      <c r="A879" s="2">
        <v>878</v>
      </c>
      <c r="B879" s="5"/>
      <c r="C879" s="10" t="str">
        <f>IF(B879="","←停留所idを選択",VLOOKUP(B879,'06停留所'!$B$2:$C$10500,2,0))</f>
        <v>←停留所idを選択</v>
      </c>
      <c r="D879" s="5"/>
      <c r="E879" s="5"/>
      <c r="F879" s="6"/>
    </row>
    <row r="880" spans="1:6" x14ac:dyDescent="0.2">
      <c r="A880" s="2">
        <v>879</v>
      </c>
      <c r="B880" s="5"/>
      <c r="C880" s="10" t="str">
        <f>IF(B880="","←停留所idを選択",VLOOKUP(B880,'06停留所'!$B$2:$C$10500,2,0))</f>
        <v>←停留所idを選択</v>
      </c>
      <c r="D880" s="5"/>
      <c r="E880" s="5"/>
      <c r="F880" s="6"/>
    </row>
    <row r="881" spans="1:6" x14ac:dyDescent="0.2">
      <c r="A881" s="2">
        <v>880</v>
      </c>
      <c r="B881" s="5"/>
      <c r="C881" s="10" t="str">
        <f>IF(B881="","←停留所idを選択",VLOOKUP(B881,'06停留所'!$B$2:$C$10500,2,0))</f>
        <v>←停留所idを選択</v>
      </c>
      <c r="D881" s="5"/>
      <c r="E881" s="5"/>
      <c r="F881" s="6"/>
    </row>
    <row r="882" spans="1:6" x14ac:dyDescent="0.2">
      <c r="A882" s="2">
        <v>881</v>
      </c>
      <c r="B882" s="5"/>
      <c r="C882" s="10" t="str">
        <f>IF(B882="","←停留所idを選択",VLOOKUP(B882,'06停留所'!$B$2:$C$10500,2,0))</f>
        <v>←停留所idを選択</v>
      </c>
      <c r="D882" s="5"/>
      <c r="E882" s="5"/>
      <c r="F882" s="6"/>
    </row>
    <row r="883" spans="1:6" x14ac:dyDescent="0.2">
      <c r="A883" s="2">
        <v>882</v>
      </c>
      <c r="B883" s="5"/>
      <c r="C883" s="10" t="str">
        <f>IF(B883="","←停留所idを選択",VLOOKUP(B883,'06停留所'!$B$2:$C$10500,2,0))</f>
        <v>←停留所idを選択</v>
      </c>
      <c r="D883" s="5"/>
      <c r="E883" s="5"/>
      <c r="F883" s="6"/>
    </row>
    <row r="884" spans="1:6" x14ac:dyDescent="0.2">
      <c r="A884" s="2">
        <v>883</v>
      </c>
      <c r="B884" s="5"/>
      <c r="C884" s="10" t="str">
        <f>IF(B884="","←停留所idを選択",VLOOKUP(B884,'06停留所'!$B$2:$C$10500,2,0))</f>
        <v>←停留所idを選択</v>
      </c>
      <c r="D884" s="5"/>
      <c r="E884" s="5"/>
      <c r="F884" s="6"/>
    </row>
    <row r="885" spans="1:6" x14ac:dyDescent="0.2">
      <c r="A885" s="2">
        <v>884</v>
      </c>
      <c r="B885" s="5"/>
      <c r="C885" s="10" t="str">
        <f>IF(B885="","←停留所idを選択",VLOOKUP(B885,'06停留所'!$B$2:$C$10500,2,0))</f>
        <v>←停留所idを選択</v>
      </c>
      <c r="D885" s="5"/>
      <c r="E885" s="5"/>
      <c r="F885" s="6"/>
    </row>
    <row r="886" spans="1:6" x14ac:dyDescent="0.2">
      <c r="A886" s="2">
        <v>885</v>
      </c>
      <c r="B886" s="5"/>
      <c r="C886" s="10" t="str">
        <f>IF(B886="","←停留所idを選択",VLOOKUP(B886,'06停留所'!$B$2:$C$10500,2,0))</f>
        <v>←停留所idを選択</v>
      </c>
      <c r="D886" s="5"/>
      <c r="E886" s="5"/>
      <c r="F886" s="6"/>
    </row>
    <row r="887" spans="1:6" x14ac:dyDescent="0.2">
      <c r="A887" s="2">
        <v>886</v>
      </c>
      <c r="B887" s="5"/>
      <c r="C887" s="10" t="str">
        <f>IF(B887="","←停留所idを選択",VLOOKUP(B887,'06停留所'!$B$2:$C$10500,2,0))</f>
        <v>←停留所idを選択</v>
      </c>
      <c r="D887" s="5"/>
      <c r="E887" s="5"/>
      <c r="F887" s="6"/>
    </row>
    <row r="888" spans="1:6" x14ac:dyDescent="0.2">
      <c r="A888" s="2">
        <v>887</v>
      </c>
      <c r="B888" s="5"/>
      <c r="C888" s="10" t="str">
        <f>IF(B888="","←停留所idを選択",VLOOKUP(B888,'06停留所'!$B$2:$C$10500,2,0))</f>
        <v>←停留所idを選択</v>
      </c>
      <c r="D888" s="5"/>
      <c r="E888" s="5"/>
      <c r="F888" s="6"/>
    </row>
    <row r="889" spans="1:6" x14ac:dyDescent="0.2">
      <c r="A889" s="2">
        <v>888</v>
      </c>
      <c r="B889" s="5"/>
      <c r="C889" s="10" t="str">
        <f>IF(B889="","←停留所idを選択",VLOOKUP(B889,'06停留所'!$B$2:$C$10500,2,0))</f>
        <v>←停留所idを選択</v>
      </c>
      <c r="D889" s="5"/>
      <c r="E889" s="5"/>
      <c r="F889" s="6"/>
    </row>
    <row r="890" spans="1:6" x14ac:dyDescent="0.2">
      <c r="A890" s="2">
        <v>889</v>
      </c>
      <c r="B890" s="5"/>
      <c r="C890" s="10" t="str">
        <f>IF(B890="","←停留所idを選択",VLOOKUP(B890,'06停留所'!$B$2:$C$10500,2,0))</f>
        <v>←停留所idを選択</v>
      </c>
      <c r="D890" s="5"/>
      <c r="E890" s="5"/>
      <c r="F890" s="6"/>
    </row>
    <row r="891" spans="1:6" x14ac:dyDescent="0.2">
      <c r="A891" s="2">
        <v>890</v>
      </c>
      <c r="B891" s="5"/>
      <c r="C891" s="10" t="str">
        <f>IF(B891="","←停留所idを選択",VLOOKUP(B891,'06停留所'!$B$2:$C$10500,2,0))</f>
        <v>←停留所idを選択</v>
      </c>
      <c r="D891" s="5"/>
      <c r="E891" s="5"/>
      <c r="F891" s="6"/>
    </row>
    <row r="892" spans="1:6" x14ac:dyDescent="0.2">
      <c r="A892" s="2">
        <v>891</v>
      </c>
      <c r="B892" s="5"/>
      <c r="C892" s="10" t="str">
        <f>IF(B892="","←停留所idを選択",VLOOKUP(B892,'06停留所'!$B$2:$C$10500,2,0))</f>
        <v>←停留所idを選択</v>
      </c>
      <c r="D892" s="5"/>
      <c r="E892" s="5"/>
      <c r="F892" s="6"/>
    </row>
    <row r="893" spans="1:6" x14ac:dyDescent="0.2">
      <c r="A893" s="2">
        <v>892</v>
      </c>
      <c r="B893" s="5"/>
      <c r="C893" s="10" t="str">
        <f>IF(B893="","←停留所idを選択",VLOOKUP(B893,'06停留所'!$B$2:$C$10500,2,0))</f>
        <v>←停留所idを選択</v>
      </c>
      <c r="D893" s="5"/>
      <c r="E893" s="5"/>
      <c r="F893" s="6"/>
    </row>
    <row r="894" spans="1:6" x14ac:dyDescent="0.2">
      <c r="A894" s="2">
        <v>893</v>
      </c>
      <c r="B894" s="5"/>
      <c r="C894" s="10" t="str">
        <f>IF(B894="","←停留所idを選択",VLOOKUP(B894,'06停留所'!$B$2:$C$10500,2,0))</f>
        <v>←停留所idを選択</v>
      </c>
      <c r="D894" s="5"/>
      <c r="E894" s="5"/>
      <c r="F894" s="6"/>
    </row>
    <row r="895" spans="1:6" x14ac:dyDescent="0.2">
      <c r="A895" s="2">
        <v>894</v>
      </c>
      <c r="B895" s="5"/>
      <c r="C895" s="10" t="str">
        <f>IF(B895="","←停留所idを選択",VLOOKUP(B895,'06停留所'!$B$2:$C$10500,2,0))</f>
        <v>←停留所idを選択</v>
      </c>
      <c r="D895" s="5"/>
      <c r="E895" s="5"/>
      <c r="F895" s="6"/>
    </row>
    <row r="896" spans="1:6" x14ac:dyDescent="0.2">
      <c r="A896" s="2">
        <v>895</v>
      </c>
      <c r="B896" s="5"/>
      <c r="C896" s="10" t="str">
        <f>IF(B896="","←停留所idを選択",VLOOKUP(B896,'06停留所'!$B$2:$C$10500,2,0))</f>
        <v>←停留所idを選択</v>
      </c>
      <c r="D896" s="5"/>
      <c r="E896" s="5"/>
      <c r="F896" s="6"/>
    </row>
    <row r="897" spans="1:6" x14ac:dyDescent="0.2">
      <c r="A897" s="2">
        <v>896</v>
      </c>
      <c r="B897" s="5"/>
      <c r="C897" s="10" t="str">
        <f>IF(B897="","←停留所idを選択",VLOOKUP(B897,'06停留所'!$B$2:$C$10500,2,0))</f>
        <v>←停留所idを選択</v>
      </c>
      <c r="D897" s="5"/>
      <c r="E897" s="5"/>
      <c r="F897" s="6"/>
    </row>
    <row r="898" spans="1:6" x14ac:dyDescent="0.2">
      <c r="A898" s="2">
        <v>897</v>
      </c>
      <c r="B898" s="5"/>
      <c r="C898" s="10" t="str">
        <f>IF(B898="","←停留所idを選択",VLOOKUP(B898,'06停留所'!$B$2:$C$10500,2,0))</f>
        <v>←停留所idを選択</v>
      </c>
      <c r="D898" s="5"/>
      <c r="E898" s="5"/>
      <c r="F898" s="6"/>
    </row>
    <row r="899" spans="1:6" x14ac:dyDescent="0.2">
      <c r="A899" s="2">
        <v>898</v>
      </c>
      <c r="B899" s="5"/>
      <c r="C899" s="10" t="str">
        <f>IF(B899="","←停留所idを選択",VLOOKUP(B899,'06停留所'!$B$2:$C$10500,2,0))</f>
        <v>←停留所idを選択</v>
      </c>
      <c r="D899" s="5"/>
      <c r="E899" s="5"/>
      <c r="F899" s="6"/>
    </row>
    <row r="900" spans="1:6" x14ac:dyDescent="0.2">
      <c r="A900" s="2">
        <v>899</v>
      </c>
      <c r="B900" s="5"/>
      <c r="C900" s="10" t="str">
        <f>IF(B900="","←停留所idを選択",VLOOKUP(B900,'06停留所'!$B$2:$C$10500,2,0))</f>
        <v>←停留所idを選択</v>
      </c>
      <c r="D900" s="5"/>
      <c r="E900" s="5"/>
      <c r="F900" s="6"/>
    </row>
    <row r="901" spans="1:6" x14ac:dyDescent="0.2">
      <c r="A901" s="2">
        <v>900</v>
      </c>
      <c r="B901" s="5"/>
      <c r="C901" s="10" t="str">
        <f>IF(B901="","←停留所idを選択",VLOOKUP(B901,'06停留所'!$B$2:$C$10500,2,0))</f>
        <v>←停留所idを選択</v>
      </c>
      <c r="D901" s="5"/>
      <c r="E901" s="5"/>
      <c r="F901" s="6"/>
    </row>
    <row r="902" spans="1:6" x14ac:dyDescent="0.2">
      <c r="A902" s="2">
        <v>901</v>
      </c>
      <c r="B902" s="5"/>
      <c r="C902" s="10" t="str">
        <f>IF(B902="","←停留所idを選択",VLOOKUP(B902,'06停留所'!$B$2:$C$10500,2,0))</f>
        <v>←停留所idを選択</v>
      </c>
      <c r="D902" s="5"/>
      <c r="E902" s="5"/>
      <c r="F902" s="6"/>
    </row>
    <row r="903" spans="1:6" x14ac:dyDescent="0.2">
      <c r="A903" s="2">
        <v>902</v>
      </c>
      <c r="B903" s="5"/>
      <c r="C903" s="10" t="str">
        <f>IF(B903="","←停留所idを選択",VLOOKUP(B903,'06停留所'!$B$2:$C$10500,2,0))</f>
        <v>←停留所idを選択</v>
      </c>
      <c r="D903" s="5"/>
      <c r="E903" s="5"/>
      <c r="F903" s="6"/>
    </row>
    <row r="904" spans="1:6" x14ac:dyDescent="0.2">
      <c r="A904" s="2">
        <v>903</v>
      </c>
      <c r="B904" s="5"/>
      <c r="C904" s="10" t="str">
        <f>IF(B904="","←停留所idを選択",VLOOKUP(B904,'06停留所'!$B$2:$C$10500,2,0))</f>
        <v>←停留所idを選択</v>
      </c>
      <c r="D904" s="5"/>
      <c r="E904" s="5"/>
      <c r="F904" s="6"/>
    </row>
    <row r="905" spans="1:6" x14ac:dyDescent="0.2">
      <c r="A905" s="2">
        <v>904</v>
      </c>
      <c r="B905" s="5"/>
      <c r="C905" s="10" t="str">
        <f>IF(B905="","←停留所idを選択",VLOOKUP(B905,'06停留所'!$B$2:$C$10500,2,0))</f>
        <v>←停留所idを選択</v>
      </c>
      <c r="D905" s="5"/>
      <c r="E905" s="5"/>
      <c r="F905" s="6"/>
    </row>
    <row r="906" spans="1:6" x14ac:dyDescent="0.2">
      <c r="A906" s="2">
        <v>905</v>
      </c>
      <c r="B906" s="5"/>
      <c r="C906" s="10" t="str">
        <f>IF(B906="","←停留所idを選択",VLOOKUP(B906,'06停留所'!$B$2:$C$10500,2,0))</f>
        <v>←停留所idを選択</v>
      </c>
      <c r="D906" s="5"/>
      <c r="E906" s="5"/>
      <c r="F906" s="6"/>
    </row>
    <row r="907" spans="1:6" x14ac:dyDescent="0.2">
      <c r="A907" s="2">
        <v>906</v>
      </c>
      <c r="B907" s="5"/>
      <c r="C907" s="10" t="str">
        <f>IF(B907="","←停留所idを選択",VLOOKUP(B907,'06停留所'!$B$2:$C$10500,2,0))</f>
        <v>←停留所idを選択</v>
      </c>
      <c r="D907" s="5"/>
      <c r="E907" s="5"/>
      <c r="F907" s="6"/>
    </row>
    <row r="908" spans="1:6" x14ac:dyDescent="0.2">
      <c r="A908" s="2">
        <v>907</v>
      </c>
      <c r="B908" s="5"/>
      <c r="C908" s="10" t="str">
        <f>IF(B908="","←停留所idを選択",VLOOKUP(B908,'06停留所'!$B$2:$C$10500,2,0))</f>
        <v>←停留所idを選択</v>
      </c>
      <c r="D908" s="5"/>
      <c r="E908" s="5"/>
      <c r="F908" s="6"/>
    </row>
    <row r="909" spans="1:6" x14ac:dyDescent="0.2">
      <c r="A909" s="2">
        <v>908</v>
      </c>
      <c r="B909" s="5"/>
      <c r="C909" s="10" t="str">
        <f>IF(B909="","←停留所idを選択",VLOOKUP(B909,'06停留所'!$B$2:$C$10500,2,0))</f>
        <v>←停留所idを選択</v>
      </c>
      <c r="D909" s="5"/>
      <c r="E909" s="5"/>
      <c r="F909" s="6"/>
    </row>
    <row r="910" spans="1:6" x14ac:dyDescent="0.2">
      <c r="A910" s="2">
        <v>909</v>
      </c>
      <c r="B910" s="5"/>
      <c r="C910" s="10" t="str">
        <f>IF(B910="","←停留所idを選択",VLOOKUP(B910,'06停留所'!$B$2:$C$10500,2,0))</f>
        <v>←停留所idを選択</v>
      </c>
      <c r="D910" s="5"/>
      <c r="E910" s="5"/>
      <c r="F910" s="6"/>
    </row>
    <row r="911" spans="1:6" x14ac:dyDescent="0.2">
      <c r="A911" s="2">
        <v>910</v>
      </c>
      <c r="B911" s="5"/>
      <c r="C911" s="10" t="str">
        <f>IF(B911="","←停留所idを選択",VLOOKUP(B911,'06停留所'!$B$2:$C$10500,2,0))</f>
        <v>←停留所idを選択</v>
      </c>
      <c r="D911" s="5"/>
      <c r="E911" s="5"/>
      <c r="F911" s="6"/>
    </row>
    <row r="912" spans="1:6" x14ac:dyDescent="0.2">
      <c r="A912" s="2">
        <v>911</v>
      </c>
      <c r="B912" s="5"/>
      <c r="C912" s="10" t="str">
        <f>IF(B912="","←停留所idを選択",VLOOKUP(B912,'06停留所'!$B$2:$C$10500,2,0))</f>
        <v>←停留所idを選択</v>
      </c>
      <c r="D912" s="5"/>
      <c r="E912" s="5"/>
      <c r="F912" s="6"/>
    </row>
    <row r="913" spans="1:6" x14ac:dyDescent="0.2">
      <c r="A913" s="2">
        <v>912</v>
      </c>
      <c r="B913" s="5"/>
      <c r="C913" s="10" t="str">
        <f>IF(B913="","←停留所idを選択",VLOOKUP(B913,'06停留所'!$B$2:$C$10500,2,0))</f>
        <v>←停留所idを選択</v>
      </c>
      <c r="D913" s="5"/>
      <c r="E913" s="5"/>
      <c r="F913" s="6"/>
    </row>
    <row r="914" spans="1:6" x14ac:dyDescent="0.2">
      <c r="A914" s="2">
        <v>913</v>
      </c>
      <c r="B914" s="5"/>
      <c r="C914" s="10" t="str">
        <f>IF(B914="","←停留所idを選択",VLOOKUP(B914,'06停留所'!$B$2:$C$10500,2,0))</f>
        <v>←停留所idを選択</v>
      </c>
      <c r="D914" s="5"/>
      <c r="E914" s="5"/>
      <c r="F914" s="6"/>
    </row>
    <row r="915" spans="1:6" x14ac:dyDescent="0.2">
      <c r="A915" s="2">
        <v>914</v>
      </c>
      <c r="B915" s="5"/>
      <c r="C915" s="10" t="str">
        <f>IF(B915="","←停留所idを選択",VLOOKUP(B915,'06停留所'!$B$2:$C$10500,2,0))</f>
        <v>←停留所idを選択</v>
      </c>
      <c r="D915" s="5"/>
      <c r="E915" s="5"/>
      <c r="F915" s="6"/>
    </row>
    <row r="916" spans="1:6" x14ac:dyDescent="0.2">
      <c r="A916" s="2">
        <v>915</v>
      </c>
      <c r="B916" s="5"/>
      <c r="C916" s="10" t="str">
        <f>IF(B916="","←停留所idを選択",VLOOKUP(B916,'06停留所'!$B$2:$C$10500,2,0))</f>
        <v>←停留所idを選択</v>
      </c>
      <c r="D916" s="5"/>
      <c r="E916" s="5"/>
      <c r="F916" s="6"/>
    </row>
    <row r="917" spans="1:6" x14ac:dyDescent="0.2">
      <c r="A917" s="2">
        <v>916</v>
      </c>
      <c r="B917" s="5"/>
      <c r="C917" s="10" t="str">
        <f>IF(B917="","←停留所idを選択",VLOOKUP(B917,'06停留所'!$B$2:$C$10500,2,0))</f>
        <v>←停留所idを選択</v>
      </c>
      <c r="D917" s="5"/>
      <c r="E917" s="5"/>
      <c r="F917" s="6"/>
    </row>
    <row r="918" spans="1:6" x14ac:dyDescent="0.2">
      <c r="A918" s="2">
        <v>917</v>
      </c>
      <c r="B918" s="5"/>
      <c r="C918" s="10" t="str">
        <f>IF(B918="","←停留所idを選択",VLOOKUP(B918,'06停留所'!$B$2:$C$10500,2,0))</f>
        <v>←停留所idを選択</v>
      </c>
      <c r="D918" s="5"/>
      <c r="E918" s="5"/>
      <c r="F918" s="6"/>
    </row>
    <row r="919" spans="1:6" x14ac:dyDescent="0.2">
      <c r="A919" s="2">
        <v>918</v>
      </c>
      <c r="B919" s="5"/>
      <c r="C919" s="10" t="str">
        <f>IF(B919="","←停留所idを選択",VLOOKUP(B919,'06停留所'!$B$2:$C$10500,2,0))</f>
        <v>←停留所idを選択</v>
      </c>
      <c r="D919" s="5"/>
      <c r="E919" s="5"/>
      <c r="F919" s="6"/>
    </row>
    <row r="920" spans="1:6" x14ac:dyDescent="0.2">
      <c r="A920" s="2">
        <v>919</v>
      </c>
      <c r="B920" s="5"/>
      <c r="C920" s="10" t="str">
        <f>IF(B920="","←停留所idを選択",VLOOKUP(B920,'06停留所'!$B$2:$C$10500,2,0))</f>
        <v>←停留所idを選択</v>
      </c>
      <c r="D920" s="5"/>
      <c r="E920" s="5"/>
      <c r="F920" s="6"/>
    </row>
    <row r="921" spans="1:6" x14ac:dyDescent="0.2">
      <c r="A921" s="2">
        <v>920</v>
      </c>
      <c r="B921" s="5"/>
      <c r="C921" s="10" t="str">
        <f>IF(B921="","←停留所idを選択",VLOOKUP(B921,'06停留所'!$B$2:$C$10500,2,0))</f>
        <v>←停留所idを選択</v>
      </c>
      <c r="D921" s="5"/>
      <c r="E921" s="5"/>
      <c r="F921" s="6"/>
    </row>
    <row r="922" spans="1:6" x14ac:dyDescent="0.2">
      <c r="A922" s="2">
        <v>921</v>
      </c>
      <c r="B922" s="5"/>
      <c r="C922" s="10" t="str">
        <f>IF(B922="","←停留所idを選択",VLOOKUP(B922,'06停留所'!$B$2:$C$10500,2,0))</f>
        <v>←停留所idを選択</v>
      </c>
      <c r="D922" s="5"/>
      <c r="E922" s="5"/>
      <c r="F922" s="6"/>
    </row>
    <row r="923" spans="1:6" x14ac:dyDescent="0.2">
      <c r="A923" s="2">
        <v>922</v>
      </c>
      <c r="B923" s="5"/>
      <c r="C923" s="10" t="str">
        <f>IF(B923="","←停留所idを選択",VLOOKUP(B923,'06停留所'!$B$2:$C$10500,2,0))</f>
        <v>←停留所idを選択</v>
      </c>
      <c r="D923" s="5"/>
      <c r="E923" s="5"/>
      <c r="F923" s="6"/>
    </row>
    <row r="924" spans="1:6" x14ac:dyDescent="0.2">
      <c r="A924" s="2">
        <v>923</v>
      </c>
      <c r="B924" s="5"/>
      <c r="C924" s="10" t="str">
        <f>IF(B924="","←停留所idを選択",VLOOKUP(B924,'06停留所'!$B$2:$C$10500,2,0))</f>
        <v>←停留所idを選択</v>
      </c>
      <c r="D924" s="5"/>
      <c r="E924" s="5"/>
      <c r="F924" s="6"/>
    </row>
    <row r="925" spans="1:6" x14ac:dyDescent="0.2">
      <c r="A925" s="2">
        <v>924</v>
      </c>
      <c r="B925" s="5"/>
      <c r="C925" s="10" t="str">
        <f>IF(B925="","←停留所idを選択",VLOOKUP(B925,'06停留所'!$B$2:$C$10500,2,0))</f>
        <v>←停留所idを選択</v>
      </c>
      <c r="D925" s="5"/>
      <c r="E925" s="5"/>
      <c r="F925" s="6"/>
    </row>
    <row r="926" spans="1:6" x14ac:dyDescent="0.2">
      <c r="A926" s="2">
        <v>925</v>
      </c>
      <c r="B926" s="5"/>
      <c r="C926" s="10" t="str">
        <f>IF(B926="","←停留所idを選択",VLOOKUP(B926,'06停留所'!$B$2:$C$10500,2,0))</f>
        <v>←停留所idを選択</v>
      </c>
      <c r="D926" s="5"/>
      <c r="E926" s="5"/>
      <c r="F926" s="6"/>
    </row>
    <row r="927" spans="1:6" x14ac:dyDescent="0.2">
      <c r="A927" s="2">
        <v>926</v>
      </c>
      <c r="B927" s="5"/>
      <c r="C927" s="10" t="str">
        <f>IF(B927="","←停留所idを選択",VLOOKUP(B927,'06停留所'!$B$2:$C$10500,2,0))</f>
        <v>←停留所idを選択</v>
      </c>
      <c r="D927" s="5"/>
      <c r="E927" s="5"/>
      <c r="F927" s="6"/>
    </row>
    <row r="928" spans="1:6" x14ac:dyDescent="0.2">
      <c r="A928" s="2">
        <v>927</v>
      </c>
      <c r="B928" s="5"/>
      <c r="C928" s="10" t="str">
        <f>IF(B928="","←停留所idを選択",VLOOKUP(B928,'06停留所'!$B$2:$C$10500,2,0))</f>
        <v>←停留所idを選択</v>
      </c>
      <c r="D928" s="5"/>
      <c r="E928" s="5"/>
      <c r="F928" s="6"/>
    </row>
    <row r="929" spans="1:6" x14ac:dyDescent="0.2">
      <c r="A929" s="2">
        <v>928</v>
      </c>
      <c r="B929" s="5"/>
      <c r="C929" s="10" t="str">
        <f>IF(B929="","←停留所idを選択",VLOOKUP(B929,'06停留所'!$B$2:$C$10500,2,0))</f>
        <v>←停留所idを選択</v>
      </c>
      <c r="D929" s="5"/>
      <c r="E929" s="5"/>
      <c r="F929" s="6"/>
    </row>
    <row r="930" spans="1:6" x14ac:dyDescent="0.2">
      <c r="A930" s="2">
        <v>929</v>
      </c>
      <c r="B930" s="5"/>
      <c r="C930" s="10" t="str">
        <f>IF(B930="","←停留所idを選択",VLOOKUP(B930,'06停留所'!$B$2:$C$10500,2,0))</f>
        <v>←停留所idを選択</v>
      </c>
      <c r="D930" s="5"/>
      <c r="E930" s="5"/>
      <c r="F930" s="6"/>
    </row>
    <row r="931" spans="1:6" x14ac:dyDescent="0.2">
      <c r="A931" s="2">
        <v>930</v>
      </c>
      <c r="B931" s="5"/>
      <c r="C931" s="10" t="str">
        <f>IF(B931="","←停留所idを選択",VLOOKUP(B931,'06停留所'!$B$2:$C$10500,2,0))</f>
        <v>←停留所idを選択</v>
      </c>
      <c r="D931" s="5"/>
      <c r="E931" s="5"/>
      <c r="F931" s="6"/>
    </row>
    <row r="932" spans="1:6" x14ac:dyDescent="0.2">
      <c r="A932" s="2">
        <v>931</v>
      </c>
      <c r="B932" s="5"/>
      <c r="C932" s="10" t="str">
        <f>IF(B932="","←停留所idを選択",VLOOKUP(B932,'06停留所'!$B$2:$C$10500,2,0))</f>
        <v>←停留所idを選択</v>
      </c>
      <c r="D932" s="5"/>
      <c r="E932" s="5"/>
      <c r="F932" s="6"/>
    </row>
    <row r="933" spans="1:6" x14ac:dyDescent="0.2">
      <c r="A933" s="2">
        <v>932</v>
      </c>
      <c r="B933" s="5"/>
      <c r="C933" s="10" t="str">
        <f>IF(B933="","←停留所idを選択",VLOOKUP(B933,'06停留所'!$B$2:$C$10500,2,0))</f>
        <v>←停留所idを選択</v>
      </c>
      <c r="D933" s="5"/>
      <c r="E933" s="5"/>
      <c r="F933" s="6"/>
    </row>
    <row r="934" spans="1:6" x14ac:dyDescent="0.2">
      <c r="A934" s="2">
        <v>933</v>
      </c>
      <c r="B934" s="5"/>
      <c r="C934" s="10" t="str">
        <f>IF(B934="","←停留所idを選択",VLOOKUP(B934,'06停留所'!$B$2:$C$10500,2,0))</f>
        <v>←停留所idを選択</v>
      </c>
      <c r="D934" s="5"/>
      <c r="E934" s="5"/>
      <c r="F934" s="6"/>
    </row>
    <row r="935" spans="1:6" x14ac:dyDescent="0.2">
      <c r="A935" s="2">
        <v>934</v>
      </c>
      <c r="B935" s="5"/>
      <c r="C935" s="10" t="str">
        <f>IF(B935="","←停留所idを選択",VLOOKUP(B935,'06停留所'!$B$2:$C$10500,2,0))</f>
        <v>←停留所idを選択</v>
      </c>
      <c r="D935" s="5"/>
      <c r="E935" s="5"/>
      <c r="F935" s="6"/>
    </row>
    <row r="936" spans="1:6" x14ac:dyDescent="0.2">
      <c r="A936" s="2">
        <v>935</v>
      </c>
      <c r="B936" s="5"/>
      <c r="C936" s="10" t="str">
        <f>IF(B936="","←停留所idを選択",VLOOKUP(B936,'06停留所'!$B$2:$C$10500,2,0))</f>
        <v>←停留所idを選択</v>
      </c>
      <c r="D936" s="5"/>
      <c r="E936" s="5"/>
      <c r="F936" s="6"/>
    </row>
    <row r="937" spans="1:6" x14ac:dyDescent="0.2">
      <c r="A937" s="2">
        <v>936</v>
      </c>
      <c r="B937" s="5"/>
      <c r="C937" s="10" t="str">
        <f>IF(B937="","←停留所idを選択",VLOOKUP(B937,'06停留所'!$B$2:$C$10500,2,0))</f>
        <v>←停留所idを選択</v>
      </c>
      <c r="D937" s="5"/>
      <c r="E937" s="5"/>
      <c r="F937" s="6"/>
    </row>
    <row r="938" spans="1:6" x14ac:dyDescent="0.2">
      <c r="A938" s="2">
        <v>937</v>
      </c>
      <c r="B938" s="5"/>
      <c r="C938" s="10" t="str">
        <f>IF(B938="","←停留所idを選択",VLOOKUP(B938,'06停留所'!$B$2:$C$10500,2,0))</f>
        <v>←停留所idを選択</v>
      </c>
      <c r="D938" s="5"/>
      <c r="E938" s="5"/>
      <c r="F938" s="6"/>
    </row>
    <row r="939" spans="1:6" x14ac:dyDescent="0.2">
      <c r="A939" s="2">
        <v>938</v>
      </c>
      <c r="B939" s="5"/>
      <c r="C939" s="10" t="str">
        <f>IF(B939="","←停留所idを選択",VLOOKUP(B939,'06停留所'!$B$2:$C$10500,2,0))</f>
        <v>←停留所idを選択</v>
      </c>
      <c r="D939" s="5"/>
      <c r="E939" s="5"/>
      <c r="F939" s="6"/>
    </row>
    <row r="940" spans="1:6" x14ac:dyDescent="0.2">
      <c r="A940" s="2">
        <v>939</v>
      </c>
      <c r="B940" s="5"/>
      <c r="C940" s="10" t="str">
        <f>IF(B940="","←停留所idを選択",VLOOKUP(B940,'06停留所'!$B$2:$C$10500,2,0))</f>
        <v>←停留所idを選択</v>
      </c>
      <c r="D940" s="5"/>
      <c r="E940" s="5"/>
      <c r="F940" s="6"/>
    </row>
    <row r="941" spans="1:6" x14ac:dyDescent="0.2">
      <c r="A941" s="2">
        <v>940</v>
      </c>
      <c r="B941" s="5"/>
      <c r="C941" s="10" t="str">
        <f>IF(B941="","←停留所idを選択",VLOOKUP(B941,'06停留所'!$B$2:$C$10500,2,0))</f>
        <v>←停留所idを選択</v>
      </c>
      <c r="D941" s="5"/>
      <c r="E941" s="5"/>
      <c r="F941" s="6"/>
    </row>
    <row r="942" spans="1:6" x14ac:dyDescent="0.2">
      <c r="A942" s="2">
        <v>941</v>
      </c>
      <c r="B942" s="5"/>
      <c r="C942" s="10" t="str">
        <f>IF(B942="","←停留所idを選択",VLOOKUP(B942,'06停留所'!$B$2:$C$10500,2,0))</f>
        <v>←停留所idを選択</v>
      </c>
      <c r="D942" s="5"/>
      <c r="E942" s="5"/>
      <c r="F942" s="6"/>
    </row>
    <row r="943" spans="1:6" x14ac:dyDescent="0.2">
      <c r="A943" s="2">
        <v>942</v>
      </c>
      <c r="B943" s="5"/>
      <c r="C943" s="10" t="str">
        <f>IF(B943="","←停留所idを選択",VLOOKUP(B943,'06停留所'!$B$2:$C$10500,2,0))</f>
        <v>←停留所idを選択</v>
      </c>
      <c r="D943" s="5"/>
      <c r="E943" s="5"/>
      <c r="F943" s="6"/>
    </row>
    <row r="944" spans="1:6" x14ac:dyDescent="0.2">
      <c r="A944" s="2">
        <v>943</v>
      </c>
      <c r="B944" s="5"/>
      <c r="C944" s="10" t="str">
        <f>IF(B944="","←停留所idを選択",VLOOKUP(B944,'06停留所'!$B$2:$C$10500,2,0))</f>
        <v>←停留所idを選択</v>
      </c>
      <c r="D944" s="5"/>
      <c r="E944" s="5"/>
      <c r="F944" s="6"/>
    </row>
    <row r="945" spans="1:6" x14ac:dyDescent="0.2">
      <c r="A945" s="2">
        <v>944</v>
      </c>
      <c r="B945" s="5"/>
      <c r="C945" s="10" t="str">
        <f>IF(B945="","←停留所idを選択",VLOOKUP(B945,'06停留所'!$B$2:$C$10500,2,0))</f>
        <v>←停留所idを選択</v>
      </c>
      <c r="D945" s="5"/>
      <c r="E945" s="5"/>
      <c r="F945" s="6"/>
    </row>
    <row r="946" spans="1:6" x14ac:dyDescent="0.2">
      <c r="A946" s="2">
        <v>945</v>
      </c>
      <c r="B946" s="5"/>
      <c r="C946" s="10" t="str">
        <f>IF(B946="","←停留所idを選択",VLOOKUP(B946,'06停留所'!$B$2:$C$10500,2,0))</f>
        <v>←停留所idを選択</v>
      </c>
      <c r="D946" s="5"/>
      <c r="E946" s="5"/>
      <c r="F946" s="6"/>
    </row>
    <row r="947" spans="1:6" x14ac:dyDescent="0.2">
      <c r="A947" s="2">
        <v>946</v>
      </c>
      <c r="B947" s="5"/>
      <c r="C947" s="10" t="str">
        <f>IF(B947="","←停留所idを選択",VLOOKUP(B947,'06停留所'!$B$2:$C$10500,2,0))</f>
        <v>←停留所idを選択</v>
      </c>
      <c r="D947" s="5"/>
      <c r="E947" s="5"/>
      <c r="F947" s="6"/>
    </row>
    <row r="948" spans="1:6" x14ac:dyDescent="0.2">
      <c r="A948" s="2">
        <v>947</v>
      </c>
      <c r="B948" s="5"/>
      <c r="C948" s="10" t="str">
        <f>IF(B948="","←停留所idを選択",VLOOKUP(B948,'06停留所'!$B$2:$C$10500,2,0))</f>
        <v>←停留所idを選択</v>
      </c>
      <c r="D948" s="5"/>
      <c r="E948" s="5"/>
      <c r="F948" s="6"/>
    </row>
    <row r="949" spans="1:6" x14ac:dyDescent="0.2">
      <c r="A949" s="2">
        <v>948</v>
      </c>
      <c r="B949" s="5"/>
      <c r="C949" s="10" t="str">
        <f>IF(B949="","←停留所idを選択",VLOOKUP(B949,'06停留所'!$B$2:$C$10500,2,0))</f>
        <v>←停留所idを選択</v>
      </c>
      <c r="D949" s="5"/>
      <c r="E949" s="5"/>
      <c r="F949" s="6"/>
    </row>
    <row r="950" spans="1:6" x14ac:dyDescent="0.2">
      <c r="A950" s="2">
        <v>949</v>
      </c>
      <c r="B950" s="5"/>
      <c r="C950" s="10" t="str">
        <f>IF(B950="","←停留所idを選択",VLOOKUP(B950,'06停留所'!$B$2:$C$10500,2,0))</f>
        <v>←停留所idを選択</v>
      </c>
      <c r="D950" s="5"/>
      <c r="E950" s="5"/>
      <c r="F950" s="6"/>
    </row>
    <row r="951" spans="1:6" x14ac:dyDescent="0.2">
      <c r="A951" s="2">
        <v>950</v>
      </c>
      <c r="B951" s="5"/>
      <c r="C951" s="10" t="str">
        <f>IF(B951="","←停留所idを選択",VLOOKUP(B951,'06停留所'!$B$2:$C$10500,2,0))</f>
        <v>←停留所idを選択</v>
      </c>
      <c r="D951" s="5"/>
      <c r="E951" s="5"/>
      <c r="F951" s="6"/>
    </row>
    <row r="952" spans="1:6" x14ac:dyDescent="0.2">
      <c r="A952" s="2">
        <v>951</v>
      </c>
      <c r="B952" s="5"/>
      <c r="C952" s="10" t="str">
        <f>IF(B952="","←停留所idを選択",VLOOKUP(B952,'06停留所'!$B$2:$C$10500,2,0))</f>
        <v>←停留所idを選択</v>
      </c>
      <c r="D952" s="5"/>
      <c r="E952" s="5"/>
      <c r="F952" s="6"/>
    </row>
    <row r="953" spans="1:6" x14ac:dyDescent="0.2">
      <c r="A953" s="2">
        <v>952</v>
      </c>
      <c r="B953" s="5"/>
      <c r="C953" s="10" t="str">
        <f>IF(B953="","←停留所idを選択",VLOOKUP(B953,'06停留所'!$B$2:$C$10500,2,0))</f>
        <v>←停留所idを選択</v>
      </c>
      <c r="D953" s="5"/>
      <c r="E953" s="5"/>
      <c r="F953" s="6"/>
    </row>
    <row r="954" spans="1:6" x14ac:dyDescent="0.2">
      <c r="A954" s="2">
        <v>953</v>
      </c>
      <c r="B954" s="5"/>
      <c r="C954" s="10" t="str">
        <f>IF(B954="","←停留所idを選択",VLOOKUP(B954,'06停留所'!$B$2:$C$10500,2,0))</f>
        <v>←停留所idを選択</v>
      </c>
      <c r="D954" s="5"/>
      <c r="E954" s="5"/>
      <c r="F954" s="6"/>
    </row>
    <row r="955" spans="1:6" x14ac:dyDescent="0.2">
      <c r="A955" s="2">
        <v>954</v>
      </c>
      <c r="B955" s="5"/>
      <c r="C955" s="10" t="str">
        <f>IF(B955="","←停留所idを選択",VLOOKUP(B955,'06停留所'!$B$2:$C$10500,2,0))</f>
        <v>←停留所idを選択</v>
      </c>
      <c r="D955" s="5"/>
      <c r="E955" s="5"/>
      <c r="F955" s="6"/>
    </row>
    <row r="956" spans="1:6" x14ac:dyDescent="0.2">
      <c r="A956" s="2">
        <v>955</v>
      </c>
      <c r="B956" s="5"/>
      <c r="C956" s="10" t="str">
        <f>IF(B956="","←停留所idを選択",VLOOKUP(B956,'06停留所'!$B$2:$C$10500,2,0))</f>
        <v>←停留所idを選択</v>
      </c>
      <c r="D956" s="5"/>
      <c r="E956" s="5"/>
      <c r="F956" s="6"/>
    </row>
    <row r="957" spans="1:6" x14ac:dyDescent="0.2">
      <c r="A957" s="2">
        <v>956</v>
      </c>
      <c r="B957" s="5"/>
      <c r="C957" s="10" t="str">
        <f>IF(B957="","←停留所idを選択",VLOOKUP(B957,'06停留所'!$B$2:$C$10500,2,0))</f>
        <v>←停留所idを選択</v>
      </c>
      <c r="D957" s="5"/>
      <c r="E957" s="5"/>
      <c r="F957" s="6"/>
    </row>
    <row r="958" spans="1:6" x14ac:dyDescent="0.2">
      <c r="A958" s="2">
        <v>957</v>
      </c>
      <c r="B958" s="5"/>
      <c r="C958" s="10" t="str">
        <f>IF(B958="","←停留所idを選択",VLOOKUP(B958,'06停留所'!$B$2:$C$10500,2,0))</f>
        <v>←停留所idを選択</v>
      </c>
      <c r="D958" s="5"/>
      <c r="E958" s="5"/>
      <c r="F958" s="6"/>
    </row>
    <row r="959" spans="1:6" x14ac:dyDescent="0.2">
      <c r="A959" s="2">
        <v>958</v>
      </c>
      <c r="B959" s="5"/>
      <c r="C959" s="10" t="str">
        <f>IF(B959="","←停留所idを選択",VLOOKUP(B959,'06停留所'!$B$2:$C$10500,2,0))</f>
        <v>←停留所idを選択</v>
      </c>
      <c r="D959" s="5"/>
      <c r="E959" s="5"/>
      <c r="F959" s="6"/>
    </row>
    <row r="960" spans="1:6" x14ac:dyDescent="0.2">
      <c r="A960" s="2">
        <v>959</v>
      </c>
      <c r="B960" s="5"/>
      <c r="C960" s="10" t="str">
        <f>IF(B960="","←停留所idを選択",VLOOKUP(B960,'06停留所'!$B$2:$C$10500,2,0))</f>
        <v>←停留所idを選択</v>
      </c>
      <c r="D960" s="5"/>
      <c r="E960" s="5"/>
      <c r="F960" s="6"/>
    </row>
    <row r="961" spans="1:6" x14ac:dyDescent="0.2">
      <c r="A961" s="2">
        <v>960</v>
      </c>
      <c r="B961" s="5"/>
      <c r="C961" s="10" t="str">
        <f>IF(B961="","←停留所idを選択",VLOOKUP(B961,'06停留所'!$B$2:$C$10500,2,0))</f>
        <v>←停留所idを選択</v>
      </c>
      <c r="D961" s="5"/>
      <c r="E961" s="5"/>
      <c r="F961" s="6"/>
    </row>
    <row r="962" spans="1:6" x14ac:dyDescent="0.2">
      <c r="A962" s="2">
        <v>961</v>
      </c>
      <c r="B962" s="5"/>
      <c r="C962" s="10" t="str">
        <f>IF(B962="","←停留所idを選択",VLOOKUP(B962,'06停留所'!$B$2:$C$10500,2,0))</f>
        <v>←停留所idを選択</v>
      </c>
      <c r="D962" s="5"/>
      <c r="E962" s="5"/>
      <c r="F962" s="6"/>
    </row>
    <row r="963" spans="1:6" x14ac:dyDescent="0.2">
      <c r="A963" s="2">
        <v>962</v>
      </c>
      <c r="B963" s="5"/>
      <c r="C963" s="10" t="str">
        <f>IF(B963="","←停留所idを選択",VLOOKUP(B963,'06停留所'!$B$2:$C$10500,2,0))</f>
        <v>←停留所idを選択</v>
      </c>
      <c r="D963" s="5"/>
      <c r="E963" s="5"/>
      <c r="F963" s="6"/>
    </row>
    <row r="964" spans="1:6" x14ac:dyDescent="0.2">
      <c r="A964" s="2">
        <v>963</v>
      </c>
      <c r="B964" s="5"/>
      <c r="C964" s="10" t="str">
        <f>IF(B964="","←停留所idを選択",VLOOKUP(B964,'06停留所'!$B$2:$C$10500,2,0))</f>
        <v>←停留所idを選択</v>
      </c>
      <c r="D964" s="5"/>
      <c r="E964" s="5"/>
      <c r="F964" s="6"/>
    </row>
    <row r="965" spans="1:6" x14ac:dyDescent="0.2">
      <c r="A965" s="2">
        <v>964</v>
      </c>
      <c r="B965" s="5"/>
      <c r="C965" s="10" t="str">
        <f>IF(B965="","←停留所idを選択",VLOOKUP(B965,'06停留所'!$B$2:$C$10500,2,0))</f>
        <v>←停留所idを選択</v>
      </c>
      <c r="D965" s="5"/>
      <c r="E965" s="5"/>
      <c r="F965" s="6"/>
    </row>
    <row r="966" spans="1:6" x14ac:dyDescent="0.2">
      <c r="A966" s="2">
        <v>965</v>
      </c>
      <c r="B966" s="5"/>
      <c r="C966" s="10" t="str">
        <f>IF(B966="","←停留所idを選択",VLOOKUP(B966,'06停留所'!$B$2:$C$10500,2,0))</f>
        <v>←停留所idを選択</v>
      </c>
      <c r="D966" s="5"/>
      <c r="E966" s="5"/>
      <c r="F966" s="6"/>
    </row>
    <row r="967" spans="1:6" x14ac:dyDescent="0.2">
      <c r="A967" s="2">
        <v>966</v>
      </c>
      <c r="B967" s="5"/>
      <c r="C967" s="10" t="str">
        <f>IF(B967="","←停留所idを選択",VLOOKUP(B967,'06停留所'!$B$2:$C$10500,2,0))</f>
        <v>←停留所idを選択</v>
      </c>
      <c r="D967" s="5"/>
      <c r="E967" s="5"/>
      <c r="F967" s="6"/>
    </row>
    <row r="968" spans="1:6" x14ac:dyDescent="0.2">
      <c r="A968" s="2">
        <v>967</v>
      </c>
      <c r="B968" s="5"/>
      <c r="C968" s="10" t="str">
        <f>IF(B968="","←停留所idを選択",VLOOKUP(B968,'06停留所'!$B$2:$C$10500,2,0))</f>
        <v>←停留所idを選択</v>
      </c>
      <c r="D968" s="5"/>
      <c r="E968" s="5"/>
      <c r="F968" s="6"/>
    </row>
    <row r="969" spans="1:6" x14ac:dyDescent="0.2">
      <c r="A969" s="2">
        <v>968</v>
      </c>
      <c r="B969" s="5"/>
      <c r="C969" s="10" t="str">
        <f>IF(B969="","←停留所idを選択",VLOOKUP(B969,'06停留所'!$B$2:$C$10500,2,0))</f>
        <v>←停留所idを選択</v>
      </c>
      <c r="D969" s="5"/>
      <c r="E969" s="5"/>
      <c r="F969" s="6"/>
    </row>
    <row r="970" spans="1:6" x14ac:dyDescent="0.2">
      <c r="A970" s="2">
        <v>969</v>
      </c>
      <c r="B970" s="5"/>
      <c r="C970" s="10" t="str">
        <f>IF(B970="","←停留所idを選択",VLOOKUP(B970,'06停留所'!$B$2:$C$10500,2,0))</f>
        <v>←停留所idを選択</v>
      </c>
      <c r="D970" s="5"/>
      <c r="E970" s="5"/>
      <c r="F970" s="6"/>
    </row>
    <row r="971" spans="1:6" x14ac:dyDescent="0.2">
      <c r="A971" s="2">
        <v>970</v>
      </c>
      <c r="B971" s="5"/>
      <c r="C971" s="10" t="str">
        <f>IF(B971="","←停留所idを選択",VLOOKUP(B971,'06停留所'!$B$2:$C$10500,2,0))</f>
        <v>←停留所idを選択</v>
      </c>
      <c r="D971" s="5"/>
      <c r="E971" s="5"/>
      <c r="F971" s="6"/>
    </row>
    <row r="972" spans="1:6" x14ac:dyDescent="0.2">
      <c r="A972" s="2">
        <v>971</v>
      </c>
      <c r="B972" s="5"/>
      <c r="C972" s="10" t="str">
        <f>IF(B972="","←停留所idを選択",VLOOKUP(B972,'06停留所'!$B$2:$C$10500,2,0))</f>
        <v>←停留所idを選択</v>
      </c>
      <c r="D972" s="5"/>
      <c r="E972" s="5"/>
      <c r="F972" s="6"/>
    </row>
    <row r="973" spans="1:6" x14ac:dyDescent="0.2">
      <c r="A973" s="2">
        <v>972</v>
      </c>
      <c r="B973" s="5"/>
      <c r="C973" s="10" t="str">
        <f>IF(B973="","←停留所idを選択",VLOOKUP(B973,'06停留所'!$B$2:$C$10500,2,0))</f>
        <v>←停留所idを選択</v>
      </c>
      <c r="D973" s="5"/>
      <c r="E973" s="5"/>
      <c r="F973" s="6"/>
    </row>
    <row r="974" spans="1:6" x14ac:dyDescent="0.2">
      <c r="A974" s="2">
        <v>973</v>
      </c>
      <c r="B974" s="5"/>
      <c r="C974" s="10" t="str">
        <f>IF(B974="","←停留所idを選択",VLOOKUP(B974,'06停留所'!$B$2:$C$10500,2,0))</f>
        <v>←停留所idを選択</v>
      </c>
      <c r="D974" s="5"/>
      <c r="E974" s="5"/>
      <c r="F974" s="6"/>
    </row>
    <row r="975" spans="1:6" x14ac:dyDescent="0.2">
      <c r="A975" s="2">
        <v>974</v>
      </c>
      <c r="B975" s="5"/>
      <c r="C975" s="10" t="str">
        <f>IF(B975="","←停留所idを選択",VLOOKUP(B975,'06停留所'!$B$2:$C$10500,2,0))</f>
        <v>←停留所idを選択</v>
      </c>
      <c r="D975" s="5"/>
      <c r="E975" s="5"/>
      <c r="F975" s="6"/>
    </row>
    <row r="976" spans="1:6" x14ac:dyDescent="0.2">
      <c r="A976" s="2">
        <v>975</v>
      </c>
      <c r="B976" s="5"/>
      <c r="C976" s="10" t="str">
        <f>IF(B976="","←停留所idを選択",VLOOKUP(B976,'06停留所'!$B$2:$C$10500,2,0))</f>
        <v>←停留所idを選択</v>
      </c>
      <c r="D976" s="5"/>
      <c r="E976" s="5"/>
      <c r="F976" s="6"/>
    </row>
    <row r="977" spans="1:6" x14ac:dyDescent="0.2">
      <c r="A977" s="2">
        <v>976</v>
      </c>
      <c r="B977" s="5"/>
      <c r="C977" s="10" t="str">
        <f>IF(B977="","←停留所idを選択",VLOOKUP(B977,'06停留所'!$B$2:$C$10500,2,0))</f>
        <v>←停留所idを選択</v>
      </c>
      <c r="D977" s="5"/>
      <c r="E977" s="5"/>
      <c r="F977" s="6"/>
    </row>
    <row r="978" spans="1:6" x14ac:dyDescent="0.2">
      <c r="A978" s="2">
        <v>977</v>
      </c>
      <c r="B978" s="5"/>
      <c r="C978" s="10" t="str">
        <f>IF(B978="","←停留所idを選択",VLOOKUP(B978,'06停留所'!$B$2:$C$10500,2,0))</f>
        <v>←停留所idを選択</v>
      </c>
      <c r="D978" s="5"/>
      <c r="E978" s="5"/>
      <c r="F978" s="6"/>
    </row>
    <row r="979" spans="1:6" x14ac:dyDescent="0.2">
      <c r="A979" s="2">
        <v>978</v>
      </c>
      <c r="B979" s="5"/>
      <c r="C979" s="10" t="str">
        <f>IF(B979="","←停留所idを選択",VLOOKUP(B979,'06停留所'!$B$2:$C$10500,2,0))</f>
        <v>←停留所idを選択</v>
      </c>
      <c r="D979" s="5"/>
      <c r="E979" s="5"/>
      <c r="F979" s="6"/>
    </row>
    <row r="980" spans="1:6" x14ac:dyDescent="0.2">
      <c r="A980" s="2">
        <v>979</v>
      </c>
      <c r="B980" s="5"/>
      <c r="C980" s="10" t="str">
        <f>IF(B980="","←停留所idを選択",VLOOKUP(B980,'06停留所'!$B$2:$C$10500,2,0))</f>
        <v>←停留所idを選択</v>
      </c>
      <c r="D980" s="5"/>
      <c r="E980" s="5"/>
      <c r="F980" s="6"/>
    </row>
    <row r="981" spans="1:6" x14ac:dyDescent="0.2">
      <c r="A981" s="2">
        <v>980</v>
      </c>
      <c r="B981" s="5"/>
      <c r="C981" s="10" t="str">
        <f>IF(B981="","←停留所idを選択",VLOOKUP(B981,'06停留所'!$B$2:$C$10500,2,0))</f>
        <v>←停留所idを選択</v>
      </c>
      <c r="D981" s="5"/>
      <c r="E981" s="5"/>
      <c r="F981" s="6"/>
    </row>
    <row r="982" spans="1:6" x14ac:dyDescent="0.2">
      <c r="A982" s="2">
        <v>981</v>
      </c>
      <c r="B982" s="5"/>
      <c r="C982" s="10" t="str">
        <f>IF(B982="","←停留所idを選択",VLOOKUP(B982,'06停留所'!$B$2:$C$10500,2,0))</f>
        <v>←停留所idを選択</v>
      </c>
      <c r="D982" s="5"/>
      <c r="E982" s="5"/>
      <c r="F982" s="6"/>
    </row>
    <row r="983" spans="1:6" x14ac:dyDescent="0.2">
      <c r="A983" s="2">
        <v>982</v>
      </c>
      <c r="B983" s="5"/>
      <c r="C983" s="10" t="str">
        <f>IF(B983="","←停留所idを選択",VLOOKUP(B983,'06停留所'!$B$2:$C$10500,2,0))</f>
        <v>←停留所idを選択</v>
      </c>
      <c r="D983" s="5"/>
      <c r="E983" s="5"/>
      <c r="F983" s="6"/>
    </row>
    <row r="984" spans="1:6" x14ac:dyDescent="0.2">
      <c r="A984" s="2">
        <v>983</v>
      </c>
      <c r="B984" s="5"/>
      <c r="C984" s="10" t="str">
        <f>IF(B984="","←停留所idを選択",VLOOKUP(B984,'06停留所'!$B$2:$C$10500,2,0))</f>
        <v>←停留所idを選択</v>
      </c>
      <c r="D984" s="5"/>
      <c r="E984" s="5"/>
      <c r="F984" s="6"/>
    </row>
    <row r="985" spans="1:6" x14ac:dyDescent="0.2">
      <c r="A985" s="2">
        <v>984</v>
      </c>
      <c r="B985" s="5"/>
      <c r="C985" s="10" t="str">
        <f>IF(B985="","←停留所idを選択",VLOOKUP(B985,'06停留所'!$B$2:$C$10500,2,0))</f>
        <v>←停留所idを選択</v>
      </c>
      <c r="D985" s="5"/>
      <c r="E985" s="5"/>
      <c r="F985" s="6"/>
    </row>
    <row r="986" spans="1:6" x14ac:dyDescent="0.2">
      <c r="A986" s="2">
        <v>985</v>
      </c>
      <c r="B986" s="5"/>
      <c r="C986" s="10" t="str">
        <f>IF(B986="","←停留所idを選択",VLOOKUP(B986,'06停留所'!$B$2:$C$10500,2,0))</f>
        <v>←停留所idを選択</v>
      </c>
      <c r="D986" s="5"/>
      <c r="E986" s="5"/>
      <c r="F986" s="6"/>
    </row>
    <row r="987" spans="1:6" x14ac:dyDescent="0.2">
      <c r="A987" s="2">
        <v>986</v>
      </c>
      <c r="B987" s="5"/>
      <c r="C987" s="10" t="str">
        <f>IF(B987="","←停留所idを選択",VLOOKUP(B987,'06停留所'!$B$2:$C$10500,2,0))</f>
        <v>←停留所idを選択</v>
      </c>
      <c r="D987" s="5"/>
      <c r="E987" s="5"/>
      <c r="F987" s="6"/>
    </row>
    <row r="988" spans="1:6" x14ac:dyDescent="0.2">
      <c r="A988" s="2">
        <v>987</v>
      </c>
      <c r="B988" s="5"/>
      <c r="C988" s="10" t="str">
        <f>IF(B988="","←停留所idを選択",VLOOKUP(B988,'06停留所'!$B$2:$C$10500,2,0))</f>
        <v>←停留所idを選択</v>
      </c>
      <c r="D988" s="5"/>
      <c r="E988" s="5"/>
      <c r="F988" s="6"/>
    </row>
    <row r="989" spans="1:6" x14ac:dyDescent="0.2">
      <c r="A989" s="2">
        <v>988</v>
      </c>
      <c r="B989" s="5"/>
      <c r="C989" s="10" t="str">
        <f>IF(B989="","←停留所idを選択",VLOOKUP(B989,'06停留所'!$B$2:$C$10500,2,0))</f>
        <v>←停留所idを選択</v>
      </c>
      <c r="D989" s="5"/>
      <c r="E989" s="5"/>
      <c r="F989" s="6"/>
    </row>
    <row r="990" spans="1:6" x14ac:dyDescent="0.2">
      <c r="A990" s="2">
        <v>989</v>
      </c>
      <c r="B990" s="5"/>
      <c r="C990" s="10" t="str">
        <f>IF(B990="","←停留所idを選択",VLOOKUP(B990,'06停留所'!$B$2:$C$10500,2,0))</f>
        <v>←停留所idを選択</v>
      </c>
      <c r="D990" s="5"/>
      <c r="E990" s="5"/>
      <c r="F990" s="6"/>
    </row>
    <row r="991" spans="1:6" x14ac:dyDescent="0.2">
      <c r="A991" s="2">
        <v>990</v>
      </c>
      <c r="B991" s="5"/>
      <c r="C991" s="10" t="str">
        <f>IF(B991="","←停留所idを選択",VLOOKUP(B991,'06停留所'!$B$2:$C$10500,2,0))</f>
        <v>←停留所idを選択</v>
      </c>
      <c r="D991" s="5"/>
      <c r="E991" s="5"/>
      <c r="F991" s="6"/>
    </row>
    <row r="992" spans="1:6" x14ac:dyDescent="0.2">
      <c r="A992" s="2">
        <v>991</v>
      </c>
      <c r="B992" s="5"/>
      <c r="C992" s="10" t="str">
        <f>IF(B992="","←停留所idを選択",VLOOKUP(B992,'06停留所'!$B$2:$C$10500,2,0))</f>
        <v>←停留所idを選択</v>
      </c>
      <c r="D992" s="5"/>
      <c r="E992" s="5"/>
      <c r="F992" s="6"/>
    </row>
    <row r="993" spans="1:6" x14ac:dyDescent="0.2">
      <c r="A993" s="2">
        <v>992</v>
      </c>
      <c r="B993" s="5"/>
      <c r="C993" s="10" t="str">
        <f>IF(B993="","←停留所idを選択",VLOOKUP(B993,'06停留所'!$B$2:$C$10500,2,0))</f>
        <v>←停留所idを選択</v>
      </c>
      <c r="D993" s="5"/>
      <c r="E993" s="5"/>
      <c r="F993" s="6"/>
    </row>
    <row r="994" spans="1:6" x14ac:dyDescent="0.2">
      <c r="A994" s="2">
        <v>993</v>
      </c>
      <c r="B994" s="5"/>
      <c r="C994" s="10" t="str">
        <f>IF(B994="","←停留所idを選択",VLOOKUP(B994,'06停留所'!$B$2:$C$10500,2,0))</f>
        <v>←停留所idを選択</v>
      </c>
      <c r="D994" s="5"/>
      <c r="E994" s="5"/>
      <c r="F994" s="6"/>
    </row>
    <row r="995" spans="1:6" x14ac:dyDescent="0.2">
      <c r="A995" s="2">
        <v>994</v>
      </c>
      <c r="B995" s="5"/>
      <c r="C995" s="10" t="str">
        <f>IF(B995="","←停留所idを選択",VLOOKUP(B995,'06停留所'!$B$2:$C$10500,2,0))</f>
        <v>←停留所idを選択</v>
      </c>
      <c r="D995" s="5"/>
      <c r="E995" s="5"/>
      <c r="F995" s="6"/>
    </row>
    <row r="996" spans="1:6" x14ac:dyDescent="0.2">
      <c r="A996" s="2">
        <v>995</v>
      </c>
      <c r="B996" s="5"/>
      <c r="C996" s="10" t="str">
        <f>IF(B996="","←停留所idを選択",VLOOKUP(B996,'06停留所'!$B$2:$C$10500,2,0))</f>
        <v>←停留所idを選択</v>
      </c>
      <c r="D996" s="5"/>
      <c r="E996" s="5"/>
      <c r="F996" s="6"/>
    </row>
    <row r="997" spans="1:6" x14ac:dyDescent="0.2">
      <c r="A997" s="2">
        <v>996</v>
      </c>
      <c r="B997" s="5"/>
      <c r="C997" s="10" t="str">
        <f>IF(B997="","←停留所idを選択",VLOOKUP(B997,'06停留所'!$B$2:$C$10500,2,0))</f>
        <v>←停留所idを選択</v>
      </c>
      <c r="D997" s="5"/>
      <c r="E997" s="5"/>
      <c r="F997" s="6"/>
    </row>
    <row r="998" spans="1:6" x14ac:dyDescent="0.2">
      <c r="A998" s="2">
        <v>997</v>
      </c>
      <c r="B998" s="5"/>
      <c r="C998" s="10" t="str">
        <f>IF(B998="","←停留所idを選択",VLOOKUP(B998,'06停留所'!$B$2:$C$10500,2,0))</f>
        <v>←停留所idを選択</v>
      </c>
      <c r="D998" s="5"/>
      <c r="E998" s="5"/>
      <c r="F998" s="6"/>
    </row>
    <row r="999" spans="1:6" x14ac:dyDescent="0.2">
      <c r="A999" s="2">
        <v>998</v>
      </c>
      <c r="B999" s="5"/>
      <c r="C999" s="10" t="str">
        <f>IF(B999="","←停留所idを選択",VLOOKUP(B999,'06停留所'!$B$2:$C$10500,2,0))</f>
        <v>←停留所idを選択</v>
      </c>
      <c r="D999" s="5"/>
      <c r="E999" s="5"/>
      <c r="F999" s="6"/>
    </row>
    <row r="1000" spans="1:6" x14ac:dyDescent="0.2">
      <c r="A1000" s="2">
        <v>999</v>
      </c>
      <c r="B1000" s="5"/>
      <c r="C1000" s="10" t="str">
        <f>IF(B1000="","←停留所idを選択",VLOOKUP(B1000,'06停留所'!$B$2:$C$10500,2,0))</f>
        <v>←停留所idを選択</v>
      </c>
      <c r="D1000" s="5"/>
      <c r="E1000" s="5"/>
      <c r="F1000" s="6"/>
    </row>
    <row r="1001" spans="1:6" x14ac:dyDescent="0.2">
      <c r="A1001" s="2">
        <v>1000</v>
      </c>
      <c r="B1001" s="5"/>
      <c r="C1001" s="10" t="str">
        <f>IF(B1001="","←停留所idを選択",VLOOKUP(B1001,'06停留所'!$B$2:$C$10500,2,0))</f>
        <v>←停留所idを選択</v>
      </c>
      <c r="D1001" s="5"/>
      <c r="E1001" s="5"/>
      <c r="F1001" s="6"/>
    </row>
    <row r="1002" spans="1:6" x14ac:dyDescent="0.2">
      <c r="A1002" s="2">
        <v>1001</v>
      </c>
      <c r="B1002" s="5"/>
      <c r="C1002" s="10" t="str">
        <f>IF(B1002="","←停留所idを選択",VLOOKUP(B1002,'06停留所'!$B$2:$C$10500,2,0))</f>
        <v>←停留所idを選択</v>
      </c>
      <c r="D1002" s="5"/>
      <c r="E1002" s="5"/>
      <c r="F1002" s="6"/>
    </row>
    <row r="1003" spans="1:6" x14ac:dyDescent="0.2">
      <c r="A1003" s="2">
        <v>1002</v>
      </c>
      <c r="B1003" s="5"/>
      <c r="C1003" s="10" t="str">
        <f>IF(B1003="","←停留所idを選択",VLOOKUP(B1003,'06停留所'!$B$2:$C$10500,2,0))</f>
        <v>←停留所idを選択</v>
      </c>
      <c r="D1003" s="5"/>
      <c r="E1003" s="5"/>
      <c r="F1003" s="6"/>
    </row>
    <row r="1004" spans="1:6" x14ac:dyDescent="0.2">
      <c r="A1004" s="2">
        <v>1003</v>
      </c>
      <c r="B1004" s="5"/>
      <c r="C1004" s="10" t="str">
        <f>IF(B1004="","←停留所idを選択",VLOOKUP(B1004,'06停留所'!$B$2:$C$10500,2,0))</f>
        <v>←停留所idを選択</v>
      </c>
      <c r="D1004" s="5"/>
      <c r="E1004" s="5"/>
      <c r="F1004" s="6"/>
    </row>
    <row r="1005" spans="1:6" x14ac:dyDescent="0.2">
      <c r="A1005" s="2">
        <v>1004</v>
      </c>
      <c r="B1005" s="5"/>
      <c r="C1005" s="10" t="str">
        <f>IF(B1005="","←停留所idを選択",VLOOKUP(B1005,'06停留所'!$B$2:$C$10500,2,0))</f>
        <v>←停留所idを選択</v>
      </c>
      <c r="D1005" s="5"/>
      <c r="E1005" s="5"/>
      <c r="F1005" s="6"/>
    </row>
    <row r="1006" spans="1:6" x14ac:dyDescent="0.2">
      <c r="A1006" s="2">
        <v>1005</v>
      </c>
      <c r="B1006" s="5"/>
      <c r="C1006" s="10" t="str">
        <f>IF(B1006="","←停留所idを選択",VLOOKUP(B1006,'06停留所'!$B$2:$C$10500,2,0))</f>
        <v>←停留所idを選択</v>
      </c>
      <c r="D1006" s="5"/>
      <c r="E1006" s="5"/>
      <c r="F1006" s="6"/>
    </row>
    <row r="1007" spans="1:6" x14ac:dyDescent="0.2">
      <c r="A1007" s="2">
        <v>1006</v>
      </c>
      <c r="B1007" s="5"/>
      <c r="C1007" s="10" t="str">
        <f>IF(B1007="","←停留所idを選択",VLOOKUP(B1007,'06停留所'!$B$2:$C$10500,2,0))</f>
        <v>←停留所idを選択</v>
      </c>
      <c r="D1007" s="5"/>
      <c r="E1007" s="5"/>
      <c r="F1007" s="6"/>
    </row>
    <row r="1008" spans="1:6" x14ac:dyDescent="0.2">
      <c r="A1008" s="2">
        <v>1007</v>
      </c>
      <c r="B1008" s="5"/>
      <c r="C1008" s="10" t="str">
        <f>IF(B1008="","←停留所idを選択",VLOOKUP(B1008,'06停留所'!$B$2:$C$10500,2,0))</f>
        <v>←停留所idを選択</v>
      </c>
      <c r="D1008" s="5"/>
      <c r="E1008" s="5"/>
      <c r="F1008" s="6"/>
    </row>
    <row r="1009" spans="1:6" x14ac:dyDescent="0.2">
      <c r="A1009" s="2">
        <v>1008</v>
      </c>
      <c r="B1009" s="5"/>
      <c r="C1009" s="10" t="str">
        <f>IF(B1009="","←停留所idを選択",VLOOKUP(B1009,'06停留所'!$B$2:$C$10500,2,0))</f>
        <v>←停留所idを選択</v>
      </c>
      <c r="D1009" s="5"/>
      <c r="E1009" s="5"/>
      <c r="F1009" s="6"/>
    </row>
    <row r="1010" spans="1:6" x14ac:dyDescent="0.2">
      <c r="A1010" s="2">
        <v>1009</v>
      </c>
      <c r="B1010" s="5"/>
      <c r="C1010" s="10" t="str">
        <f>IF(B1010="","←停留所idを選択",VLOOKUP(B1010,'06停留所'!$B$2:$C$10500,2,0))</f>
        <v>←停留所idを選択</v>
      </c>
      <c r="D1010" s="5"/>
      <c r="E1010" s="5"/>
      <c r="F1010" s="6"/>
    </row>
    <row r="1011" spans="1:6" x14ac:dyDescent="0.2">
      <c r="A1011" s="2">
        <v>1010</v>
      </c>
      <c r="B1011" s="5"/>
      <c r="C1011" s="10" t="str">
        <f>IF(B1011="","←停留所idを選択",VLOOKUP(B1011,'06停留所'!$B$2:$C$10500,2,0))</f>
        <v>←停留所idを選択</v>
      </c>
      <c r="D1011" s="5"/>
      <c r="E1011" s="5"/>
      <c r="F1011" s="6"/>
    </row>
    <row r="1012" spans="1:6" x14ac:dyDescent="0.2">
      <c r="A1012" s="2">
        <v>1011</v>
      </c>
      <c r="B1012" s="5"/>
      <c r="C1012" s="10" t="str">
        <f>IF(B1012="","←停留所idを選択",VLOOKUP(B1012,'06停留所'!$B$2:$C$10500,2,0))</f>
        <v>←停留所idを選択</v>
      </c>
      <c r="D1012" s="5"/>
      <c r="E1012" s="5"/>
      <c r="F1012" s="6"/>
    </row>
    <row r="1013" spans="1:6" x14ac:dyDescent="0.2">
      <c r="A1013" s="2">
        <v>1012</v>
      </c>
      <c r="B1013" s="5"/>
      <c r="C1013" s="10" t="str">
        <f>IF(B1013="","←停留所idを選択",VLOOKUP(B1013,'06停留所'!$B$2:$C$10500,2,0))</f>
        <v>←停留所idを選択</v>
      </c>
      <c r="D1013" s="5"/>
      <c r="E1013" s="5"/>
      <c r="F1013" s="6"/>
    </row>
    <row r="1014" spans="1:6" x14ac:dyDescent="0.2">
      <c r="A1014" s="2">
        <v>1013</v>
      </c>
      <c r="B1014" s="5"/>
      <c r="C1014" s="10" t="str">
        <f>IF(B1014="","←停留所idを選択",VLOOKUP(B1014,'06停留所'!$B$2:$C$10500,2,0))</f>
        <v>←停留所idを選択</v>
      </c>
      <c r="D1014" s="5"/>
      <c r="E1014" s="5"/>
      <c r="F1014" s="6"/>
    </row>
    <row r="1015" spans="1:6" x14ac:dyDescent="0.2">
      <c r="A1015" s="2">
        <v>1014</v>
      </c>
      <c r="B1015" s="5"/>
      <c r="C1015" s="10" t="str">
        <f>IF(B1015="","←停留所idを選択",VLOOKUP(B1015,'06停留所'!$B$2:$C$10500,2,0))</f>
        <v>←停留所idを選択</v>
      </c>
      <c r="D1015" s="5"/>
      <c r="E1015" s="5"/>
      <c r="F1015" s="6"/>
    </row>
    <row r="1016" spans="1:6" x14ac:dyDescent="0.2">
      <c r="A1016" s="2">
        <v>1015</v>
      </c>
      <c r="B1016" s="5"/>
      <c r="C1016" s="10" t="str">
        <f>IF(B1016="","←停留所idを選択",VLOOKUP(B1016,'06停留所'!$B$2:$C$10500,2,0))</f>
        <v>←停留所idを選択</v>
      </c>
      <c r="D1016" s="5"/>
      <c r="E1016" s="5"/>
      <c r="F1016" s="6"/>
    </row>
    <row r="1017" spans="1:6" x14ac:dyDescent="0.2">
      <c r="A1017" s="2">
        <v>1016</v>
      </c>
      <c r="B1017" s="5"/>
      <c r="C1017" s="10" t="str">
        <f>IF(B1017="","←停留所idを選択",VLOOKUP(B1017,'06停留所'!$B$2:$C$10500,2,0))</f>
        <v>←停留所idを選択</v>
      </c>
      <c r="D1017" s="5"/>
      <c r="E1017" s="5"/>
      <c r="F1017" s="6"/>
    </row>
    <row r="1018" spans="1:6" x14ac:dyDescent="0.2">
      <c r="A1018" s="2">
        <v>1017</v>
      </c>
      <c r="B1018" s="5"/>
      <c r="C1018" s="10" t="str">
        <f>IF(B1018="","←停留所idを選択",VLOOKUP(B1018,'06停留所'!$B$2:$C$10500,2,0))</f>
        <v>←停留所idを選択</v>
      </c>
      <c r="D1018" s="5"/>
      <c r="E1018" s="5"/>
      <c r="F1018" s="6"/>
    </row>
    <row r="1019" spans="1:6" x14ac:dyDescent="0.2">
      <c r="A1019" s="2">
        <v>1018</v>
      </c>
      <c r="B1019" s="5"/>
      <c r="C1019" s="10" t="str">
        <f>IF(B1019="","←停留所idを選択",VLOOKUP(B1019,'06停留所'!$B$2:$C$10500,2,0))</f>
        <v>←停留所idを選択</v>
      </c>
      <c r="D1019" s="5"/>
      <c r="E1019" s="5"/>
      <c r="F1019" s="6"/>
    </row>
    <row r="1020" spans="1:6" x14ac:dyDescent="0.2">
      <c r="A1020" s="2">
        <v>1019</v>
      </c>
      <c r="B1020" s="5"/>
      <c r="C1020" s="10" t="str">
        <f>IF(B1020="","←停留所idを選択",VLOOKUP(B1020,'06停留所'!$B$2:$C$10500,2,0))</f>
        <v>←停留所idを選択</v>
      </c>
      <c r="D1020" s="5"/>
      <c r="E1020" s="5"/>
      <c r="F1020" s="6"/>
    </row>
    <row r="1021" spans="1:6" x14ac:dyDescent="0.2">
      <c r="A1021" s="2">
        <v>1020</v>
      </c>
      <c r="B1021" s="5"/>
      <c r="C1021" s="10" t="str">
        <f>IF(B1021="","←停留所idを選択",VLOOKUP(B1021,'06停留所'!$B$2:$C$10500,2,0))</f>
        <v>←停留所idを選択</v>
      </c>
      <c r="D1021" s="5"/>
      <c r="E1021" s="5"/>
      <c r="F1021" s="6"/>
    </row>
    <row r="1022" spans="1:6" x14ac:dyDescent="0.2">
      <c r="A1022" s="2">
        <v>1021</v>
      </c>
      <c r="B1022" s="5"/>
      <c r="C1022" s="10" t="str">
        <f>IF(B1022="","←停留所idを選択",VLOOKUP(B1022,'06停留所'!$B$2:$C$10500,2,0))</f>
        <v>←停留所idを選択</v>
      </c>
      <c r="D1022" s="5"/>
      <c r="E1022" s="5"/>
      <c r="F1022" s="6"/>
    </row>
    <row r="1023" spans="1:6" x14ac:dyDescent="0.2">
      <c r="A1023" s="2">
        <v>1022</v>
      </c>
      <c r="B1023" s="5"/>
      <c r="C1023" s="10" t="str">
        <f>IF(B1023="","←停留所idを選択",VLOOKUP(B1023,'06停留所'!$B$2:$C$10500,2,0))</f>
        <v>←停留所idを選択</v>
      </c>
      <c r="D1023" s="5"/>
      <c r="E1023" s="5"/>
      <c r="F1023" s="6"/>
    </row>
    <row r="1024" spans="1:6" x14ac:dyDescent="0.2">
      <c r="A1024" s="2">
        <v>1023</v>
      </c>
      <c r="B1024" s="5"/>
      <c r="C1024" s="10" t="str">
        <f>IF(B1024="","←停留所idを選択",VLOOKUP(B1024,'06停留所'!$B$2:$C$10500,2,0))</f>
        <v>←停留所idを選択</v>
      </c>
      <c r="D1024" s="5"/>
      <c r="E1024" s="5"/>
      <c r="F1024" s="6"/>
    </row>
    <row r="1025" spans="1:6" x14ac:dyDescent="0.2">
      <c r="A1025" s="2">
        <v>1024</v>
      </c>
      <c r="B1025" s="5"/>
      <c r="C1025" s="10" t="str">
        <f>IF(B1025="","←停留所idを選択",VLOOKUP(B1025,'06停留所'!$B$2:$C$10500,2,0))</f>
        <v>←停留所idを選択</v>
      </c>
      <c r="D1025" s="5"/>
      <c r="E1025" s="5"/>
      <c r="F1025" s="6"/>
    </row>
    <row r="1026" spans="1:6" x14ac:dyDescent="0.2">
      <c r="A1026" s="2">
        <v>1025</v>
      </c>
      <c r="B1026" s="5"/>
      <c r="C1026" s="10" t="str">
        <f>IF(B1026="","←停留所idを選択",VLOOKUP(B1026,'06停留所'!$B$2:$C$10500,2,0))</f>
        <v>←停留所idを選択</v>
      </c>
      <c r="D1026" s="5"/>
      <c r="E1026" s="5"/>
      <c r="F1026" s="6"/>
    </row>
    <row r="1027" spans="1:6" x14ac:dyDescent="0.2">
      <c r="A1027" s="2">
        <v>1026</v>
      </c>
      <c r="B1027" s="5"/>
      <c r="C1027" s="10" t="str">
        <f>IF(B1027="","←停留所idを選択",VLOOKUP(B1027,'06停留所'!$B$2:$C$10500,2,0))</f>
        <v>←停留所idを選択</v>
      </c>
      <c r="D1027" s="5"/>
      <c r="E1027" s="5"/>
      <c r="F1027" s="6"/>
    </row>
    <row r="1028" spans="1:6" x14ac:dyDescent="0.2">
      <c r="A1028" s="2">
        <v>1027</v>
      </c>
      <c r="B1028" s="5"/>
      <c r="C1028" s="10" t="str">
        <f>IF(B1028="","←停留所idを選択",VLOOKUP(B1028,'06停留所'!$B$2:$C$10500,2,0))</f>
        <v>←停留所idを選択</v>
      </c>
      <c r="D1028" s="5"/>
      <c r="E1028" s="5"/>
      <c r="F1028" s="6"/>
    </row>
    <row r="1029" spans="1:6" x14ac:dyDescent="0.2">
      <c r="A1029" s="2">
        <v>1028</v>
      </c>
      <c r="B1029" s="5"/>
      <c r="C1029" s="10" t="str">
        <f>IF(B1029="","←停留所idを選択",VLOOKUP(B1029,'06停留所'!$B$2:$C$10500,2,0))</f>
        <v>←停留所idを選択</v>
      </c>
      <c r="D1029" s="5"/>
      <c r="E1029" s="5"/>
      <c r="F1029" s="6"/>
    </row>
    <row r="1030" spans="1:6" x14ac:dyDescent="0.2">
      <c r="A1030" s="2">
        <v>1029</v>
      </c>
      <c r="B1030" s="5"/>
      <c r="C1030" s="10" t="str">
        <f>IF(B1030="","←停留所idを選択",VLOOKUP(B1030,'06停留所'!$B$2:$C$10500,2,0))</f>
        <v>←停留所idを選択</v>
      </c>
      <c r="D1030" s="5"/>
      <c r="E1030" s="5"/>
      <c r="F1030" s="6"/>
    </row>
    <row r="1031" spans="1:6" x14ac:dyDescent="0.2">
      <c r="A1031" s="2">
        <v>1030</v>
      </c>
      <c r="B1031" s="5"/>
      <c r="C1031" s="10" t="str">
        <f>IF(B1031="","←停留所idを選択",VLOOKUP(B1031,'06停留所'!$B$2:$C$10500,2,0))</f>
        <v>←停留所idを選択</v>
      </c>
      <c r="D1031" s="5"/>
      <c r="E1031" s="5"/>
      <c r="F1031" s="6"/>
    </row>
    <row r="1032" spans="1:6" x14ac:dyDescent="0.2">
      <c r="A1032" s="2">
        <v>1031</v>
      </c>
      <c r="B1032" s="5"/>
      <c r="C1032" s="10" t="str">
        <f>IF(B1032="","←停留所idを選択",VLOOKUP(B1032,'06停留所'!$B$2:$C$10500,2,0))</f>
        <v>←停留所idを選択</v>
      </c>
      <c r="D1032" s="5"/>
      <c r="E1032" s="5"/>
      <c r="F1032" s="6"/>
    </row>
    <row r="1033" spans="1:6" x14ac:dyDescent="0.2">
      <c r="A1033" s="2">
        <v>1032</v>
      </c>
      <c r="B1033" s="5"/>
      <c r="C1033" s="10" t="str">
        <f>IF(B1033="","←停留所idを選択",VLOOKUP(B1033,'06停留所'!$B$2:$C$10500,2,0))</f>
        <v>←停留所idを選択</v>
      </c>
      <c r="D1033" s="5"/>
      <c r="E1033" s="5"/>
      <c r="F1033" s="6"/>
    </row>
    <row r="1034" spans="1:6" x14ac:dyDescent="0.2">
      <c r="A1034" s="2">
        <v>1033</v>
      </c>
      <c r="B1034" s="5"/>
      <c r="C1034" s="10" t="str">
        <f>IF(B1034="","←停留所idを選択",VLOOKUP(B1034,'06停留所'!$B$2:$C$10500,2,0))</f>
        <v>←停留所idを選択</v>
      </c>
      <c r="D1034" s="5"/>
      <c r="E1034" s="5"/>
      <c r="F1034" s="6"/>
    </row>
    <row r="1035" spans="1:6" x14ac:dyDescent="0.2">
      <c r="A1035" s="2">
        <v>1034</v>
      </c>
      <c r="B1035" s="5"/>
      <c r="C1035" s="10" t="str">
        <f>IF(B1035="","←停留所idを選択",VLOOKUP(B1035,'06停留所'!$B$2:$C$10500,2,0))</f>
        <v>←停留所idを選択</v>
      </c>
      <c r="D1035" s="5"/>
      <c r="E1035" s="5"/>
      <c r="F1035" s="6"/>
    </row>
    <row r="1036" spans="1:6" x14ac:dyDescent="0.2">
      <c r="A1036" s="2">
        <v>1035</v>
      </c>
      <c r="B1036" s="5"/>
      <c r="C1036" s="10" t="str">
        <f>IF(B1036="","←停留所idを選択",VLOOKUP(B1036,'06停留所'!$B$2:$C$10500,2,0))</f>
        <v>←停留所idを選択</v>
      </c>
      <c r="D1036" s="5"/>
      <c r="E1036" s="5"/>
      <c r="F1036" s="6"/>
    </row>
    <row r="1037" spans="1:6" x14ac:dyDescent="0.2">
      <c r="A1037" s="2">
        <v>1036</v>
      </c>
      <c r="B1037" s="5"/>
      <c r="C1037" s="10" t="str">
        <f>IF(B1037="","←停留所idを選択",VLOOKUP(B1037,'06停留所'!$B$2:$C$10500,2,0))</f>
        <v>←停留所idを選択</v>
      </c>
      <c r="D1037" s="5"/>
      <c r="E1037" s="5"/>
      <c r="F1037" s="6"/>
    </row>
    <row r="1038" spans="1:6" x14ac:dyDescent="0.2">
      <c r="A1038" s="2">
        <v>1037</v>
      </c>
      <c r="B1038" s="5"/>
      <c r="C1038" s="10" t="str">
        <f>IF(B1038="","←停留所idを選択",VLOOKUP(B1038,'06停留所'!$B$2:$C$10500,2,0))</f>
        <v>←停留所idを選択</v>
      </c>
      <c r="D1038" s="5"/>
      <c r="E1038" s="5"/>
      <c r="F1038" s="6"/>
    </row>
    <row r="1039" spans="1:6" x14ac:dyDescent="0.2">
      <c r="A1039" s="2">
        <v>1038</v>
      </c>
      <c r="B1039" s="5"/>
      <c r="C1039" s="10" t="str">
        <f>IF(B1039="","←停留所idを選択",VLOOKUP(B1039,'06停留所'!$B$2:$C$10500,2,0))</f>
        <v>←停留所idを選択</v>
      </c>
      <c r="D1039" s="5"/>
      <c r="E1039" s="5"/>
      <c r="F1039" s="6"/>
    </row>
    <row r="1040" spans="1:6" x14ac:dyDescent="0.2">
      <c r="A1040" s="2">
        <v>1039</v>
      </c>
      <c r="B1040" s="5"/>
      <c r="C1040" s="10" t="str">
        <f>IF(B1040="","←停留所idを選択",VLOOKUP(B1040,'06停留所'!$B$2:$C$10500,2,0))</f>
        <v>←停留所idを選択</v>
      </c>
      <c r="D1040" s="5"/>
      <c r="E1040" s="5"/>
      <c r="F1040" s="6"/>
    </row>
    <row r="1041" spans="1:6" x14ac:dyDescent="0.2">
      <c r="A1041" s="2">
        <v>1040</v>
      </c>
      <c r="B1041" s="5"/>
      <c r="C1041" s="10" t="str">
        <f>IF(B1041="","←停留所idを選択",VLOOKUP(B1041,'06停留所'!$B$2:$C$10500,2,0))</f>
        <v>←停留所idを選択</v>
      </c>
      <c r="D1041" s="5"/>
      <c r="E1041" s="5"/>
      <c r="F1041" s="6"/>
    </row>
    <row r="1042" spans="1:6" x14ac:dyDescent="0.2">
      <c r="A1042" s="2">
        <v>1041</v>
      </c>
      <c r="B1042" s="5"/>
      <c r="C1042" s="10" t="str">
        <f>IF(B1042="","←停留所idを選択",VLOOKUP(B1042,'06停留所'!$B$2:$C$10500,2,0))</f>
        <v>←停留所idを選択</v>
      </c>
      <c r="D1042" s="5"/>
      <c r="E1042" s="5"/>
      <c r="F1042" s="6"/>
    </row>
    <row r="1043" spans="1:6" x14ac:dyDescent="0.2">
      <c r="A1043" s="2">
        <v>1042</v>
      </c>
      <c r="B1043" s="5"/>
      <c r="C1043" s="10" t="str">
        <f>IF(B1043="","←停留所idを選択",VLOOKUP(B1043,'06停留所'!$B$2:$C$10500,2,0))</f>
        <v>←停留所idを選択</v>
      </c>
      <c r="D1043" s="5"/>
      <c r="E1043" s="5"/>
      <c r="F1043" s="6"/>
    </row>
    <row r="1044" spans="1:6" x14ac:dyDescent="0.2">
      <c r="A1044" s="2">
        <v>1043</v>
      </c>
      <c r="B1044" s="5"/>
      <c r="C1044" s="10" t="str">
        <f>IF(B1044="","←停留所idを選択",VLOOKUP(B1044,'06停留所'!$B$2:$C$10500,2,0))</f>
        <v>←停留所idを選択</v>
      </c>
      <c r="D1044" s="5"/>
      <c r="E1044" s="5"/>
      <c r="F1044" s="6"/>
    </row>
    <row r="1045" spans="1:6" x14ac:dyDescent="0.2">
      <c r="A1045" s="2">
        <v>1044</v>
      </c>
      <c r="B1045" s="5"/>
      <c r="C1045" s="10" t="str">
        <f>IF(B1045="","←停留所idを選択",VLOOKUP(B1045,'06停留所'!$B$2:$C$10500,2,0))</f>
        <v>←停留所idを選択</v>
      </c>
      <c r="D1045" s="5"/>
      <c r="E1045" s="5"/>
      <c r="F1045" s="6"/>
    </row>
    <row r="1046" spans="1:6" x14ac:dyDescent="0.2">
      <c r="A1046" s="2">
        <v>1045</v>
      </c>
      <c r="B1046" s="5"/>
      <c r="C1046" s="10" t="str">
        <f>IF(B1046="","←停留所idを選択",VLOOKUP(B1046,'06停留所'!$B$2:$C$10500,2,0))</f>
        <v>←停留所idを選択</v>
      </c>
      <c r="D1046" s="5"/>
      <c r="E1046" s="5"/>
      <c r="F1046" s="6"/>
    </row>
    <row r="1047" spans="1:6" x14ac:dyDescent="0.2">
      <c r="A1047" s="2">
        <v>1046</v>
      </c>
      <c r="B1047" s="5"/>
      <c r="C1047" s="10" t="str">
        <f>IF(B1047="","←停留所idを選択",VLOOKUP(B1047,'06停留所'!$B$2:$C$10500,2,0))</f>
        <v>←停留所idを選択</v>
      </c>
      <c r="D1047" s="5"/>
      <c r="E1047" s="5"/>
      <c r="F1047" s="6"/>
    </row>
    <row r="1048" spans="1:6" x14ac:dyDescent="0.2">
      <c r="A1048" s="2">
        <v>1047</v>
      </c>
      <c r="B1048" s="5"/>
      <c r="C1048" s="10" t="str">
        <f>IF(B1048="","←停留所idを選択",VLOOKUP(B1048,'06停留所'!$B$2:$C$10500,2,0))</f>
        <v>←停留所idを選択</v>
      </c>
      <c r="D1048" s="5"/>
      <c r="E1048" s="5"/>
      <c r="F1048" s="6"/>
    </row>
    <row r="1049" spans="1:6" x14ac:dyDescent="0.2">
      <c r="A1049" s="2">
        <v>1048</v>
      </c>
      <c r="B1049" s="5"/>
      <c r="C1049" s="10" t="str">
        <f>IF(B1049="","←停留所idを選択",VLOOKUP(B1049,'06停留所'!$B$2:$C$10500,2,0))</f>
        <v>←停留所idを選択</v>
      </c>
      <c r="D1049" s="5"/>
      <c r="E1049" s="5"/>
      <c r="F1049" s="6"/>
    </row>
    <row r="1050" spans="1:6" x14ac:dyDescent="0.2">
      <c r="A1050" s="2">
        <v>1049</v>
      </c>
      <c r="B1050" s="5"/>
      <c r="C1050" s="10" t="str">
        <f>IF(B1050="","←停留所idを選択",VLOOKUP(B1050,'06停留所'!$B$2:$C$10500,2,0))</f>
        <v>←停留所idを選択</v>
      </c>
      <c r="D1050" s="5"/>
      <c r="E1050" s="5"/>
      <c r="F1050" s="6"/>
    </row>
    <row r="1051" spans="1:6" x14ac:dyDescent="0.2">
      <c r="A1051" s="2">
        <v>1050</v>
      </c>
      <c r="B1051" s="5"/>
      <c r="C1051" s="10" t="str">
        <f>IF(B1051="","←停留所idを選択",VLOOKUP(B1051,'06停留所'!$B$2:$C$10500,2,0))</f>
        <v>←停留所idを選択</v>
      </c>
      <c r="D1051" s="5"/>
      <c r="E1051" s="5"/>
      <c r="F1051" s="6"/>
    </row>
    <row r="1052" spans="1:6" x14ac:dyDescent="0.2">
      <c r="A1052" s="2">
        <v>1051</v>
      </c>
      <c r="B1052" s="5"/>
      <c r="C1052" s="10" t="str">
        <f>IF(B1052="","←停留所idを選択",VLOOKUP(B1052,'06停留所'!$B$2:$C$10500,2,0))</f>
        <v>←停留所idを選択</v>
      </c>
      <c r="D1052" s="5"/>
      <c r="E1052" s="5"/>
      <c r="F1052" s="6"/>
    </row>
    <row r="1053" spans="1:6" x14ac:dyDescent="0.2">
      <c r="A1053" s="2">
        <v>1052</v>
      </c>
      <c r="B1053" s="5"/>
      <c r="C1053" s="10" t="str">
        <f>IF(B1053="","←停留所idを選択",VLOOKUP(B1053,'06停留所'!$B$2:$C$10500,2,0))</f>
        <v>←停留所idを選択</v>
      </c>
      <c r="D1053" s="5"/>
      <c r="E1053" s="5"/>
      <c r="F1053" s="6"/>
    </row>
    <row r="1054" spans="1:6" x14ac:dyDescent="0.2">
      <c r="A1054" s="2">
        <v>1053</v>
      </c>
      <c r="B1054" s="5"/>
      <c r="C1054" s="10" t="str">
        <f>IF(B1054="","←停留所idを選択",VLOOKUP(B1054,'06停留所'!$B$2:$C$10500,2,0))</f>
        <v>←停留所idを選択</v>
      </c>
      <c r="D1054" s="5"/>
      <c r="E1054" s="5"/>
      <c r="F1054" s="6"/>
    </row>
    <row r="1055" spans="1:6" x14ac:dyDescent="0.2">
      <c r="A1055" s="2">
        <v>1054</v>
      </c>
      <c r="B1055" s="5"/>
      <c r="C1055" s="10" t="str">
        <f>IF(B1055="","←停留所idを選択",VLOOKUP(B1055,'06停留所'!$B$2:$C$10500,2,0))</f>
        <v>←停留所idを選択</v>
      </c>
      <c r="D1055" s="5"/>
      <c r="E1055" s="5"/>
      <c r="F1055" s="6"/>
    </row>
    <row r="1056" spans="1:6" x14ac:dyDescent="0.2">
      <c r="A1056" s="2">
        <v>1055</v>
      </c>
      <c r="B1056" s="5"/>
      <c r="C1056" s="10" t="str">
        <f>IF(B1056="","←停留所idを選択",VLOOKUP(B1056,'06停留所'!$B$2:$C$10500,2,0))</f>
        <v>←停留所idを選択</v>
      </c>
      <c r="D1056" s="5"/>
      <c r="E1056" s="5"/>
      <c r="F1056" s="6"/>
    </row>
    <row r="1057" spans="1:6" x14ac:dyDescent="0.2">
      <c r="A1057" s="2">
        <v>1056</v>
      </c>
      <c r="B1057" s="5"/>
      <c r="C1057" s="10" t="str">
        <f>IF(B1057="","←停留所idを選択",VLOOKUP(B1057,'06停留所'!$B$2:$C$10500,2,0))</f>
        <v>←停留所idを選択</v>
      </c>
      <c r="D1057" s="5"/>
      <c r="E1057" s="5"/>
      <c r="F1057" s="6"/>
    </row>
    <row r="1058" spans="1:6" x14ac:dyDescent="0.2">
      <c r="A1058" s="2">
        <v>1057</v>
      </c>
      <c r="B1058" s="5"/>
      <c r="C1058" s="10" t="str">
        <f>IF(B1058="","←停留所idを選択",VLOOKUP(B1058,'06停留所'!$B$2:$C$10500,2,0))</f>
        <v>←停留所idを選択</v>
      </c>
      <c r="D1058" s="5"/>
      <c r="E1058" s="5"/>
      <c r="F1058" s="6"/>
    </row>
    <row r="1059" spans="1:6" x14ac:dyDescent="0.2">
      <c r="A1059" s="2">
        <v>1058</v>
      </c>
      <c r="B1059" s="5"/>
      <c r="C1059" s="10" t="str">
        <f>IF(B1059="","←停留所idを選択",VLOOKUP(B1059,'06停留所'!$B$2:$C$10500,2,0))</f>
        <v>←停留所idを選択</v>
      </c>
      <c r="D1059" s="5"/>
      <c r="E1059" s="5"/>
      <c r="F1059" s="6"/>
    </row>
    <row r="1060" spans="1:6" x14ac:dyDescent="0.2">
      <c r="A1060" s="2">
        <v>1059</v>
      </c>
      <c r="B1060" s="5"/>
      <c r="C1060" s="10" t="str">
        <f>IF(B1060="","←停留所idを選択",VLOOKUP(B1060,'06停留所'!$B$2:$C$10500,2,0))</f>
        <v>←停留所idを選択</v>
      </c>
      <c r="D1060" s="5"/>
      <c r="E1060" s="5"/>
      <c r="F1060" s="6"/>
    </row>
    <row r="1061" spans="1:6" x14ac:dyDescent="0.2">
      <c r="A1061" s="2">
        <v>1060</v>
      </c>
      <c r="B1061" s="5"/>
      <c r="C1061" s="10" t="str">
        <f>IF(B1061="","←停留所idを選択",VLOOKUP(B1061,'06停留所'!$B$2:$C$10500,2,0))</f>
        <v>←停留所idを選択</v>
      </c>
      <c r="D1061" s="5"/>
      <c r="E1061" s="5"/>
      <c r="F1061" s="6"/>
    </row>
    <row r="1062" spans="1:6" x14ac:dyDescent="0.2">
      <c r="A1062" s="2">
        <v>1061</v>
      </c>
      <c r="B1062" s="5"/>
      <c r="C1062" s="10" t="str">
        <f>IF(B1062="","←停留所idを選択",VLOOKUP(B1062,'06停留所'!$B$2:$C$10500,2,0))</f>
        <v>←停留所idを選択</v>
      </c>
      <c r="D1062" s="5"/>
      <c r="E1062" s="5"/>
      <c r="F1062" s="6"/>
    </row>
    <row r="1063" spans="1:6" x14ac:dyDescent="0.2">
      <c r="A1063" s="2">
        <v>1062</v>
      </c>
      <c r="B1063" s="5"/>
      <c r="C1063" s="10" t="str">
        <f>IF(B1063="","←停留所idを選択",VLOOKUP(B1063,'06停留所'!$B$2:$C$10500,2,0))</f>
        <v>←停留所idを選択</v>
      </c>
      <c r="D1063" s="5"/>
      <c r="E1063" s="5"/>
      <c r="F1063" s="6"/>
    </row>
    <row r="1064" spans="1:6" x14ac:dyDescent="0.2">
      <c r="A1064" s="2">
        <v>1063</v>
      </c>
      <c r="B1064" s="5"/>
      <c r="C1064" s="10" t="str">
        <f>IF(B1064="","←停留所idを選択",VLOOKUP(B1064,'06停留所'!$B$2:$C$10500,2,0))</f>
        <v>←停留所idを選択</v>
      </c>
      <c r="D1064" s="5"/>
      <c r="E1064" s="5"/>
      <c r="F1064" s="6"/>
    </row>
    <row r="1065" spans="1:6" x14ac:dyDescent="0.2">
      <c r="A1065" s="2">
        <v>1064</v>
      </c>
      <c r="B1065" s="5"/>
      <c r="C1065" s="10" t="str">
        <f>IF(B1065="","←停留所idを選択",VLOOKUP(B1065,'06停留所'!$B$2:$C$10500,2,0))</f>
        <v>←停留所idを選択</v>
      </c>
      <c r="D1065" s="5"/>
      <c r="E1065" s="5"/>
      <c r="F1065" s="6"/>
    </row>
    <row r="1066" spans="1:6" x14ac:dyDescent="0.2">
      <c r="A1066" s="2">
        <v>1065</v>
      </c>
      <c r="B1066" s="5"/>
      <c r="C1066" s="10" t="str">
        <f>IF(B1066="","←停留所idを選択",VLOOKUP(B1066,'06停留所'!$B$2:$C$10500,2,0))</f>
        <v>←停留所idを選択</v>
      </c>
      <c r="D1066" s="5"/>
      <c r="E1066" s="5"/>
      <c r="F1066" s="6"/>
    </row>
    <row r="1067" spans="1:6" x14ac:dyDescent="0.2">
      <c r="A1067" s="2">
        <v>1066</v>
      </c>
      <c r="B1067" s="5"/>
      <c r="C1067" s="10" t="str">
        <f>IF(B1067="","←停留所idを選択",VLOOKUP(B1067,'06停留所'!$B$2:$C$10500,2,0))</f>
        <v>←停留所idを選択</v>
      </c>
      <c r="D1067" s="5"/>
      <c r="E1067" s="5"/>
      <c r="F1067" s="6"/>
    </row>
    <row r="1068" spans="1:6" x14ac:dyDescent="0.2">
      <c r="A1068" s="2">
        <v>1067</v>
      </c>
      <c r="B1068" s="5"/>
      <c r="C1068" s="10" t="str">
        <f>IF(B1068="","←停留所idを選択",VLOOKUP(B1068,'06停留所'!$B$2:$C$10500,2,0))</f>
        <v>←停留所idを選択</v>
      </c>
      <c r="D1068" s="5"/>
      <c r="E1068" s="5"/>
      <c r="F1068" s="6"/>
    </row>
    <row r="1069" spans="1:6" x14ac:dyDescent="0.2">
      <c r="A1069" s="2">
        <v>1068</v>
      </c>
      <c r="B1069" s="5"/>
      <c r="C1069" s="10" t="str">
        <f>IF(B1069="","←停留所idを選択",VLOOKUP(B1069,'06停留所'!$B$2:$C$10500,2,0))</f>
        <v>←停留所idを選択</v>
      </c>
      <c r="D1069" s="5"/>
      <c r="E1069" s="5"/>
      <c r="F1069" s="6"/>
    </row>
    <row r="1070" spans="1:6" x14ac:dyDescent="0.2">
      <c r="A1070" s="2">
        <v>1069</v>
      </c>
      <c r="B1070" s="5"/>
      <c r="C1070" s="10" t="str">
        <f>IF(B1070="","←停留所idを選択",VLOOKUP(B1070,'06停留所'!$B$2:$C$10500,2,0))</f>
        <v>←停留所idを選択</v>
      </c>
      <c r="D1070" s="5"/>
      <c r="E1070" s="5"/>
      <c r="F1070" s="6"/>
    </row>
    <row r="1071" spans="1:6" x14ac:dyDescent="0.2">
      <c r="A1071" s="2">
        <v>1070</v>
      </c>
      <c r="B1071" s="5"/>
      <c r="C1071" s="10" t="str">
        <f>IF(B1071="","←停留所idを選択",VLOOKUP(B1071,'06停留所'!$B$2:$C$10500,2,0))</f>
        <v>←停留所idを選択</v>
      </c>
      <c r="D1071" s="5"/>
      <c r="E1071" s="5"/>
      <c r="F1071" s="6"/>
    </row>
    <row r="1072" spans="1:6" x14ac:dyDescent="0.2">
      <c r="A1072" s="2">
        <v>1071</v>
      </c>
      <c r="B1072" s="5"/>
      <c r="C1072" s="10" t="str">
        <f>IF(B1072="","←停留所idを選択",VLOOKUP(B1072,'06停留所'!$B$2:$C$10500,2,0))</f>
        <v>←停留所idを選択</v>
      </c>
      <c r="D1072" s="5"/>
      <c r="E1072" s="5"/>
      <c r="F1072" s="6"/>
    </row>
    <row r="1073" spans="1:6" x14ac:dyDescent="0.2">
      <c r="A1073" s="2">
        <v>1072</v>
      </c>
      <c r="B1073" s="5"/>
      <c r="C1073" s="10" t="str">
        <f>IF(B1073="","←停留所idを選択",VLOOKUP(B1073,'06停留所'!$B$2:$C$10500,2,0))</f>
        <v>←停留所idを選択</v>
      </c>
      <c r="D1073" s="5"/>
      <c r="E1073" s="5"/>
      <c r="F1073" s="6"/>
    </row>
    <row r="1074" spans="1:6" x14ac:dyDescent="0.2">
      <c r="A1074" s="2">
        <v>1073</v>
      </c>
      <c r="B1074" s="5"/>
      <c r="C1074" s="10" t="str">
        <f>IF(B1074="","←停留所idを選択",VLOOKUP(B1074,'06停留所'!$B$2:$C$10500,2,0))</f>
        <v>←停留所idを選択</v>
      </c>
      <c r="D1074" s="5"/>
      <c r="E1074" s="5"/>
      <c r="F1074" s="6"/>
    </row>
    <row r="1075" spans="1:6" x14ac:dyDescent="0.2">
      <c r="A1075" s="2">
        <v>1074</v>
      </c>
      <c r="B1075" s="5"/>
      <c r="C1075" s="10" t="str">
        <f>IF(B1075="","←停留所idを選択",VLOOKUP(B1075,'06停留所'!$B$2:$C$10500,2,0))</f>
        <v>←停留所idを選択</v>
      </c>
      <c r="D1075" s="5"/>
      <c r="E1075" s="5"/>
      <c r="F1075" s="6"/>
    </row>
    <row r="1076" spans="1:6" x14ac:dyDescent="0.2">
      <c r="A1076" s="2">
        <v>1075</v>
      </c>
      <c r="B1076" s="5"/>
      <c r="C1076" s="10" t="str">
        <f>IF(B1076="","←停留所idを選択",VLOOKUP(B1076,'06停留所'!$B$2:$C$10500,2,0))</f>
        <v>←停留所idを選択</v>
      </c>
      <c r="D1076" s="5"/>
      <c r="E1076" s="5"/>
      <c r="F1076" s="6"/>
    </row>
    <row r="1077" spans="1:6" x14ac:dyDescent="0.2">
      <c r="A1077" s="2">
        <v>1076</v>
      </c>
      <c r="B1077" s="5"/>
      <c r="C1077" s="10" t="str">
        <f>IF(B1077="","←停留所idを選択",VLOOKUP(B1077,'06停留所'!$B$2:$C$10500,2,0))</f>
        <v>←停留所idを選択</v>
      </c>
      <c r="D1077" s="5"/>
      <c r="E1077" s="5"/>
      <c r="F1077" s="6"/>
    </row>
    <row r="1078" spans="1:6" x14ac:dyDescent="0.2">
      <c r="A1078" s="2">
        <v>1077</v>
      </c>
      <c r="B1078" s="5"/>
      <c r="C1078" s="10" t="str">
        <f>IF(B1078="","←停留所idを選択",VLOOKUP(B1078,'06停留所'!$B$2:$C$10500,2,0))</f>
        <v>←停留所idを選択</v>
      </c>
      <c r="D1078" s="5"/>
      <c r="E1078" s="5"/>
      <c r="F1078" s="6"/>
    </row>
    <row r="1079" spans="1:6" x14ac:dyDescent="0.2">
      <c r="A1079" s="2">
        <v>1078</v>
      </c>
      <c r="B1079" s="5"/>
      <c r="C1079" s="10" t="str">
        <f>IF(B1079="","←停留所idを選択",VLOOKUP(B1079,'06停留所'!$B$2:$C$10500,2,0))</f>
        <v>←停留所idを選択</v>
      </c>
      <c r="D1079" s="5"/>
      <c r="E1079" s="5"/>
      <c r="F1079" s="6"/>
    </row>
    <row r="1080" spans="1:6" x14ac:dyDescent="0.2">
      <c r="A1080" s="2">
        <v>1079</v>
      </c>
      <c r="B1080" s="5"/>
      <c r="C1080" s="10" t="str">
        <f>IF(B1080="","←停留所idを選択",VLOOKUP(B1080,'06停留所'!$B$2:$C$10500,2,0))</f>
        <v>←停留所idを選択</v>
      </c>
      <c r="D1080" s="5"/>
      <c r="E1080" s="5"/>
      <c r="F1080" s="6"/>
    </row>
    <row r="1081" spans="1:6" x14ac:dyDescent="0.2">
      <c r="A1081" s="2">
        <v>1080</v>
      </c>
      <c r="B1081" s="5"/>
      <c r="C1081" s="10" t="str">
        <f>IF(B1081="","←停留所idを選択",VLOOKUP(B1081,'06停留所'!$B$2:$C$10500,2,0))</f>
        <v>←停留所idを選択</v>
      </c>
      <c r="D1081" s="5"/>
      <c r="E1081" s="5"/>
      <c r="F1081" s="6"/>
    </row>
    <row r="1082" spans="1:6" x14ac:dyDescent="0.2">
      <c r="A1082" s="2">
        <v>1081</v>
      </c>
      <c r="B1082" s="5"/>
      <c r="C1082" s="10" t="str">
        <f>IF(B1082="","←停留所idを選択",VLOOKUP(B1082,'06停留所'!$B$2:$C$10500,2,0))</f>
        <v>←停留所idを選択</v>
      </c>
      <c r="D1082" s="5"/>
      <c r="E1082" s="5"/>
      <c r="F1082" s="6"/>
    </row>
    <row r="1083" spans="1:6" x14ac:dyDescent="0.2">
      <c r="A1083" s="2">
        <v>1082</v>
      </c>
      <c r="B1083" s="5"/>
      <c r="C1083" s="10" t="str">
        <f>IF(B1083="","←停留所idを選択",VLOOKUP(B1083,'06停留所'!$B$2:$C$10500,2,0))</f>
        <v>←停留所idを選択</v>
      </c>
      <c r="D1083" s="5"/>
      <c r="E1083" s="5"/>
      <c r="F1083" s="6"/>
    </row>
    <row r="1084" spans="1:6" x14ac:dyDescent="0.2">
      <c r="A1084" s="2">
        <v>1083</v>
      </c>
      <c r="B1084" s="5"/>
      <c r="C1084" s="10" t="str">
        <f>IF(B1084="","←停留所idを選択",VLOOKUP(B1084,'06停留所'!$B$2:$C$10500,2,0))</f>
        <v>←停留所idを選択</v>
      </c>
      <c r="D1084" s="5"/>
      <c r="E1084" s="5"/>
      <c r="F1084" s="6"/>
    </row>
    <row r="1085" spans="1:6" x14ac:dyDescent="0.2">
      <c r="A1085" s="2">
        <v>1084</v>
      </c>
      <c r="B1085" s="5"/>
      <c r="C1085" s="10" t="str">
        <f>IF(B1085="","←停留所idを選択",VLOOKUP(B1085,'06停留所'!$B$2:$C$10500,2,0))</f>
        <v>←停留所idを選択</v>
      </c>
      <c r="D1085" s="5"/>
      <c r="E1085" s="5"/>
      <c r="F1085" s="6"/>
    </row>
    <row r="1086" spans="1:6" x14ac:dyDescent="0.2">
      <c r="A1086" s="2">
        <v>1085</v>
      </c>
      <c r="B1086" s="5"/>
      <c r="C1086" s="10" t="str">
        <f>IF(B1086="","←停留所idを選択",VLOOKUP(B1086,'06停留所'!$B$2:$C$10500,2,0))</f>
        <v>←停留所idを選択</v>
      </c>
      <c r="D1086" s="5"/>
      <c r="E1086" s="5"/>
      <c r="F1086" s="6"/>
    </row>
    <row r="1087" spans="1:6" x14ac:dyDescent="0.2">
      <c r="A1087" s="2">
        <v>1086</v>
      </c>
      <c r="B1087" s="5"/>
      <c r="C1087" s="10" t="str">
        <f>IF(B1087="","←停留所idを選択",VLOOKUP(B1087,'06停留所'!$B$2:$C$10500,2,0))</f>
        <v>←停留所idを選択</v>
      </c>
      <c r="D1087" s="5"/>
      <c r="E1087" s="5"/>
      <c r="F1087" s="6"/>
    </row>
    <row r="1088" spans="1:6" x14ac:dyDescent="0.2">
      <c r="A1088" s="2">
        <v>1087</v>
      </c>
      <c r="B1088" s="5"/>
      <c r="C1088" s="10" t="str">
        <f>IF(B1088="","←停留所idを選択",VLOOKUP(B1088,'06停留所'!$B$2:$C$10500,2,0))</f>
        <v>←停留所idを選択</v>
      </c>
      <c r="D1088" s="5"/>
      <c r="E1088" s="5"/>
      <c r="F1088" s="6"/>
    </row>
    <row r="1089" spans="1:6" x14ac:dyDescent="0.2">
      <c r="A1089" s="2">
        <v>1088</v>
      </c>
      <c r="B1089" s="5"/>
      <c r="C1089" s="10" t="str">
        <f>IF(B1089="","←停留所idを選択",VLOOKUP(B1089,'06停留所'!$B$2:$C$10500,2,0))</f>
        <v>←停留所idを選択</v>
      </c>
      <c r="D1089" s="5"/>
      <c r="E1089" s="5"/>
      <c r="F1089" s="6"/>
    </row>
    <row r="1090" spans="1:6" x14ac:dyDescent="0.2">
      <c r="A1090" s="2">
        <v>1089</v>
      </c>
      <c r="B1090" s="5"/>
      <c r="C1090" s="10" t="str">
        <f>IF(B1090="","←停留所idを選択",VLOOKUP(B1090,'06停留所'!$B$2:$C$10500,2,0))</f>
        <v>←停留所idを選択</v>
      </c>
      <c r="D1090" s="5"/>
      <c r="E1090" s="5"/>
      <c r="F1090" s="6"/>
    </row>
    <row r="1091" spans="1:6" x14ac:dyDescent="0.2">
      <c r="A1091" s="2">
        <v>1090</v>
      </c>
      <c r="B1091" s="5"/>
      <c r="C1091" s="10" t="str">
        <f>IF(B1091="","←停留所idを選択",VLOOKUP(B1091,'06停留所'!$B$2:$C$10500,2,0))</f>
        <v>←停留所idを選択</v>
      </c>
      <c r="D1091" s="5"/>
      <c r="E1091" s="5"/>
      <c r="F1091" s="6"/>
    </row>
    <row r="1092" spans="1:6" x14ac:dyDescent="0.2">
      <c r="A1092" s="2">
        <v>1091</v>
      </c>
      <c r="B1092" s="5"/>
      <c r="C1092" s="10" t="str">
        <f>IF(B1092="","←停留所idを選択",VLOOKUP(B1092,'06停留所'!$B$2:$C$10500,2,0))</f>
        <v>←停留所idを選択</v>
      </c>
      <c r="D1092" s="5"/>
      <c r="E1092" s="5"/>
      <c r="F1092" s="6"/>
    </row>
    <row r="1093" spans="1:6" x14ac:dyDescent="0.2">
      <c r="A1093" s="2">
        <v>1092</v>
      </c>
      <c r="B1093" s="5"/>
      <c r="C1093" s="10" t="str">
        <f>IF(B1093="","←停留所idを選択",VLOOKUP(B1093,'06停留所'!$B$2:$C$10500,2,0))</f>
        <v>←停留所idを選択</v>
      </c>
      <c r="D1093" s="5"/>
      <c r="E1093" s="5"/>
      <c r="F1093" s="6"/>
    </row>
    <row r="1094" spans="1:6" x14ac:dyDescent="0.2">
      <c r="A1094" s="2">
        <v>1093</v>
      </c>
      <c r="B1094" s="5"/>
      <c r="C1094" s="10" t="str">
        <f>IF(B1094="","←停留所idを選択",VLOOKUP(B1094,'06停留所'!$B$2:$C$10500,2,0))</f>
        <v>←停留所idを選択</v>
      </c>
      <c r="D1094" s="5"/>
      <c r="E1094" s="5"/>
      <c r="F1094" s="6"/>
    </row>
    <row r="1095" spans="1:6" x14ac:dyDescent="0.2">
      <c r="A1095" s="2">
        <v>1094</v>
      </c>
      <c r="B1095" s="5"/>
      <c r="C1095" s="10" t="str">
        <f>IF(B1095="","←停留所idを選択",VLOOKUP(B1095,'06停留所'!$B$2:$C$10500,2,0))</f>
        <v>←停留所idを選択</v>
      </c>
      <c r="D1095" s="5"/>
      <c r="E1095" s="5"/>
      <c r="F1095" s="6"/>
    </row>
    <row r="1096" spans="1:6" x14ac:dyDescent="0.2">
      <c r="A1096" s="2">
        <v>1095</v>
      </c>
      <c r="B1096" s="5"/>
      <c r="C1096" s="10" t="str">
        <f>IF(B1096="","←停留所idを選択",VLOOKUP(B1096,'06停留所'!$B$2:$C$10500,2,0))</f>
        <v>←停留所idを選択</v>
      </c>
      <c r="D1096" s="5"/>
      <c r="E1096" s="5"/>
      <c r="F1096" s="6"/>
    </row>
    <row r="1097" spans="1:6" x14ac:dyDescent="0.2">
      <c r="A1097" s="2">
        <v>1096</v>
      </c>
      <c r="B1097" s="5"/>
      <c r="C1097" s="10" t="str">
        <f>IF(B1097="","←停留所idを選択",VLOOKUP(B1097,'06停留所'!$B$2:$C$10500,2,0))</f>
        <v>←停留所idを選択</v>
      </c>
      <c r="D1097" s="5"/>
      <c r="E1097" s="5"/>
      <c r="F1097" s="6"/>
    </row>
    <row r="1098" spans="1:6" x14ac:dyDescent="0.2">
      <c r="A1098" s="2">
        <v>1097</v>
      </c>
      <c r="B1098" s="5"/>
      <c r="C1098" s="10" t="str">
        <f>IF(B1098="","←停留所idを選択",VLOOKUP(B1098,'06停留所'!$B$2:$C$10500,2,0))</f>
        <v>←停留所idを選択</v>
      </c>
      <c r="D1098" s="5"/>
      <c r="E1098" s="5"/>
      <c r="F1098" s="6"/>
    </row>
    <row r="1099" spans="1:6" x14ac:dyDescent="0.2">
      <c r="A1099" s="2">
        <v>1098</v>
      </c>
      <c r="B1099" s="5"/>
      <c r="C1099" s="10" t="str">
        <f>IF(B1099="","←停留所idを選択",VLOOKUP(B1099,'06停留所'!$B$2:$C$10500,2,0))</f>
        <v>←停留所idを選択</v>
      </c>
      <c r="D1099" s="5"/>
      <c r="E1099" s="5"/>
      <c r="F1099" s="6"/>
    </row>
    <row r="1100" spans="1:6" x14ac:dyDescent="0.2">
      <c r="A1100" s="2">
        <v>1099</v>
      </c>
      <c r="B1100" s="5"/>
      <c r="C1100" s="10" t="str">
        <f>IF(B1100="","←停留所idを選択",VLOOKUP(B1100,'06停留所'!$B$2:$C$10500,2,0))</f>
        <v>←停留所idを選択</v>
      </c>
      <c r="D1100" s="5"/>
      <c r="E1100" s="5"/>
      <c r="F1100" s="6"/>
    </row>
    <row r="1101" spans="1:6" x14ac:dyDescent="0.2">
      <c r="A1101" s="2">
        <v>1100</v>
      </c>
      <c r="B1101" s="5"/>
      <c r="C1101" s="10" t="str">
        <f>IF(B1101="","←停留所idを選択",VLOOKUP(B1101,'06停留所'!$B$2:$C$10500,2,0))</f>
        <v>←停留所idを選択</v>
      </c>
      <c r="D1101" s="5"/>
      <c r="E1101" s="5"/>
      <c r="F1101" s="6"/>
    </row>
    <row r="1102" spans="1:6" x14ac:dyDescent="0.2">
      <c r="A1102" s="2">
        <v>1101</v>
      </c>
      <c r="B1102" s="5"/>
      <c r="C1102" s="10" t="str">
        <f>IF(B1102="","←停留所idを選択",VLOOKUP(B1102,'06停留所'!$B$2:$C$10500,2,0))</f>
        <v>←停留所idを選択</v>
      </c>
      <c r="D1102" s="5"/>
      <c r="E1102" s="5"/>
      <c r="F1102" s="6"/>
    </row>
    <row r="1103" spans="1:6" x14ac:dyDescent="0.2">
      <c r="A1103" s="2">
        <v>1102</v>
      </c>
      <c r="B1103" s="5"/>
      <c r="C1103" s="10" t="str">
        <f>IF(B1103="","←停留所idを選択",VLOOKUP(B1103,'06停留所'!$B$2:$C$10500,2,0))</f>
        <v>←停留所idを選択</v>
      </c>
      <c r="D1103" s="5"/>
      <c r="E1103" s="5"/>
      <c r="F1103" s="6"/>
    </row>
    <row r="1104" spans="1:6" x14ac:dyDescent="0.2">
      <c r="A1104" s="2">
        <v>1103</v>
      </c>
      <c r="B1104" s="5"/>
      <c r="C1104" s="10" t="str">
        <f>IF(B1104="","←停留所idを選択",VLOOKUP(B1104,'06停留所'!$B$2:$C$10500,2,0))</f>
        <v>←停留所idを選択</v>
      </c>
      <c r="D1104" s="5"/>
      <c r="E1104" s="5"/>
      <c r="F1104" s="6"/>
    </row>
    <row r="1105" spans="1:6" x14ac:dyDescent="0.2">
      <c r="A1105" s="2">
        <v>1104</v>
      </c>
      <c r="B1105" s="5"/>
      <c r="C1105" s="10" t="str">
        <f>IF(B1105="","←停留所idを選択",VLOOKUP(B1105,'06停留所'!$B$2:$C$10500,2,0))</f>
        <v>←停留所idを選択</v>
      </c>
      <c r="D1105" s="5"/>
      <c r="E1105" s="5"/>
      <c r="F1105" s="6"/>
    </row>
    <row r="1106" spans="1:6" x14ac:dyDescent="0.2">
      <c r="A1106" s="2">
        <v>1105</v>
      </c>
      <c r="B1106" s="5"/>
      <c r="C1106" s="10" t="str">
        <f>IF(B1106="","←停留所idを選択",VLOOKUP(B1106,'06停留所'!$B$2:$C$10500,2,0))</f>
        <v>←停留所idを選択</v>
      </c>
      <c r="D1106" s="5"/>
      <c r="E1106" s="5"/>
      <c r="F1106" s="6"/>
    </row>
    <row r="1107" spans="1:6" x14ac:dyDescent="0.2">
      <c r="A1107" s="2">
        <v>1106</v>
      </c>
      <c r="B1107" s="5"/>
      <c r="C1107" s="10" t="str">
        <f>IF(B1107="","←停留所idを選択",VLOOKUP(B1107,'06停留所'!$B$2:$C$10500,2,0))</f>
        <v>←停留所idを選択</v>
      </c>
      <c r="D1107" s="5"/>
      <c r="E1107" s="5"/>
      <c r="F1107" s="6"/>
    </row>
    <row r="1108" spans="1:6" x14ac:dyDescent="0.2">
      <c r="A1108" s="2">
        <v>1107</v>
      </c>
      <c r="B1108" s="5"/>
      <c r="C1108" s="10" t="str">
        <f>IF(B1108="","←停留所idを選択",VLOOKUP(B1108,'06停留所'!$B$2:$C$10500,2,0))</f>
        <v>←停留所idを選択</v>
      </c>
      <c r="D1108" s="5"/>
      <c r="E1108" s="5"/>
      <c r="F1108" s="6"/>
    </row>
    <row r="1109" spans="1:6" x14ac:dyDescent="0.2">
      <c r="A1109" s="2">
        <v>1108</v>
      </c>
      <c r="B1109" s="5"/>
      <c r="C1109" s="10" t="str">
        <f>IF(B1109="","←停留所idを選択",VLOOKUP(B1109,'06停留所'!$B$2:$C$10500,2,0))</f>
        <v>←停留所idを選択</v>
      </c>
      <c r="D1109" s="5"/>
      <c r="E1109" s="5"/>
      <c r="F1109" s="6"/>
    </row>
    <row r="1110" spans="1:6" x14ac:dyDescent="0.2">
      <c r="A1110" s="2">
        <v>1109</v>
      </c>
      <c r="B1110" s="5"/>
      <c r="C1110" s="10" t="str">
        <f>IF(B1110="","←停留所idを選択",VLOOKUP(B1110,'06停留所'!$B$2:$C$10500,2,0))</f>
        <v>←停留所idを選択</v>
      </c>
      <c r="D1110" s="5"/>
      <c r="E1110" s="5"/>
      <c r="F1110" s="6"/>
    </row>
    <row r="1111" spans="1:6" x14ac:dyDescent="0.2">
      <c r="A1111" s="2">
        <v>1110</v>
      </c>
      <c r="B1111" s="5"/>
      <c r="C1111" s="10" t="str">
        <f>IF(B1111="","←停留所idを選択",VLOOKUP(B1111,'06停留所'!$B$2:$C$10500,2,0))</f>
        <v>←停留所idを選択</v>
      </c>
      <c r="D1111" s="5"/>
      <c r="E1111" s="5"/>
      <c r="F1111" s="6"/>
    </row>
    <row r="1112" spans="1:6" x14ac:dyDescent="0.2">
      <c r="A1112" s="2">
        <v>1111</v>
      </c>
      <c r="B1112" s="5"/>
      <c r="C1112" s="10" t="str">
        <f>IF(B1112="","←停留所idを選択",VLOOKUP(B1112,'06停留所'!$B$2:$C$10500,2,0))</f>
        <v>←停留所idを選択</v>
      </c>
      <c r="D1112" s="5"/>
      <c r="E1112" s="5"/>
      <c r="F1112" s="6"/>
    </row>
    <row r="1113" spans="1:6" x14ac:dyDescent="0.2">
      <c r="A1113" s="2">
        <v>1112</v>
      </c>
      <c r="B1113" s="5"/>
      <c r="C1113" s="10" t="str">
        <f>IF(B1113="","←停留所idを選択",VLOOKUP(B1113,'06停留所'!$B$2:$C$10500,2,0))</f>
        <v>←停留所idを選択</v>
      </c>
      <c r="D1113" s="5"/>
      <c r="E1113" s="5"/>
      <c r="F1113" s="6"/>
    </row>
    <row r="1114" spans="1:6" x14ac:dyDescent="0.2">
      <c r="A1114" s="2">
        <v>1113</v>
      </c>
      <c r="B1114" s="5"/>
      <c r="C1114" s="10" t="str">
        <f>IF(B1114="","←停留所idを選択",VLOOKUP(B1114,'06停留所'!$B$2:$C$10500,2,0))</f>
        <v>←停留所idを選択</v>
      </c>
      <c r="D1114" s="5"/>
      <c r="E1114" s="5"/>
      <c r="F1114" s="6"/>
    </row>
    <row r="1115" spans="1:6" x14ac:dyDescent="0.2">
      <c r="A1115" s="2">
        <v>1114</v>
      </c>
      <c r="B1115" s="5"/>
      <c r="C1115" s="10" t="str">
        <f>IF(B1115="","←停留所idを選択",VLOOKUP(B1115,'06停留所'!$B$2:$C$10500,2,0))</f>
        <v>←停留所idを選択</v>
      </c>
      <c r="D1115" s="5"/>
      <c r="E1115" s="5"/>
      <c r="F1115" s="6"/>
    </row>
    <row r="1116" spans="1:6" x14ac:dyDescent="0.2">
      <c r="A1116" s="2">
        <v>1115</v>
      </c>
      <c r="B1116" s="5"/>
      <c r="C1116" s="10" t="str">
        <f>IF(B1116="","←停留所idを選択",VLOOKUP(B1116,'06停留所'!$B$2:$C$10500,2,0))</f>
        <v>←停留所idを選択</v>
      </c>
      <c r="D1116" s="5"/>
      <c r="E1116" s="5"/>
      <c r="F1116" s="6"/>
    </row>
    <row r="1117" spans="1:6" x14ac:dyDescent="0.2">
      <c r="A1117" s="2">
        <v>1116</v>
      </c>
      <c r="B1117" s="5"/>
      <c r="C1117" s="10" t="str">
        <f>IF(B1117="","←停留所idを選択",VLOOKUP(B1117,'06停留所'!$B$2:$C$10500,2,0))</f>
        <v>←停留所idを選択</v>
      </c>
      <c r="D1117" s="5"/>
      <c r="E1117" s="5"/>
      <c r="F1117" s="6"/>
    </row>
    <row r="1118" spans="1:6" x14ac:dyDescent="0.2">
      <c r="A1118" s="2">
        <v>1117</v>
      </c>
      <c r="B1118" s="5"/>
      <c r="C1118" s="10" t="str">
        <f>IF(B1118="","←停留所idを選択",VLOOKUP(B1118,'06停留所'!$B$2:$C$10500,2,0))</f>
        <v>←停留所idを選択</v>
      </c>
      <c r="D1118" s="5"/>
      <c r="E1118" s="5"/>
      <c r="F1118" s="6"/>
    </row>
    <row r="1119" spans="1:6" x14ac:dyDescent="0.2">
      <c r="A1119" s="2">
        <v>1118</v>
      </c>
      <c r="B1119" s="5"/>
      <c r="C1119" s="10" t="str">
        <f>IF(B1119="","←停留所idを選択",VLOOKUP(B1119,'06停留所'!$B$2:$C$10500,2,0))</f>
        <v>←停留所idを選択</v>
      </c>
      <c r="D1119" s="5"/>
      <c r="E1119" s="5"/>
      <c r="F1119" s="6"/>
    </row>
    <row r="1120" spans="1:6" x14ac:dyDescent="0.2">
      <c r="A1120" s="2">
        <v>1119</v>
      </c>
      <c r="B1120" s="5"/>
      <c r="C1120" s="10" t="str">
        <f>IF(B1120="","←停留所idを選択",VLOOKUP(B1120,'06停留所'!$B$2:$C$10500,2,0))</f>
        <v>←停留所idを選択</v>
      </c>
      <c r="D1120" s="5"/>
      <c r="E1120" s="5"/>
      <c r="F1120" s="6"/>
    </row>
    <row r="1121" spans="1:6" x14ac:dyDescent="0.2">
      <c r="A1121" s="2">
        <v>1120</v>
      </c>
      <c r="B1121" s="5"/>
      <c r="C1121" s="10" t="str">
        <f>IF(B1121="","←停留所idを選択",VLOOKUP(B1121,'06停留所'!$B$2:$C$10500,2,0))</f>
        <v>←停留所idを選択</v>
      </c>
      <c r="D1121" s="5"/>
      <c r="E1121" s="5"/>
      <c r="F1121" s="6"/>
    </row>
    <row r="1122" spans="1:6" x14ac:dyDescent="0.2">
      <c r="A1122" s="2">
        <v>1121</v>
      </c>
      <c r="B1122" s="5"/>
      <c r="C1122" s="10" t="str">
        <f>IF(B1122="","←停留所idを選択",VLOOKUP(B1122,'06停留所'!$B$2:$C$10500,2,0))</f>
        <v>←停留所idを選択</v>
      </c>
      <c r="D1122" s="5"/>
      <c r="E1122" s="5"/>
      <c r="F1122" s="6"/>
    </row>
    <row r="1123" spans="1:6" x14ac:dyDescent="0.2">
      <c r="A1123" s="2">
        <v>1122</v>
      </c>
      <c r="B1123" s="5"/>
      <c r="C1123" s="10" t="str">
        <f>IF(B1123="","←停留所idを選択",VLOOKUP(B1123,'06停留所'!$B$2:$C$10500,2,0))</f>
        <v>←停留所idを選択</v>
      </c>
      <c r="D1123" s="5"/>
      <c r="E1123" s="5"/>
      <c r="F1123" s="6"/>
    </row>
    <row r="1124" spans="1:6" x14ac:dyDescent="0.2">
      <c r="A1124" s="2">
        <v>1123</v>
      </c>
      <c r="B1124" s="5"/>
      <c r="C1124" s="10" t="str">
        <f>IF(B1124="","←停留所idを選択",VLOOKUP(B1124,'06停留所'!$B$2:$C$10500,2,0))</f>
        <v>←停留所idを選択</v>
      </c>
      <c r="D1124" s="5"/>
      <c r="E1124" s="5"/>
      <c r="F1124" s="6"/>
    </row>
    <row r="1125" spans="1:6" x14ac:dyDescent="0.2">
      <c r="A1125" s="2">
        <v>1124</v>
      </c>
      <c r="B1125" s="5"/>
      <c r="C1125" s="10" t="str">
        <f>IF(B1125="","←停留所idを選択",VLOOKUP(B1125,'06停留所'!$B$2:$C$10500,2,0))</f>
        <v>←停留所idを選択</v>
      </c>
      <c r="D1125" s="5"/>
      <c r="E1125" s="5"/>
      <c r="F1125" s="6"/>
    </row>
    <row r="1126" spans="1:6" x14ac:dyDescent="0.2">
      <c r="A1126" s="2">
        <v>1125</v>
      </c>
      <c r="B1126" s="5"/>
      <c r="C1126" s="10" t="str">
        <f>IF(B1126="","←停留所idを選択",VLOOKUP(B1126,'06停留所'!$B$2:$C$10500,2,0))</f>
        <v>←停留所idを選択</v>
      </c>
      <c r="D1126" s="5"/>
      <c r="E1126" s="5"/>
      <c r="F1126" s="6"/>
    </row>
    <row r="1127" spans="1:6" x14ac:dyDescent="0.2">
      <c r="A1127" s="2">
        <v>1126</v>
      </c>
      <c r="B1127" s="5"/>
      <c r="C1127" s="10" t="str">
        <f>IF(B1127="","←停留所idを選択",VLOOKUP(B1127,'06停留所'!$B$2:$C$10500,2,0))</f>
        <v>←停留所idを選択</v>
      </c>
      <c r="D1127" s="5"/>
      <c r="E1127" s="5"/>
      <c r="F1127" s="6"/>
    </row>
    <row r="1128" spans="1:6" x14ac:dyDescent="0.2">
      <c r="A1128" s="2">
        <v>1127</v>
      </c>
      <c r="B1128" s="5"/>
      <c r="C1128" s="10" t="str">
        <f>IF(B1128="","←停留所idを選択",VLOOKUP(B1128,'06停留所'!$B$2:$C$10500,2,0))</f>
        <v>←停留所idを選択</v>
      </c>
      <c r="D1128" s="5"/>
      <c r="E1128" s="5"/>
      <c r="F1128" s="6"/>
    </row>
    <row r="1129" spans="1:6" x14ac:dyDescent="0.2">
      <c r="A1129" s="2">
        <v>1128</v>
      </c>
      <c r="B1129" s="5"/>
      <c r="C1129" s="10" t="str">
        <f>IF(B1129="","←停留所idを選択",VLOOKUP(B1129,'06停留所'!$B$2:$C$10500,2,0))</f>
        <v>←停留所idを選択</v>
      </c>
      <c r="D1129" s="5"/>
      <c r="E1129" s="5"/>
      <c r="F1129" s="6"/>
    </row>
    <row r="1130" spans="1:6" x14ac:dyDescent="0.2">
      <c r="A1130" s="2">
        <v>1129</v>
      </c>
      <c r="B1130" s="5"/>
      <c r="C1130" s="10" t="str">
        <f>IF(B1130="","←停留所idを選択",VLOOKUP(B1130,'06停留所'!$B$2:$C$10500,2,0))</f>
        <v>←停留所idを選択</v>
      </c>
      <c r="D1130" s="5"/>
      <c r="E1130" s="5"/>
      <c r="F1130" s="6"/>
    </row>
    <row r="1131" spans="1:6" x14ac:dyDescent="0.2">
      <c r="A1131" s="2">
        <v>1130</v>
      </c>
      <c r="B1131" s="5"/>
      <c r="C1131" s="10" t="str">
        <f>IF(B1131="","←停留所idを選択",VLOOKUP(B1131,'06停留所'!$B$2:$C$10500,2,0))</f>
        <v>←停留所idを選択</v>
      </c>
      <c r="D1131" s="5"/>
      <c r="E1131" s="5"/>
      <c r="F1131" s="6"/>
    </row>
    <row r="1132" spans="1:6" x14ac:dyDescent="0.2">
      <c r="A1132" s="2">
        <v>1131</v>
      </c>
      <c r="B1132" s="5"/>
      <c r="C1132" s="10" t="str">
        <f>IF(B1132="","←停留所idを選択",VLOOKUP(B1132,'06停留所'!$B$2:$C$10500,2,0))</f>
        <v>←停留所idを選択</v>
      </c>
      <c r="D1132" s="5"/>
      <c r="E1132" s="5"/>
      <c r="F1132" s="6"/>
    </row>
    <row r="1133" spans="1:6" x14ac:dyDescent="0.2">
      <c r="A1133" s="2">
        <v>1132</v>
      </c>
      <c r="B1133" s="5"/>
      <c r="C1133" s="10" t="str">
        <f>IF(B1133="","←停留所idを選択",VLOOKUP(B1133,'06停留所'!$B$2:$C$10500,2,0))</f>
        <v>←停留所idを選択</v>
      </c>
      <c r="D1133" s="5"/>
      <c r="E1133" s="5"/>
      <c r="F1133" s="6"/>
    </row>
    <row r="1134" spans="1:6" x14ac:dyDescent="0.2">
      <c r="A1134" s="2">
        <v>1133</v>
      </c>
      <c r="B1134" s="5"/>
      <c r="C1134" s="10" t="str">
        <f>IF(B1134="","←停留所idを選択",VLOOKUP(B1134,'06停留所'!$B$2:$C$10500,2,0))</f>
        <v>←停留所idを選択</v>
      </c>
      <c r="D1134" s="5"/>
      <c r="E1134" s="5"/>
      <c r="F1134" s="6"/>
    </row>
    <row r="1135" spans="1:6" x14ac:dyDescent="0.2">
      <c r="A1135" s="2">
        <v>1134</v>
      </c>
      <c r="B1135" s="5"/>
      <c r="C1135" s="10" t="str">
        <f>IF(B1135="","←停留所idを選択",VLOOKUP(B1135,'06停留所'!$B$2:$C$10500,2,0))</f>
        <v>←停留所idを選択</v>
      </c>
      <c r="D1135" s="5"/>
      <c r="E1135" s="5"/>
      <c r="F1135" s="6"/>
    </row>
    <row r="1136" spans="1:6" x14ac:dyDescent="0.2">
      <c r="A1136" s="2">
        <v>1135</v>
      </c>
      <c r="B1136" s="5"/>
      <c r="C1136" s="10" t="str">
        <f>IF(B1136="","←停留所idを選択",VLOOKUP(B1136,'06停留所'!$B$2:$C$10500,2,0))</f>
        <v>←停留所idを選択</v>
      </c>
      <c r="D1136" s="5"/>
      <c r="E1136" s="5"/>
      <c r="F1136" s="6"/>
    </row>
    <row r="1137" spans="1:6" x14ac:dyDescent="0.2">
      <c r="A1137" s="2">
        <v>1136</v>
      </c>
      <c r="B1137" s="5"/>
      <c r="C1137" s="10" t="str">
        <f>IF(B1137="","←停留所idを選択",VLOOKUP(B1137,'06停留所'!$B$2:$C$10500,2,0))</f>
        <v>←停留所idを選択</v>
      </c>
      <c r="D1137" s="5"/>
      <c r="E1137" s="5"/>
      <c r="F1137" s="6"/>
    </row>
    <row r="1138" spans="1:6" x14ac:dyDescent="0.2">
      <c r="A1138" s="2">
        <v>1137</v>
      </c>
      <c r="B1138" s="5"/>
      <c r="C1138" s="10" t="str">
        <f>IF(B1138="","←停留所idを選択",VLOOKUP(B1138,'06停留所'!$B$2:$C$10500,2,0))</f>
        <v>←停留所idを選択</v>
      </c>
      <c r="D1138" s="5"/>
      <c r="E1138" s="5"/>
      <c r="F1138" s="6"/>
    </row>
    <row r="1139" spans="1:6" x14ac:dyDescent="0.2">
      <c r="A1139" s="2">
        <v>1138</v>
      </c>
      <c r="B1139" s="5"/>
      <c r="C1139" s="10" t="str">
        <f>IF(B1139="","←停留所idを選択",VLOOKUP(B1139,'06停留所'!$B$2:$C$10500,2,0))</f>
        <v>←停留所idを選択</v>
      </c>
      <c r="D1139" s="5"/>
      <c r="E1139" s="5"/>
      <c r="F1139" s="6"/>
    </row>
    <row r="1140" spans="1:6" x14ac:dyDescent="0.2">
      <c r="A1140" s="2">
        <v>1139</v>
      </c>
      <c r="B1140" s="5"/>
      <c r="C1140" s="10" t="str">
        <f>IF(B1140="","←停留所idを選択",VLOOKUP(B1140,'06停留所'!$B$2:$C$10500,2,0))</f>
        <v>←停留所idを選択</v>
      </c>
      <c r="D1140" s="5"/>
      <c r="E1140" s="5"/>
      <c r="F1140" s="6"/>
    </row>
    <row r="1141" spans="1:6" x14ac:dyDescent="0.2">
      <c r="A1141" s="2">
        <v>1140</v>
      </c>
      <c r="B1141" s="5"/>
      <c r="C1141" s="10" t="str">
        <f>IF(B1141="","←停留所idを選択",VLOOKUP(B1141,'06停留所'!$B$2:$C$10500,2,0))</f>
        <v>←停留所idを選択</v>
      </c>
      <c r="D1141" s="5"/>
      <c r="E1141" s="5"/>
      <c r="F1141" s="6"/>
    </row>
    <row r="1142" spans="1:6" x14ac:dyDescent="0.2">
      <c r="A1142" s="2">
        <v>1141</v>
      </c>
      <c r="B1142" s="5"/>
      <c r="C1142" s="10" t="str">
        <f>IF(B1142="","←停留所idを選択",VLOOKUP(B1142,'06停留所'!$B$2:$C$10500,2,0))</f>
        <v>←停留所idを選択</v>
      </c>
      <c r="D1142" s="5"/>
      <c r="E1142" s="5"/>
      <c r="F1142" s="6"/>
    </row>
    <row r="1143" spans="1:6" x14ac:dyDescent="0.2">
      <c r="A1143" s="2">
        <v>1142</v>
      </c>
      <c r="B1143" s="5"/>
      <c r="C1143" s="10" t="str">
        <f>IF(B1143="","←停留所idを選択",VLOOKUP(B1143,'06停留所'!$B$2:$C$10500,2,0))</f>
        <v>←停留所idを選択</v>
      </c>
      <c r="D1143" s="5"/>
      <c r="E1143" s="5"/>
      <c r="F1143" s="6"/>
    </row>
    <row r="1144" spans="1:6" x14ac:dyDescent="0.2">
      <c r="A1144" s="2">
        <v>1143</v>
      </c>
      <c r="B1144" s="5"/>
      <c r="C1144" s="10" t="str">
        <f>IF(B1144="","←停留所idを選択",VLOOKUP(B1144,'06停留所'!$B$2:$C$10500,2,0))</f>
        <v>←停留所idを選択</v>
      </c>
      <c r="D1144" s="5"/>
      <c r="E1144" s="5"/>
      <c r="F1144" s="6"/>
    </row>
    <row r="1145" spans="1:6" x14ac:dyDescent="0.2">
      <c r="A1145" s="2">
        <v>1144</v>
      </c>
      <c r="B1145" s="5"/>
      <c r="C1145" s="10" t="str">
        <f>IF(B1145="","←停留所idを選択",VLOOKUP(B1145,'06停留所'!$B$2:$C$10500,2,0))</f>
        <v>←停留所idを選択</v>
      </c>
      <c r="D1145" s="5"/>
      <c r="E1145" s="5"/>
      <c r="F1145" s="6"/>
    </row>
    <row r="1146" spans="1:6" x14ac:dyDescent="0.2">
      <c r="A1146" s="2">
        <v>1145</v>
      </c>
      <c r="B1146" s="5"/>
      <c r="C1146" s="10" t="str">
        <f>IF(B1146="","←停留所idを選択",VLOOKUP(B1146,'06停留所'!$B$2:$C$10500,2,0))</f>
        <v>←停留所idを選択</v>
      </c>
      <c r="D1146" s="5"/>
      <c r="E1146" s="5"/>
      <c r="F1146" s="6"/>
    </row>
    <row r="1147" spans="1:6" x14ac:dyDescent="0.2">
      <c r="A1147" s="2">
        <v>1146</v>
      </c>
      <c r="B1147" s="5"/>
      <c r="C1147" s="10" t="str">
        <f>IF(B1147="","←停留所idを選択",VLOOKUP(B1147,'06停留所'!$B$2:$C$10500,2,0))</f>
        <v>←停留所idを選択</v>
      </c>
      <c r="D1147" s="5"/>
      <c r="E1147" s="5"/>
      <c r="F1147" s="6"/>
    </row>
    <row r="1148" spans="1:6" x14ac:dyDescent="0.2">
      <c r="A1148" s="2">
        <v>1147</v>
      </c>
      <c r="B1148" s="5"/>
      <c r="C1148" s="10" t="str">
        <f>IF(B1148="","←停留所idを選択",VLOOKUP(B1148,'06停留所'!$B$2:$C$10500,2,0))</f>
        <v>←停留所idを選択</v>
      </c>
      <c r="D1148" s="5"/>
      <c r="E1148" s="5"/>
      <c r="F1148" s="6"/>
    </row>
    <row r="1149" spans="1:6" x14ac:dyDescent="0.2">
      <c r="A1149" s="2">
        <v>1148</v>
      </c>
      <c r="B1149" s="5"/>
      <c r="C1149" s="10" t="str">
        <f>IF(B1149="","←停留所idを選択",VLOOKUP(B1149,'06停留所'!$B$2:$C$10500,2,0))</f>
        <v>←停留所idを選択</v>
      </c>
      <c r="D1149" s="5"/>
      <c r="E1149" s="5"/>
      <c r="F1149" s="6"/>
    </row>
    <row r="1150" spans="1:6" x14ac:dyDescent="0.2">
      <c r="A1150" s="2">
        <v>1149</v>
      </c>
      <c r="B1150" s="5"/>
      <c r="C1150" s="10" t="str">
        <f>IF(B1150="","←停留所idを選択",VLOOKUP(B1150,'06停留所'!$B$2:$C$10500,2,0))</f>
        <v>←停留所idを選択</v>
      </c>
      <c r="D1150" s="5"/>
      <c r="E1150" s="5"/>
      <c r="F1150" s="6"/>
    </row>
    <row r="1151" spans="1:6" x14ac:dyDescent="0.2">
      <c r="A1151" s="2">
        <v>1150</v>
      </c>
      <c r="B1151" s="5"/>
      <c r="C1151" s="10" t="str">
        <f>IF(B1151="","←停留所idを選択",VLOOKUP(B1151,'06停留所'!$B$2:$C$10500,2,0))</f>
        <v>←停留所idを選択</v>
      </c>
      <c r="D1151" s="5"/>
      <c r="E1151" s="5"/>
      <c r="F1151" s="6"/>
    </row>
    <row r="1152" spans="1:6" x14ac:dyDescent="0.2">
      <c r="A1152" s="2">
        <v>1151</v>
      </c>
      <c r="B1152" s="5"/>
      <c r="C1152" s="10" t="str">
        <f>IF(B1152="","←停留所idを選択",VLOOKUP(B1152,'06停留所'!$B$2:$C$10500,2,0))</f>
        <v>←停留所idを選択</v>
      </c>
      <c r="D1152" s="5"/>
      <c r="E1152" s="5"/>
      <c r="F1152" s="6"/>
    </row>
    <row r="1153" spans="1:6" x14ac:dyDescent="0.2">
      <c r="A1153" s="2">
        <v>1152</v>
      </c>
      <c r="B1153" s="5"/>
      <c r="C1153" s="10" t="str">
        <f>IF(B1153="","←停留所idを選択",VLOOKUP(B1153,'06停留所'!$B$2:$C$10500,2,0))</f>
        <v>←停留所idを選択</v>
      </c>
      <c r="D1153" s="5"/>
      <c r="E1153" s="5"/>
      <c r="F1153" s="6"/>
    </row>
    <row r="1154" spans="1:6" x14ac:dyDescent="0.2">
      <c r="A1154" s="2">
        <v>1153</v>
      </c>
      <c r="B1154" s="5"/>
      <c r="C1154" s="10" t="str">
        <f>IF(B1154="","←停留所idを選択",VLOOKUP(B1154,'06停留所'!$B$2:$C$10500,2,0))</f>
        <v>←停留所idを選択</v>
      </c>
      <c r="D1154" s="5"/>
      <c r="E1154" s="5"/>
      <c r="F1154" s="6"/>
    </row>
    <row r="1155" spans="1:6" x14ac:dyDescent="0.2">
      <c r="A1155" s="2">
        <v>1154</v>
      </c>
      <c r="B1155" s="5"/>
      <c r="C1155" s="10" t="str">
        <f>IF(B1155="","←停留所idを選択",VLOOKUP(B1155,'06停留所'!$B$2:$C$10500,2,0))</f>
        <v>←停留所idを選択</v>
      </c>
      <c r="D1155" s="5"/>
      <c r="E1155" s="5"/>
      <c r="F1155" s="6"/>
    </row>
    <row r="1156" spans="1:6" x14ac:dyDescent="0.2">
      <c r="A1156" s="2">
        <v>1155</v>
      </c>
      <c r="B1156" s="5"/>
      <c r="C1156" s="10" t="str">
        <f>IF(B1156="","←停留所idを選択",VLOOKUP(B1156,'06停留所'!$B$2:$C$10500,2,0))</f>
        <v>←停留所idを選択</v>
      </c>
      <c r="D1156" s="5"/>
      <c r="E1156" s="5"/>
      <c r="F1156" s="6"/>
    </row>
    <row r="1157" spans="1:6" x14ac:dyDescent="0.2">
      <c r="A1157" s="2">
        <v>1156</v>
      </c>
      <c r="B1157" s="5"/>
      <c r="C1157" s="10" t="str">
        <f>IF(B1157="","←停留所idを選択",VLOOKUP(B1157,'06停留所'!$B$2:$C$10500,2,0))</f>
        <v>←停留所idを選択</v>
      </c>
      <c r="D1157" s="5"/>
      <c r="E1157" s="5"/>
      <c r="F1157" s="6"/>
    </row>
    <row r="1158" spans="1:6" x14ac:dyDescent="0.2">
      <c r="A1158" s="2">
        <v>1157</v>
      </c>
      <c r="B1158" s="5"/>
      <c r="C1158" s="10" t="str">
        <f>IF(B1158="","←停留所idを選択",VLOOKUP(B1158,'06停留所'!$B$2:$C$10500,2,0))</f>
        <v>←停留所idを選択</v>
      </c>
      <c r="D1158" s="5"/>
      <c r="E1158" s="5"/>
      <c r="F1158" s="6"/>
    </row>
    <row r="1159" spans="1:6" x14ac:dyDescent="0.2">
      <c r="A1159" s="2">
        <v>1158</v>
      </c>
      <c r="B1159" s="5"/>
      <c r="C1159" s="10" t="str">
        <f>IF(B1159="","←停留所idを選択",VLOOKUP(B1159,'06停留所'!$B$2:$C$10500,2,0))</f>
        <v>←停留所idを選択</v>
      </c>
      <c r="D1159" s="5"/>
      <c r="E1159" s="5"/>
      <c r="F1159" s="6"/>
    </row>
    <row r="1160" spans="1:6" x14ac:dyDescent="0.2">
      <c r="A1160" s="2">
        <v>1159</v>
      </c>
      <c r="B1160" s="5"/>
      <c r="C1160" s="10" t="str">
        <f>IF(B1160="","←停留所idを選択",VLOOKUP(B1160,'06停留所'!$B$2:$C$10500,2,0))</f>
        <v>←停留所idを選択</v>
      </c>
      <c r="D1160" s="5"/>
      <c r="E1160" s="5"/>
      <c r="F1160" s="6"/>
    </row>
    <row r="1161" spans="1:6" x14ac:dyDescent="0.2">
      <c r="A1161" s="2">
        <v>1160</v>
      </c>
      <c r="B1161" s="5"/>
      <c r="C1161" s="10" t="str">
        <f>IF(B1161="","←停留所idを選択",VLOOKUP(B1161,'06停留所'!$B$2:$C$10500,2,0))</f>
        <v>←停留所idを選択</v>
      </c>
      <c r="D1161" s="5"/>
      <c r="E1161" s="5"/>
      <c r="F1161" s="6"/>
    </row>
    <row r="1162" spans="1:6" x14ac:dyDescent="0.2">
      <c r="A1162" s="2">
        <v>1161</v>
      </c>
      <c r="B1162" s="5"/>
      <c r="C1162" s="10" t="str">
        <f>IF(B1162="","←停留所idを選択",VLOOKUP(B1162,'06停留所'!$B$2:$C$10500,2,0))</f>
        <v>←停留所idを選択</v>
      </c>
      <c r="D1162" s="5"/>
      <c r="E1162" s="5"/>
      <c r="F1162" s="6"/>
    </row>
    <row r="1163" spans="1:6" x14ac:dyDescent="0.2">
      <c r="A1163" s="2">
        <v>1162</v>
      </c>
      <c r="B1163" s="5"/>
      <c r="C1163" s="10" t="str">
        <f>IF(B1163="","←停留所idを選択",VLOOKUP(B1163,'06停留所'!$B$2:$C$10500,2,0))</f>
        <v>←停留所idを選択</v>
      </c>
      <c r="D1163" s="5"/>
      <c r="E1163" s="5"/>
      <c r="F1163" s="6"/>
    </row>
    <row r="1164" spans="1:6" x14ac:dyDescent="0.2">
      <c r="A1164" s="2">
        <v>1163</v>
      </c>
      <c r="B1164" s="5"/>
      <c r="C1164" s="10" t="str">
        <f>IF(B1164="","←停留所idを選択",VLOOKUP(B1164,'06停留所'!$B$2:$C$10500,2,0))</f>
        <v>←停留所idを選択</v>
      </c>
      <c r="D1164" s="5"/>
      <c r="E1164" s="5"/>
      <c r="F1164" s="6"/>
    </row>
    <row r="1165" spans="1:6" x14ac:dyDescent="0.2">
      <c r="A1165" s="2">
        <v>1164</v>
      </c>
      <c r="B1165" s="5"/>
      <c r="C1165" s="10" t="str">
        <f>IF(B1165="","←停留所idを選択",VLOOKUP(B1165,'06停留所'!$B$2:$C$10500,2,0))</f>
        <v>←停留所idを選択</v>
      </c>
      <c r="D1165" s="5"/>
      <c r="E1165" s="5"/>
      <c r="F1165" s="6"/>
    </row>
    <row r="1166" spans="1:6" x14ac:dyDescent="0.2">
      <c r="A1166" s="2">
        <v>1165</v>
      </c>
      <c r="B1166" s="5"/>
      <c r="C1166" s="10" t="str">
        <f>IF(B1166="","←停留所idを選択",VLOOKUP(B1166,'06停留所'!$B$2:$C$10500,2,0))</f>
        <v>←停留所idを選択</v>
      </c>
      <c r="D1166" s="5"/>
      <c r="E1166" s="5"/>
      <c r="F1166" s="6"/>
    </row>
    <row r="1167" spans="1:6" x14ac:dyDescent="0.2">
      <c r="A1167" s="2">
        <v>1166</v>
      </c>
      <c r="B1167" s="5"/>
      <c r="C1167" s="10" t="str">
        <f>IF(B1167="","←停留所idを選択",VLOOKUP(B1167,'06停留所'!$B$2:$C$10500,2,0))</f>
        <v>←停留所idを選択</v>
      </c>
      <c r="D1167" s="5"/>
      <c r="E1167" s="5"/>
      <c r="F1167" s="6"/>
    </row>
    <row r="1168" spans="1:6" x14ac:dyDescent="0.2">
      <c r="A1168" s="2">
        <v>1167</v>
      </c>
      <c r="B1168" s="5"/>
      <c r="C1168" s="10" t="str">
        <f>IF(B1168="","←停留所idを選択",VLOOKUP(B1168,'06停留所'!$B$2:$C$10500,2,0))</f>
        <v>←停留所idを選択</v>
      </c>
      <c r="D1168" s="5"/>
      <c r="E1168" s="5"/>
      <c r="F1168" s="6"/>
    </row>
    <row r="1169" spans="1:6" x14ac:dyDescent="0.2">
      <c r="A1169" s="2">
        <v>1168</v>
      </c>
      <c r="B1169" s="5"/>
      <c r="C1169" s="10" t="str">
        <f>IF(B1169="","←停留所idを選択",VLOOKUP(B1169,'06停留所'!$B$2:$C$10500,2,0))</f>
        <v>←停留所idを選択</v>
      </c>
      <c r="D1169" s="5"/>
      <c r="E1169" s="5"/>
      <c r="F1169" s="6"/>
    </row>
    <row r="1170" spans="1:6" x14ac:dyDescent="0.2">
      <c r="A1170" s="2">
        <v>1169</v>
      </c>
      <c r="B1170" s="5"/>
      <c r="C1170" s="10" t="str">
        <f>IF(B1170="","←停留所idを選択",VLOOKUP(B1170,'06停留所'!$B$2:$C$10500,2,0))</f>
        <v>←停留所idを選択</v>
      </c>
      <c r="D1170" s="5"/>
      <c r="E1170" s="5"/>
      <c r="F1170" s="6"/>
    </row>
    <row r="1171" spans="1:6" x14ac:dyDescent="0.2">
      <c r="A1171" s="2">
        <v>1170</v>
      </c>
      <c r="B1171" s="5"/>
      <c r="C1171" s="10" t="str">
        <f>IF(B1171="","←停留所idを選択",VLOOKUP(B1171,'06停留所'!$B$2:$C$10500,2,0))</f>
        <v>←停留所idを選択</v>
      </c>
      <c r="D1171" s="5"/>
      <c r="E1171" s="5"/>
      <c r="F1171" s="6"/>
    </row>
    <row r="1172" spans="1:6" x14ac:dyDescent="0.2">
      <c r="A1172" s="2">
        <v>1171</v>
      </c>
      <c r="B1172" s="5"/>
      <c r="C1172" s="10" t="str">
        <f>IF(B1172="","←停留所idを選択",VLOOKUP(B1172,'06停留所'!$B$2:$C$10500,2,0))</f>
        <v>←停留所idを選択</v>
      </c>
      <c r="D1172" s="5"/>
      <c r="E1172" s="5"/>
      <c r="F1172" s="6"/>
    </row>
    <row r="1173" spans="1:6" x14ac:dyDescent="0.2">
      <c r="A1173" s="2">
        <v>1172</v>
      </c>
      <c r="B1173" s="5"/>
      <c r="C1173" s="10" t="str">
        <f>IF(B1173="","←停留所idを選択",VLOOKUP(B1173,'06停留所'!$B$2:$C$10500,2,0))</f>
        <v>←停留所idを選択</v>
      </c>
      <c r="D1173" s="5"/>
      <c r="E1173" s="5"/>
      <c r="F1173" s="6"/>
    </row>
    <row r="1174" spans="1:6" x14ac:dyDescent="0.2">
      <c r="A1174" s="2">
        <v>1173</v>
      </c>
      <c r="B1174" s="5"/>
      <c r="C1174" s="10" t="str">
        <f>IF(B1174="","←停留所idを選択",VLOOKUP(B1174,'06停留所'!$B$2:$C$10500,2,0))</f>
        <v>←停留所idを選択</v>
      </c>
      <c r="D1174" s="5"/>
      <c r="E1174" s="5"/>
      <c r="F1174" s="6"/>
    </row>
    <row r="1175" spans="1:6" x14ac:dyDescent="0.2">
      <c r="A1175" s="2">
        <v>1174</v>
      </c>
      <c r="B1175" s="5"/>
      <c r="C1175" s="10" t="str">
        <f>IF(B1175="","←停留所idを選択",VLOOKUP(B1175,'06停留所'!$B$2:$C$10500,2,0))</f>
        <v>←停留所idを選択</v>
      </c>
      <c r="D1175" s="5"/>
      <c r="E1175" s="5"/>
      <c r="F1175" s="6"/>
    </row>
    <row r="1176" spans="1:6" x14ac:dyDescent="0.2">
      <c r="A1176" s="2">
        <v>1175</v>
      </c>
      <c r="B1176" s="5"/>
      <c r="C1176" s="10" t="str">
        <f>IF(B1176="","←停留所idを選択",VLOOKUP(B1176,'06停留所'!$B$2:$C$10500,2,0))</f>
        <v>←停留所idを選択</v>
      </c>
      <c r="D1176" s="5"/>
      <c r="E1176" s="5"/>
      <c r="F1176" s="6"/>
    </row>
    <row r="1177" spans="1:6" x14ac:dyDescent="0.2">
      <c r="A1177" s="2">
        <v>1176</v>
      </c>
      <c r="B1177" s="5"/>
      <c r="C1177" s="10" t="str">
        <f>IF(B1177="","←停留所idを選択",VLOOKUP(B1177,'06停留所'!$B$2:$C$10500,2,0))</f>
        <v>←停留所idを選択</v>
      </c>
      <c r="D1177" s="5"/>
      <c r="E1177" s="5"/>
      <c r="F1177" s="6"/>
    </row>
    <row r="1178" spans="1:6" x14ac:dyDescent="0.2">
      <c r="A1178" s="2">
        <v>1177</v>
      </c>
      <c r="B1178" s="5"/>
      <c r="C1178" s="10" t="str">
        <f>IF(B1178="","←停留所idを選択",VLOOKUP(B1178,'06停留所'!$B$2:$C$10500,2,0))</f>
        <v>←停留所idを選択</v>
      </c>
      <c r="D1178" s="5"/>
      <c r="E1178" s="5"/>
      <c r="F1178" s="6"/>
    </row>
    <row r="1179" spans="1:6" x14ac:dyDescent="0.2">
      <c r="A1179" s="2">
        <v>1178</v>
      </c>
      <c r="B1179" s="5"/>
      <c r="C1179" s="10" t="str">
        <f>IF(B1179="","←停留所idを選択",VLOOKUP(B1179,'06停留所'!$B$2:$C$10500,2,0))</f>
        <v>←停留所idを選択</v>
      </c>
      <c r="D1179" s="5"/>
      <c r="E1179" s="5"/>
      <c r="F1179" s="6"/>
    </row>
    <row r="1180" spans="1:6" x14ac:dyDescent="0.2">
      <c r="A1180" s="2">
        <v>1179</v>
      </c>
      <c r="B1180" s="5"/>
      <c r="C1180" s="10" t="str">
        <f>IF(B1180="","←停留所idを選択",VLOOKUP(B1180,'06停留所'!$B$2:$C$10500,2,0))</f>
        <v>←停留所idを選択</v>
      </c>
      <c r="D1180" s="5"/>
      <c r="E1180" s="5"/>
      <c r="F1180" s="6"/>
    </row>
    <row r="1181" spans="1:6" x14ac:dyDescent="0.2">
      <c r="A1181" s="2">
        <v>1180</v>
      </c>
      <c r="B1181" s="5"/>
      <c r="C1181" s="10" t="str">
        <f>IF(B1181="","←停留所idを選択",VLOOKUP(B1181,'06停留所'!$B$2:$C$10500,2,0))</f>
        <v>←停留所idを選択</v>
      </c>
      <c r="D1181" s="5"/>
      <c r="E1181" s="5"/>
      <c r="F1181" s="6"/>
    </row>
    <row r="1182" spans="1:6" x14ac:dyDescent="0.2">
      <c r="A1182" s="2">
        <v>1181</v>
      </c>
      <c r="B1182" s="5"/>
      <c r="C1182" s="10" t="str">
        <f>IF(B1182="","←停留所idを選択",VLOOKUP(B1182,'06停留所'!$B$2:$C$10500,2,0))</f>
        <v>←停留所idを選択</v>
      </c>
      <c r="D1182" s="5"/>
      <c r="E1182" s="5"/>
      <c r="F1182" s="6"/>
    </row>
    <row r="1183" spans="1:6" x14ac:dyDescent="0.2">
      <c r="A1183" s="2">
        <v>1182</v>
      </c>
      <c r="B1183" s="5"/>
      <c r="C1183" s="10" t="str">
        <f>IF(B1183="","←停留所idを選択",VLOOKUP(B1183,'06停留所'!$B$2:$C$10500,2,0))</f>
        <v>←停留所idを選択</v>
      </c>
      <c r="D1183" s="5"/>
      <c r="E1183" s="5"/>
      <c r="F1183" s="6"/>
    </row>
    <row r="1184" spans="1:6" x14ac:dyDescent="0.2">
      <c r="A1184" s="2">
        <v>1183</v>
      </c>
      <c r="B1184" s="5"/>
      <c r="C1184" s="10" t="str">
        <f>IF(B1184="","←停留所idを選択",VLOOKUP(B1184,'06停留所'!$B$2:$C$10500,2,0))</f>
        <v>←停留所idを選択</v>
      </c>
      <c r="D1184" s="5"/>
      <c r="E1184" s="5"/>
      <c r="F1184" s="6"/>
    </row>
    <row r="1185" spans="1:6" x14ac:dyDescent="0.2">
      <c r="A1185" s="2">
        <v>1184</v>
      </c>
      <c r="B1185" s="5"/>
      <c r="C1185" s="10" t="str">
        <f>IF(B1185="","←停留所idを選択",VLOOKUP(B1185,'06停留所'!$B$2:$C$10500,2,0))</f>
        <v>←停留所idを選択</v>
      </c>
      <c r="D1185" s="5"/>
      <c r="E1185" s="5"/>
      <c r="F1185" s="6"/>
    </row>
    <row r="1186" spans="1:6" x14ac:dyDescent="0.2">
      <c r="A1186" s="2">
        <v>1185</v>
      </c>
      <c r="B1186" s="5"/>
      <c r="C1186" s="10" t="str">
        <f>IF(B1186="","←停留所idを選択",VLOOKUP(B1186,'06停留所'!$B$2:$C$10500,2,0))</f>
        <v>←停留所idを選択</v>
      </c>
      <c r="D1186" s="5"/>
      <c r="E1186" s="5"/>
      <c r="F1186" s="6"/>
    </row>
    <row r="1187" spans="1:6" x14ac:dyDescent="0.2">
      <c r="A1187" s="2">
        <v>1186</v>
      </c>
      <c r="B1187" s="5"/>
      <c r="C1187" s="10" t="str">
        <f>IF(B1187="","←停留所idを選択",VLOOKUP(B1187,'06停留所'!$B$2:$C$10500,2,0))</f>
        <v>←停留所idを選択</v>
      </c>
      <c r="D1187" s="5"/>
      <c r="E1187" s="5"/>
      <c r="F1187" s="6"/>
    </row>
    <row r="1188" spans="1:6" x14ac:dyDescent="0.2">
      <c r="A1188" s="2">
        <v>1187</v>
      </c>
      <c r="B1188" s="5"/>
      <c r="C1188" s="10" t="str">
        <f>IF(B1188="","←停留所idを選択",VLOOKUP(B1188,'06停留所'!$B$2:$C$10500,2,0))</f>
        <v>←停留所idを選択</v>
      </c>
      <c r="D1188" s="5"/>
      <c r="E1188" s="5"/>
      <c r="F1188" s="6"/>
    </row>
    <row r="1189" spans="1:6" x14ac:dyDescent="0.2">
      <c r="A1189" s="2">
        <v>1188</v>
      </c>
      <c r="B1189" s="5"/>
      <c r="C1189" s="10" t="str">
        <f>IF(B1189="","←停留所idを選択",VLOOKUP(B1189,'06停留所'!$B$2:$C$10500,2,0))</f>
        <v>←停留所idを選択</v>
      </c>
      <c r="D1189" s="5"/>
      <c r="E1189" s="5"/>
      <c r="F1189" s="6"/>
    </row>
    <row r="1190" spans="1:6" x14ac:dyDescent="0.2">
      <c r="A1190" s="2">
        <v>1189</v>
      </c>
      <c r="B1190" s="5"/>
      <c r="C1190" s="10" t="str">
        <f>IF(B1190="","←停留所idを選択",VLOOKUP(B1190,'06停留所'!$B$2:$C$10500,2,0))</f>
        <v>←停留所idを選択</v>
      </c>
      <c r="D1190" s="5"/>
      <c r="E1190" s="5"/>
      <c r="F1190" s="6"/>
    </row>
    <row r="1191" spans="1:6" x14ac:dyDescent="0.2">
      <c r="A1191" s="2">
        <v>1190</v>
      </c>
      <c r="B1191" s="5"/>
      <c r="C1191" s="10" t="str">
        <f>IF(B1191="","←停留所idを選択",VLOOKUP(B1191,'06停留所'!$B$2:$C$10500,2,0))</f>
        <v>←停留所idを選択</v>
      </c>
      <c r="D1191" s="5"/>
      <c r="E1191" s="5"/>
      <c r="F1191" s="6"/>
    </row>
    <row r="1192" spans="1:6" x14ac:dyDescent="0.2">
      <c r="A1192" s="2">
        <v>1191</v>
      </c>
      <c r="B1192" s="5"/>
      <c r="C1192" s="10" t="str">
        <f>IF(B1192="","←停留所idを選択",VLOOKUP(B1192,'06停留所'!$B$2:$C$10500,2,0))</f>
        <v>←停留所idを選択</v>
      </c>
      <c r="D1192" s="5"/>
      <c r="E1192" s="5"/>
      <c r="F1192" s="6"/>
    </row>
    <row r="1193" spans="1:6" x14ac:dyDescent="0.2">
      <c r="A1193" s="2">
        <v>1192</v>
      </c>
      <c r="B1193" s="5"/>
      <c r="C1193" s="10" t="str">
        <f>IF(B1193="","←停留所idを選択",VLOOKUP(B1193,'06停留所'!$B$2:$C$10500,2,0))</f>
        <v>←停留所idを選択</v>
      </c>
      <c r="D1193" s="5"/>
      <c r="E1193" s="5"/>
      <c r="F1193" s="6"/>
    </row>
    <row r="1194" spans="1:6" x14ac:dyDescent="0.2">
      <c r="A1194" s="2">
        <v>1193</v>
      </c>
      <c r="B1194" s="5"/>
      <c r="C1194" s="10" t="str">
        <f>IF(B1194="","←停留所idを選択",VLOOKUP(B1194,'06停留所'!$B$2:$C$10500,2,0))</f>
        <v>←停留所idを選択</v>
      </c>
      <c r="D1194" s="5"/>
      <c r="E1194" s="5"/>
      <c r="F1194" s="6"/>
    </row>
    <row r="1195" spans="1:6" x14ac:dyDescent="0.2">
      <c r="A1195" s="2">
        <v>1194</v>
      </c>
      <c r="B1195" s="5"/>
      <c r="C1195" s="10" t="str">
        <f>IF(B1195="","←停留所idを選択",VLOOKUP(B1195,'06停留所'!$B$2:$C$10500,2,0))</f>
        <v>←停留所idを選択</v>
      </c>
      <c r="D1195" s="5"/>
      <c r="E1195" s="5"/>
      <c r="F1195" s="6"/>
    </row>
    <row r="1196" spans="1:6" x14ac:dyDescent="0.2">
      <c r="A1196" s="2">
        <v>1195</v>
      </c>
      <c r="B1196" s="5"/>
      <c r="C1196" s="10" t="str">
        <f>IF(B1196="","←停留所idを選択",VLOOKUP(B1196,'06停留所'!$B$2:$C$10500,2,0))</f>
        <v>←停留所idを選択</v>
      </c>
      <c r="D1196" s="5"/>
      <c r="E1196" s="5"/>
      <c r="F1196" s="6"/>
    </row>
    <row r="1197" spans="1:6" x14ac:dyDescent="0.2">
      <c r="A1197" s="2">
        <v>1196</v>
      </c>
      <c r="B1197" s="5"/>
      <c r="C1197" s="10" t="str">
        <f>IF(B1197="","←停留所idを選択",VLOOKUP(B1197,'06停留所'!$B$2:$C$10500,2,0))</f>
        <v>←停留所idを選択</v>
      </c>
      <c r="D1197" s="5"/>
      <c r="E1197" s="5"/>
      <c r="F1197" s="6"/>
    </row>
    <row r="1198" spans="1:6" x14ac:dyDescent="0.2">
      <c r="A1198" s="2">
        <v>1197</v>
      </c>
      <c r="B1198" s="5"/>
      <c r="C1198" s="10" t="str">
        <f>IF(B1198="","←停留所idを選択",VLOOKUP(B1198,'06停留所'!$B$2:$C$10500,2,0))</f>
        <v>←停留所idを選択</v>
      </c>
      <c r="D1198" s="5"/>
      <c r="E1198" s="5"/>
      <c r="F1198" s="6"/>
    </row>
    <row r="1199" spans="1:6" x14ac:dyDescent="0.2">
      <c r="A1199" s="2">
        <v>1198</v>
      </c>
      <c r="B1199" s="5"/>
      <c r="C1199" s="10" t="str">
        <f>IF(B1199="","←停留所idを選択",VLOOKUP(B1199,'06停留所'!$B$2:$C$10500,2,0))</f>
        <v>←停留所idを選択</v>
      </c>
      <c r="D1199" s="5"/>
      <c r="E1199" s="5"/>
      <c r="F1199" s="6"/>
    </row>
    <row r="1200" spans="1:6" x14ac:dyDescent="0.2">
      <c r="A1200" s="2">
        <v>1199</v>
      </c>
      <c r="B1200" s="5"/>
      <c r="C1200" s="10" t="str">
        <f>IF(B1200="","←停留所idを選択",VLOOKUP(B1200,'06停留所'!$B$2:$C$10500,2,0))</f>
        <v>←停留所idを選択</v>
      </c>
      <c r="D1200" s="5"/>
      <c r="E1200" s="5"/>
      <c r="F1200" s="6"/>
    </row>
    <row r="1201" spans="1:6" x14ac:dyDescent="0.2">
      <c r="A1201" s="2">
        <v>1200</v>
      </c>
      <c r="B1201" s="5"/>
      <c r="C1201" s="10" t="str">
        <f>IF(B1201="","←停留所idを選択",VLOOKUP(B1201,'06停留所'!$B$2:$C$10500,2,0))</f>
        <v>←停留所idを選択</v>
      </c>
      <c r="D1201" s="5"/>
      <c r="E1201" s="5"/>
      <c r="F1201" s="6"/>
    </row>
    <row r="1202" spans="1:6" x14ac:dyDescent="0.2">
      <c r="A1202" s="2">
        <v>1201</v>
      </c>
      <c r="B1202" s="5"/>
      <c r="C1202" s="10" t="str">
        <f>IF(B1202="","←停留所idを選択",VLOOKUP(B1202,'06停留所'!$B$2:$C$10500,2,0))</f>
        <v>←停留所idを選択</v>
      </c>
      <c r="D1202" s="5"/>
      <c r="E1202" s="5"/>
      <c r="F1202" s="6"/>
    </row>
    <row r="1203" spans="1:6" x14ac:dyDescent="0.2">
      <c r="A1203" s="2">
        <v>1202</v>
      </c>
      <c r="B1203" s="5"/>
      <c r="C1203" s="10" t="str">
        <f>IF(B1203="","←停留所idを選択",VLOOKUP(B1203,'06停留所'!$B$2:$C$10500,2,0))</f>
        <v>←停留所idを選択</v>
      </c>
      <c r="D1203" s="5"/>
      <c r="E1203" s="5"/>
      <c r="F1203" s="6"/>
    </row>
    <row r="1204" spans="1:6" x14ac:dyDescent="0.2">
      <c r="A1204" s="2">
        <v>1203</v>
      </c>
      <c r="B1204" s="5"/>
      <c r="C1204" s="10" t="str">
        <f>IF(B1204="","←停留所idを選択",VLOOKUP(B1204,'06停留所'!$B$2:$C$10500,2,0))</f>
        <v>←停留所idを選択</v>
      </c>
      <c r="D1204" s="5"/>
      <c r="E1204" s="5"/>
      <c r="F1204" s="6"/>
    </row>
    <row r="1205" spans="1:6" x14ac:dyDescent="0.2">
      <c r="A1205" s="2">
        <v>1204</v>
      </c>
      <c r="B1205" s="5"/>
      <c r="C1205" s="10" t="str">
        <f>IF(B1205="","←停留所idを選択",VLOOKUP(B1205,'06停留所'!$B$2:$C$10500,2,0))</f>
        <v>←停留所idを選択</v>
      </c>
      <c r="D1205" s="5"/>
      <c r="E1205" s="5"/>
      <c r="F1205" s="6"/>
    </row>
    <row r="1206" spans="1:6" x14ac:dyDescent="0.2">
      <c r="A1206" s="2">
        <v>1205</v>
      </c>
      <c r="B1206" s="5"/>
      <c r="C1206" s="10" t="str">
        <f>IF(B1206="","←停留所idを選択",VLOOKUP(B1206,'06停留所'!$B$2:$C$10500,2,0))</f>
        <v>←停留所idを選択</v>
      </c>
      <c r="D1206" s="5"/>
      <c r="E1206" s="5"/>
      <c r="F1206" s="6"/>
    </row>
    <row r="1207" spans="1:6" x14ac:dyDescent="0.2">
      <c r="A1207" s="2">
        <v>1206</v>
      </c>
      <c r="B1207" s="5"/>
      <c r="C1207" s="10" t="str">
        <f>IF(B1207="","←停留所idを選択",VLOOKUP(B1207,'06停留所'!$B$2:$C$10500,2,0))</f>
        <v>←停留所idを選択</v>
      </c>
      <c r="D1207" s="5"/>
      <c r="E1207" s="5"/>
      <c r="F1207" s="6"/>
    </row>
    <row r="1208" spans="1:6" x14ac:dyDescent="0.2">
      <c r="A1208" s="2">
        <v>1207</v>
      </c>
      <c r="B1208" s="5"/>
      <c r="C1208" s="10" t="str">
        <f>IF(B1208="","←停留所idを選択",VLOOKUP(B1208,'06停留所'!$B$2:$C$10500,2,0))</f>
        <v>←停留所idを選択</v>
      </c>
      <c r="D1208" s="5"/>
      <c r="E1208" s="5"/>
      <c r="F1208" s="6"/>
    </row>
    <row r="1209" spans="1:6" x14ac:dyDescent="0.2">
      <c r="A1209" s="2">
        <v>1208</v>
      </c>
      <c r="B1209" s="5"/>
      <c r="C1209" s="10" t="str">
        <f>IF(B1209="","←停留所idを選択",VLOOKUP(B1209,'06停留所'!$B$2:$C$10500,2,0))</f>
        <v>←停留所idを選択</v>
      </c>
      <c r="D1209" s="5"/>
      <c r="E1209" s="5"/>
      <c r="F1209" s="6"/>
    </row>
    <row r="1210" spans="1:6" x14ac:dyDescent="0.2">
      <c r="A1210" s="2">
        <v>1209</v>
      </c>
      <c r="B1210" s="5"/>
      <c r="C1210" s="10" t="str">
        <f>IF(B1210="","←停留所idを選択",VLOOKUP(B1210,'06停留所'!$B$2:$C$10500,2,0))</f>
        <v>←停留所idを選択</v>
      </c>
      <c r="D1210" s="5"/>
      <c r="E1210" s="5"/>
      <c r="F1210" s="6"/>
    </row>
    <row r="1211" spans="1:6" x14ac:dyDescent="0.2">
      <c r="A1211" s="2">
        <v>1210</v>
      </c>
      <c r="B1211" s="5"/>
      <c r="C1211" s="10" t="str">
        <f>IF(B1211="","←停留所idを選択",VLOOKUP(B1211,'06停留所'!$B$2:$C$10500,2,0))</f>
        <v>←停留所idを選択</v>
      </c>
      <c r="D1211" s="5"/>
      <c r="E1211" s="5"/>
      <c r="F1211" s="6"/>
    </row>
    <row r="1212" spans="1:6" x14ac:dyDescent="0.2">
      <c r="A1212" s="2">
        <v>1211</v>
      </c>
      <c r="B1212" s="5"/>
      <c r="C1212" s="10" t="str">
        <f>IF(B1212="","←停留所idを選択",VLOOKUP(B1212,'06停留所'!$B$2:$C$10500,2,0))</f>
        <v>←停留所idを選択</v>
      </c>
      <c r="D1212" s="5"/>
      <c r="E1212" s="5"/>
      <c r="F1212" s="6"/>
    </row>
    <row r="1213" spans="1:6" x14ac:dyDescent="0.2">
      <c r="A1213" s="2">
        <v>1212</v>
      </c>
      <c r="B1213" s="5"/>
      <c r="C1213" s="10" t="str">
        <f>IF(B1213="","←停留所idを選択",VLOOKUP(B1213,'06停留所'!$B$2:$C$10500,2,0))</f>
        <v>←停留所idを選択</v>
      </c>
      <c r="D1213" s="5"/>
      <c r="E1213" s="5"/>
      <c r="F1213" s="6"/>
    </row>
    <row r="1214" spans="1:6" x14ac:dyDescent="0.2">
      <c r="A1214" s="2">
        <v>1213</v>
      </c>
      <c r="B1214" s="5"/>
      <c r="C1214" s="10" t="str">
        <f>IF(B1214="","←停留所idを選択",VLOOKUP(B1214,'06停留所'!$B$2:$C$10500,2,0))</f>
        <v>←停留所idを選択</v>
      </c>
      <c r="D1214" s="5"/>
      <c r="E1214" s="5"/>
      <c r="F1214" s="6"/>
    </row>
    <row r="1215" spans="1:6" x14ac:dyDescent="0.2">
      <c r="A1215" s="2">
        <v>1214</v>
      </c>
      <c r="B1215" s="5"/>
      <c r="C1215" s="10" t="str">
        <f>IF(B1215="","←停留所idを選択",VLOOKUP(B1215,'06停留所'!$B$2:$C$10500,2,0))</f>
        <v>←停留所idを選択</v>
      </c>
      <c r="D1215" s="5"/>
      <c r="E1215" s="5"/>
      <c r="F1215" s="6"/>
    </row>
    <row r="1216" spans="1:6" x14ac:dyDescent="0.2">
      <c r="A1216" s="2">
        <v>1215</v>
      </c>
      <c r="B1216" s="5"/>
      <c r="C1216" s="10" t="str">
        <f>IF(B1216="","←停留所idを選択",VLOOKUP(B1216,'06停留所'!$B$2:$C$10500,2,0))</f>
        <v>←停留所idを選択</v>
      </c>
      <c r="D1216" s="5"/>
      <c r="E1216" s="5"/>
      <c r="F1216" s="6"/>
    </row>
    <row r="1217" spans="1:6" x14ac:dyDescent="0.2">
      <c r="A1217" s="2">
        <v>1216</v>
      </c>
      <c r="B1217" s="5"/>
      <c r="C1217" s="10" t="str">
        <f>IF(B1217="","←停留所idを選択",VLOOKUP(B1217,'06停留所'!$B$2:$C$10500,2,0))</f>
        <v>←停留所idを選択</v>
      </c>
      <c r="D1217" s="5"/>
      <c r="E1217" s="5"/>
      <c r="F1217" s="6"/>
    </row>
    <row r="1218" spans="1:6" x14ac:dyDescent="0.2">
      <c r="A1218" s="2">
        <v>1217</v>
      </c>
      <c r="B1218" s="5"/>
      <c r="C1218" s="10" t="str">
        <f>IF(B1218="","←停留所idを選択",VLOOKUP(B1218,'06停留所'!$B$2:$C$10500,2,0))</f>
        <v>←停留所idを選択</v>
      </c>
      <c r="D1218" s="5"/>
      <c r="E1218" s="5"/>
      <c r="F1218" s="6"/>
    </row>
    <row r="1219" spans="1:6" x14ac:dyDescent="0.2">
      <c r="A1219" s="2">
        <v>1218</v>
      </c>
      <c r="B1219" s="5"/>
      <c r="C1219" s="10" t="str">
        <f>IF(B1219="","←停留所idを選択",VLOOKUP(B1219,'06停留所'!$B$2:$C$10500,2,0))</f>
        <v>←停留所idを選択</v>
      </c>
      <c r="D1219" s="5"/>
      <c r="E1219" s="5"/>
      <c r="F1219" s="6"/>
    </row>
    <row r="1220" spans="1:6" x14ac:dyDescent="0.2">
      <c r="A1220" s="2">
        <v>1219</v>
      </c>
      <c r="B1220" s="5"/>
      <c r="C1220" s="10" t="str">
        <f>IF(B1220="","←停留所idを選択",VLOOKUP(B1220,'06停留所'!$B$2:$C$10500,2,0))</f>
        <v>←停留所idを選択</v>
      </c>
      <c r="D1220" s="5"/>
      <c r="E1220" s="5"/>
      <c r="F1220" s="6"/>
    </row>
    <row r="1221" spans="1:6" x14ac:dyDescent="0.2">
      <c r="A1221" s="2">
        <v>1220</v>
      </c>
      <c r="B1221" s="5"/>
      <c r="C1221" s="10" t="str">
        <f>IF(B1221="","←停留所idを選択",VLOOKUP(B1221,'06停留所'!$B$2:$C$10500,2,0))</f>
        <v>←停留所idを選択</v>
      </c>
      <c r="D1221" s="5"/>
      <c r="E1221" s="5"/>
      <c r="F1221" s="6"/>
    </row>
    <row r="1222" spans="1:6" x14ac:dyDescent="0.2">
      <c r="A1222" s="2">
        <v>1221</v>
      </c>
      <c r="B1222" s="5"/>
      <c r="C1222" s="10" t="str">
        <f>IF(B1222="","←停留所idを選択",VLOOKUP(B1222,'06停留所'!$B$2:$C$10500,2,0))</f>
        <v>←停留所idを選択</v>
      </c>
      <c r="D1222" s="5"/>
      <c r="E1222" s="5"/>
      <c r="F1222" s="6"/>
    </row>
    <row r="1223" spans="1:6" x14ac:dyDescent="0.2">
      <c r="A1223" s="2">
        <v>1222</v>
      </c>
      <c r="B1223" s="5"/>
      <c r="C1223" s="10" t="str">
        <f>IF(B1223="","←停留所idを選択",VLOOKUP(B1223,'06停留所'!$B$2:$C$10500,2,0))</f>
        <v>←停留所idを選択</v>
      </c>
      <c r="D1223" s="5"/>
      <c r="E1223" s="5"/>
      <c r="F1223" s="6"/>
    </row>
    <row r="1224" spans="1:6" x14ac:dyDescent="0.2">
      <c r="A1224" s="2">
        <v>1223</v>
      </c>
      <c r="B1224" s="5"/>
      <c r="C1224" s="10" t="str">
        <f>IF(B1224="","←停留所idを選択",VLOOKUP(B1224,'06停留所'!$B$2:$C$10500,2,0))</f>
        <v>←停留所idを選択</v>
      </c>
      <c r="D1224" s="5"/>
      <c r="E1224" s="5"/>
      <c r="F1224" s="6"/>
    </row>
    <row r="1225" spans="1:6" x14ac:dyDescent="0.2">
      <c r="A1225" s="2">
        <v>1224</v>
      </c>
      <c r="B1225" s="5"/>
      <c r="C1225" s="10" t="str">
        <f>IF(B1225="","←停留所idを選択",VLOOKUP(B1225,'06停留所'!$B$2:$C$10500,2,0))</f>
        <v>←停留所idを選択</v>
      </c>
      <c r="D1225" s="5"/>
      <c r="E1225" s="5"/>
      <c r="F1225" s="6"/>
    </row>
    <row r="1226" spans="1:6" x14ac:dyDescent="0.2">
      <c r="A1226" s="2">
        <v>1225</v>
      </c>
      <c r="B1226" s="5"/>
      <c r="C1226" s="10" t="str">
        <f>IF(B1226="","←停留所idを選択",VLOOKUP(B1226,'06停留所'!$B$2:$C$10500,2,0))</f>
        <v>←停留所idを選択</v>
      </c>
      <c r="D1226" s="5"/>
      <c r="E1226" s="5"/>
      <c r="F1226" s="6"/>
    </row>
    <row r="1227" spans="1:6" x14ac:dyDescent="0.2">
      <c r="A1227" s="2">
        <v>1226</v>
      </c>
      <c r="B1227" s="5"/>
      <c r="C1227" s="10" t="str">
        <f>IF(B1227="","←停留所idを選択",VLOOKUP(B1227,'06停留所'!$B$2:$C$10500,2,0))</f>
        <v>←停留所idを選択</v>
      </c>
      <c r="D1227" s="5"/>
      <c r="E1227" s="5"/>
      <c r="F1227" s="6"/>
    </row>
    <row r="1228" spans="1:6" x14ac:dyDescent="0.2">
      <c r="A1228" s="2">
        <v>1227</v>
      </c>
      <c r="B1228" s="5"/>
      <c r="C1228" s="10" t="str">
        <f>IF(B1228="","←停留所idを選択",VLOOKUP(B1228,'06停留所'!$B$2:$C$10500,2,0))</f>
        <v>←停留所idを選択</v>
      </c>
      <c r="D1228" s="5"/>
      <c r="E1228" s="5"/>
      <c r="F1228" s="6"/>
    </row>
    <row r="1229" spans="1:6" x14ac:dyDescent="0.2">
      <c r="A1229" s="2">
        <v>1228</v>
      </c>
      <c r="B1229" s="5"/>
      <c r="C1229" s="10" t="str">
        <f>IF(B1229="","←停留所idを選択",VLOOKUP(B1229,'06停留所'!$B$2:$C$10500,2,0))</f>
        <v>←停留所idを選択</v>
      </c>
      <c r="D1229" s="5"/>
      <c r="E1229" s="5"/>
      <c r="F1229" s="6"/>
    </row>
    <row r="1230" spans="1:6" x14ac:dyDescent="0.2">
      <c r="A1230" s="2">
        <v>1229</v>
      </c>
      <c r="B1230" s="5"/>
      <c r="C1230" s="10" t="str">
        <f>IF(B1230="","←停留所idを選択",VLOOKUP(B1230,'06停留所'!$B$2:$C$10500,2,0))</f>
        <v>←停留所idを選択</v>
      </c>
      <c r="D1230" s="5"/>
      <c r="E1230" s="5"/>
      <c r="F1230" s="6"/>
    </row>
    <row r="1231" spans="1:6" x14ac:dyDescent="0.2">
      <c r="A1231" s="2">
        <v>1230</v>
      </c>
      <c r="B1231" s="5"/>
      <c r="C1231" s="10" t="str">
        <f>IF(B1231="","←停留所idを選択",VLOOKUP(B1231,'06停留所'!$B$2:$C$10500,2,0))</f>
        <v>←停留所idを選択</v>
      </c>
      <c r="D1231" s="5"/>
      <c r="E1231" s="5"/>
      <c r="F1231" s="6"/>
    </row>
    <row r="1232" spans="1:6" x14ac:dyDescent="0.2">
      <c r="A1232" s="2">
        <v>1231</v>
      </c>
      <c r="B1232" s="5"/>
      <c r="C1232" s="10" t="str">
        <f>IF(B1232="","←停留所idを選択",VLOOKUP(B1232,'06停留所'!$B$2:$C$10500,2,0))</f>
        <v>←停留所idを選択</v>
      </c>
      <c r="D1232" s="5"/>
      <c r="E1232" s="5"/>
      <c r="F1232" s="6"/>
    </row>
    <row r="1233" spans="1:6" x14ac:dyDescent="0.2">
      <c r="A1233" s="2">
        <v>1232</v>
      </c>
      <c r="B1233" s="5"/>
      <c r="C1233" s="10" t="str">
        <f>IF(B1233="","←停留所idを選択",VLOOKUP(B1233,'06停留所'!$B$2:$C$10500,2,0))</f>
        <v>←停留所idを選択</v>
      </c>
      <c r="D1233" s="5"/>
      <c r="E1233" s="5"/>
      <c r="F1233" s="6"/>
    </row>
    <row r="1234" spans="1:6" x14ac:dyDescent="0.2">
      <c r="A1234" s="2">
        <v>1233</v>
      </c>
      <c r="B1234" s="5"/>
      <c r="C1234" s="10" t="str">
        <f>IF(B1234="","←停留所idを選択",VLOOKUP(B1234,'06停留所'!$B$2:$C$10500,2,0))</f>
        <v>←停留所idを選択</v>
      </c>
      <c r="D1234" s="5"/>
      <c r="E1234" s="5"/>
      <c r="F1234" s="6"/>
    </row>
    <row r="1235" spans="1:6" x14ac:dyDescent="0.2">
      <c r="A1235" s="2">
        <v>1234</v>
      </c>
      <c r="B1235" s="5"/>
      <c r="C1235" s="10" t="str">
        <f>IF(B1235="","←停留所idを選択",VLOOKUP(B1235,'06停留所'!$B$2:$C$10500,2,0))</f>
        <v>←停留所idを選択</v>
      </c>
      <c r="D1235" s="5"/>
      <c r="E1235" s="5"/>
      <c r="F1235" s="6"/>
    </row>
    <row r="1236" spans="1:6" x14ac:dyDescent="0.2">
      <c r="A1236" s="2">
        <v>1235</v>
      </c>
      <c r="B1236" s="5"/>
      <c r="C1236" s="10" t="str">
        <f>IF(B1236="","←停留所idを選択",VLOOKUP(B1236,'06停留所'!$B$2:$C$10500,2,0))</f>
        <v>←停留所idを選択</v>
      </c>
      <c r="D1236" s="5"/>
      <c r="E1236" s="5"/>
      <c r="F1236" s="6"/>
    </row>
    <row r="1237" spans="1:6" x14ac:dyDescent="0.2">
      <c r="A1237" s="2">
        <v>1236</v>
      </c>
      <c r="B1237" s="5"/>
      <c r="C1237" s="10" t="str">
        <f>IF(B1237="","←停留所idを選択",VLOOKUP(B1237,'06停留所'!$B$2:$C$10500,2,0))</f>
        <v>←停留所idを選択</v>
      </c>
      <c r="D1237" s="5"/>
      <c r="E1237" s="5"/>
      <c r="F1237" s="6"/>
    </row>
    <row r="1238" spans="1:6" x14ac:dyDescent="0.2">
      <c r="A1238" s="2">
        <v>1237</v>
      </c>
      <c r="B1238" s="5"/>
      <c r="C1238" s="10" t="str">
        <f>IF(B1238="","←停留所idを選択",VLOOKUP(B1238,'06停留所'!$B$2:$C$10500,2,0))</f>
        <v>←停留所idを選択</v>
      </c>
      <c r="D1238" s="5"/>
      <c r="E1238" s="5"/>
      <c r="F1238" s="6"/>
    </row>
    <row r="1239" spans="1:6" x14ac:dyDescent="0.2">
      <c r="A1239" s="2">
        <v>1238</v>
      </c>
      <c r="B1239" s="5"/>
      <c r="C1239" s="10" t="str">
        <f>IF(B1239="","←停留所idを選択",VLOOKUP(B1239,'06停留所'!$B$2:$C$10500,2,0))</f>
        <v>←停留所idを選択</v>
      </c>
      <c r="D1239" s="5"/>
      <c r="E1239" s="5"/>
      <c r="F1239" s="6"/>
    </row>
    <row r="1240" spans="1:6" x14ac:dyDescent="0.2">
      <c r="A1240" s="2">
        <v>1239</v>
      </c>
      <c r="B1240" s="5"/>
      <c r="C1240" s="10" t="str">
        <f>IF(B1240="","←停留所idを選択",VLOOKUP(B1240,'06停留所'!$B$2:$C$10500,2,0))</f>
        <v>←停留所idを選択</v>
      </c>
      <c r="D1240" s="5"/>
      <c r="E1240" s="5"/>
      <c r="F1240" s="6"/>
    </row>
    <row r="1241" spans="1:6" x14ac:dyDescent="0.2">
      <c r="A1241" s="2">
        <v>1240</v>
      </c>
      <c r="B1241" s="5"/>
      <c r="C1241" s="10" t="str">
        <f>IF(B1241="","←停留所idを選択",VLOOKUP(B1241,'06停留所'!$B$2:$C$10500,2,0))</f>
        <v>←停留所idを選択</v>
      </c>
      <c r="D1241" s="5"/>
      <c r="E1241" s="5"/>
      <c r="F1241" s="6"/>
    </row>
    <row r="1242" spans="1:6" x14ac:dyDescent="0.2">
      <c r="A1242" s="2">
        <v>1241</v>
      </c>
      <c r="B1242" s="5"/>
      <c r="C1242" s="10" t="str">
        <f>IF(B1242="","←停留所idを選択",VLOOKUP(B1242,'06停留所'!$B$2:$C$10500,2,0))</f>
        <v>←停留所idを選択</v>
      </c>
      <c r="D1242" s="5"/>
      <c r="E1242" s="5"/>
      <c r="F1242" s="6"/>
    </row>
    <row r="1243" spans="1:6" x14ac:dyDescent="0.2">
      <c r="A1243" s="2">
        <v>1242</v>
      </c>
      <c r="B1243" s="5"/>
      <c r="C1243" s="10" t="str">
        <f>IF(B1243="","←停留所idを選択",VLOOKUP(B1243,'06停留所'!$B$2:$C$10500,2,0))</f>
        <v>←停留所idを選択</v>
      </c>
      <c r="D1243" s="5"/>
      <c r="E1243" s="5"/>
      <c r="F1243" s="6"/>
    </row>
    <row r="1244" spans="1:6" x14ac:dyDescent="0.2">
      <c r="A1244" s="2">
        <v>1243</v>
      </c>
      <c r="B1244" s="5"/>
      <c r="C1244" s="10" t="str">
        <f>IF(B1244="","←停留所idを選択",VLOOKUP(B1244,'06停留所'!$B$2:$C$10500,2,0))</f>
        <v>←停留所idを選択</v>
      </c>
      <c r="D1244" s="5"/>
      <c r="E1244" s="5"/>
      <c r="F1244" s="6"/>
    </row>
    <row r="1245" spans="1:6" x14ac:dyDescent="0.2">
      <c r="A1245" s="2">
        <v>1244</v>
      </c>
      <c r="B1245" s="5"/>
      <c r="C1245" s="10" t="str">
        <f>IF(B1245="","←停留所idを選択",VLOOKUP(B1245,'06停留所'!$B$2:$C$10500,2,0))</f>
        <v>←停留所idを選択</v>
      </c>
      <c r="D1245" s="5"/>
      <c r="E1245" s="5"/>
      <c r="F1245" s="6"/>
    </row>
    <row r="1246" spans="1:6" x14ac:dyDescent="0.2">
      <c r="A1246" s="2">
        <v>1245</v>
      </c>
      <c r="B1246" s="5"/>
      <c r="C1246" s="10" t="str">
        <f>IF(B1246="","←停留所idを選択",VLOOKUP(B1246,'06停留所'!$B$2:$C$10500,2,0))</f>
        <v>←停留所idを選択</v>
      </c>
      <c r="D1246" s="5"/>
      <c r="E1246" s="5"/>
      <c r="F1246" s="6"/>
    </row>
    <row r="1247" spans="1:6" x14ac:dyDescent="0.2">
      <c r="A1247" s="2">
        <v>1246</v>
      </c>
      <c r="B1247" s="5"/>
      <c r="C1247" s="10" t="str">
        <f>IF(B1247="","←停留所idを選択",VLOOKUP(B1247,'06停留所'!$B$2:$C$10500,2,0))</f>
        <v>←停留所idを選択</v>
      </c>
      <c r="D1247" s="5"/>
      <c r="E1247" s="5"/>
      <c r="F1247" s="6"/>
    </row>
    <row r="1248" spans="1:6" x14ac:dyDescent="0.2">
      <c r="A1248" s="2">
        <v>1247</v>
      </c>
      <c r="B1248" s="5"/>
      <c r="C1248" s="10" t="str">
        <f>IF(B1248="","←停留所idを選択",VLOOKUP(B1248,'06停留所'!$B$2:$C$10500,2,0))</f>
        <v>←停留所idを選択</v>
      </c>
      <c r="D1248" s="5"/>
      <c r="E1248" s="5"/>
      <c r="F1248" s="6"/>
    </row>
    <row r="1249" spans="1:6" x14ac:dyDescent="0.2">
      <c r="A1249" s="2">
        <v>1248</v>
      </c>
      <c r="B1249" s="5"/>
      <c r="C1249" s="10" t="str">
        <f>IF(B1249="","←停留所idを選択",VLOOKUP(B1249,'06停留所'!$B$2:$C$10500,2,0))</f>
        <v>←停留所idを選択</v>
      </c>
      <c r="D1249" s="5"/>
      <c r="E1249" s="5"/>
      <c r="F1249" s="6"/>
    </row>
    <row r="1250" spans="1:6" x14ac:dyDescent="0.2">
      <c r="A1250" s="2">
        <v>1249</v>
      </c>
      <c r="B1250" s="5"/>
      <c r="C1250" s="10" t="str">
        <f>IF(B1250="","←停留所idを選択",VLOOKUP(B1250,'06停留所'!$B$2:$C$10500,2,0))</f>
        <v>←停留所idを選択</v>
      </c>
      <c r="D1250" s="5"/>
      <c r="E1250" s="5"/>
      <c r="F1250" s="6"/>
    </row>
    <row r="1251" spans="1:6" x14ac:dyDescent="0.2">
      <c r="A1251" s="2">
        <v>1250</v>
      </c>
      <c r="B1251" s="5"/>
      <c r="C1251" s="10" t="str">
        <f>IF(B1251="","←停留所idを選択",VLOOKUP(B1251,'06停留所'!$B$2:$C$10500,2,0))</f>
        <v>←停留所idを選択</v>
      </c>
      <c r="D1251" s="5"/>
      <c r="E1251" s="5"/>
      <c r="F1251" s="6"/>
    </row>
    <row r="1252" spans="1:6" x14ac:dyDescent="0.2">
      <c r="A1252" s="2">
        <v>1251</v>
      </c>
      <c r="B1252" s="5"/>
      <c r="C1252" s="10" t="str">
        <f>IF(B1252="","←停留所idを選択",VLOOKUP(B1252,'06停留所'!$B$2:$C$10500,2,0))</f>
        <v>←停留所idを選択</v>
      </c>
      <c r="D1252" s="5"/>
      <c r="E1252" s="5"/>
      <c r="F1252" s="6"/>
    </row>
    <row r="1253" spans="1:6" x14ac:dyDescent="0.2">
      <c r="A1253" s="2">
        <v>1252</v>
      </c>
      <c r="B1253" s="5"/>
      <c r="C1253" s="10" t="str">
        <f>IF(B1253="","←停留所idを選択",VLOOKUP(B1253,'06停留所'!$B$2:$C$10500,2,0))</f>
        <v>←停留所idを選択</v>
      </c>
      <c r="D1253" s="5"/>
      <c r="E1253" s="5"/>
      <c r="F1253" s="6"/>
    </row>
    <row r="1254" spans="1:6" x14ac:dyDescent="0.2">
      <c r="A1254" s="2">
        <v>1253</v>
      </c>
      <c r="B1254" s="5"/>
      <c r="C1254" s="10" t="str">
        <f>IF(B1254="","←停留所idを選択",VLOOKUP(B1254,'06停留所'!$B$2:$C$10500,2,0))</f>
        <v>←停留所idを選択</v>
      </c>
      <c r="D1254" s="5"/>
      <c r="E1254" s="5"/>
      <c r="F1254" s="6"/>
    </row>
    <row r="1255" spans="1:6" x14ac:dyDescent="0.2">
      <c r="A1255" s="2">
        <v>1254</v>
      </c>
      <c r="B1255" s="5"/>
      <c r="C1255" s="10" t="str">
        <f>IF(B1255="","←停留所idを選択",VLOOKUP(B1255,'06停留所'!$B$2:$C$10500,2,0))</f>
        <v>←停留所idを選択</v>
      </c>
      <c r="D1255" s="5"/>
      <c r="E1255" s="5"/>
      <c r="F1255" s="6"/>
    </row>
    <row r="1256" spans="1:6" x14ac:dyDescent="0.2">
      <c r="A1256" s="2">
        <v>1255</v>
      </c>
      <c r="B1256" s="5"/>
      <c r="C1256" s="10" t="str">
        <f>IF(B1256="","←停留所idを選択",VLOOKUP(B1256,'06停留所'!$B$2:$C$10500,2,0))</f>
        <v>←停留所idを選択</v>
      </c>
      <c r="D1256" s="5"/>
      <c r="E1256" s="5"/>
      <c r="F1256" s="6"/>
    </row>
    <row r="1257" spans="1:6" x14ac:dyDescent="0.2">
      <c r="A1257" s="2">
        <v>1256</v>
      </c>
      <c r="B1257" s="5"/>
      <c r="C1257" s="10" t="str">
        <f>IF(B1257="","←停留所idを選択",VLOOKUP(B1257,'06停留所'!$B$2:$C$10500,2,0))</f>
        <v>←停留所idを選択</v>
      </c>
      <c r="D1257" s="5"/>
      <c r="E1257" s="5"/>
      <c r="F1257" s="6"/>
    </row>
    <row r="1258" spans="1:6" x14ac:dyDescent="0.2">
      <c r="A1258" s="2">
        <v>1257</v>
      </c>
      <c r="B1258" s="5"/>
      <c r="C1258" s="10" t="str">
        <f>IF(B1258="","←停留所idを選択",VLOOKUP(B1258,'06停留所'!$B$2:$C$10500,2,0))</f>
        <v>←停留所idを選択</v>
      </c>
      <c r="D1258" s="5"/>
      <c r="E1258" s="5"/>
      <c r="F1258" s="6"/>
    </row>
    <row r="1259" spans="1:6" x14ac:dyDescent="0.2">
      <c r="A1259" s="2">
        <v>1258</v>
      </c>
      <c r="B1259" s="5"/>
      <c r="C1259" s="10" t="str">
        <f>IF(B1259="","←停留所idを選択",VLOOKUP(B1259,'06停留所'!$B$2:$C$10500,2,0))</f>
        <v>←停留所idを選択</v>
      </c>
      <c r="D1259" s="5"/>
      <c r="E1259" s="5"/>
      <c r="F1259" s="6"/>
    </row>
    <row r="1260" spans="1:6" x14ac:dyDescent="0.2">
      <c r="A1260" s="2">
        <v>1259</v>
      </c>
      <c r="B1260" s="5"/>
      <c r="C1260" s="10" t="str">
        <f>IF(B1260="","←停留所idを選択",VLOOKUP(B1260,'06停留所'!$B$2:$C$10500,2,0))</f>
        <v>←停留所idを選択</v>
      </c>
      <c r="D1260" s="5"/>
      <c r="E1260" s="5"/>
      <c r="F1260" s="6"/>
    </row>
    <row r="1261" spans="1:6" x14ac:dyDescent="0.2">
      <c r="A1261" s="2">
        <v>1260</v>
      </c>
      <c r="B1261" s="5"/>
      <c r="C1261" s="10" t="str">
        <f>IF(B1261="","←停留所idを選択",VLOOKUP(B1261,'06停留所'!$B$2:$C$10500,2,0))</f>
        <v>←停留所idを選択</v>
      </c>
      <c r="D1261" s="5"/>
      <c r="E1261" s="5"/>
      <c r="F1261" s="6"/>
    </row>
    <row r="1262" spans="1:6" x14ac:dyDescent="0.2">
      <c r="A1262" s="2">
        <v>1261</v>
      </c>
      <c r="B1262" s="5"/>
      <c r="C1262" s="10" t="str">
        <f>IF(B1262="","←停留所idを選択",VLOOKUP(B1262,'06停留所'!$B$2:$C$10500,2,0))</f>
        <v>←停留所idを選択</v>
      </c>
      <c r="D1262" s="5"/>
      <c r="E1262" s="5"/>
      <c r="F1262" s="6"/>
    </row>
    <row r="1263" spans="1:6" x14ac:dyDescent="0.2">
      <c r="A1263" s="2">
        <v>1262</v>
      </c>
      <c r="B1263" s="5"/>
      <c r="C1263" s="10" t="str">
        <f>IF(B1263="","←停留所idを選択",VLOOKUP(B1263,'06停留所'!$B$2:$C$10500,2,0))</f>
        <v>←停留所idを選択</v>
      </c>
      <c r="D1263" s="5"/>
      <c r="E1263" s="5"/>
      <c r="F1263" s="6"/>
    </row>
    <row r="1264" spans="1:6" x14ac:dyDescent="0.2">
      <c r="A1264" s="2">
        <v>1263</v>
      </c>
      <c r="B1264" s="5"/>
      <c r="C1264" s="10" t="str">
        <f>IF(B1264="","←停留所idを選択",VLOOKUP(B1264,'06停留所'!$B$2:$C$10500,2,0))</f>
        <v>←停留所idを選択</v>
      </c>
      <c r="D1264" s="5"/>
      <c r="E1264" s="5"/>
      <c r="F1264" s="6"/>
    </row>
    <row r="1265" spans="1:6" x14ac:dyDescent="0.2">
      <c r="A1265" s="2">
        <v>1264</v>
      </c>
      <c r="B1265" s="5"/>
      <c r="C1265" s="10" t="str">
        <f>IF(B1265="","←停留所idを選択",VLOOKUP(B1265,'06停留所'!$B$2:$C$10500,2,0))</f>
        <v>←停留所idを選択</v>
      </c>
      <c r="D1265" s="5"/>
      <c r="E1265" s="5"/>
      <c r="F1265" s="6"/>
    </row>
    <row r="1266" spans="1:6" x14ac:dyDescent="0.2">
      <c r="A1266" s="2">
        <v>1265</v>
      </c>
      <c r="B1266" s="5"/>
      <c r="C1266" s="10" t="str">
        <f>IF(B1266="","←停留所idを選択",VLOOKUP(B1266,'06停留所'!$B$2:$C$10500,2,0))</f>
        <v>←停留所idを選択</v>
      </c>
      <c r="D1266" s="5"/>
      <c r="E1266" s="5"/>
      <c r="F1266" s="6"/>
    </row>
    <row r="1267" spans="1:6" x14ac:dyDescent="0.2">
      <c r="A1267" s="2">
        <v>1266</v>
      </c>
      <c r="B1267" s="5"/>
      <c r="C1267" s="10" t="str">
        <f>IF(B1267="","←停留所idを選択",VLOOKUP(B1267,'06停留所'!$B$2:$C$10500,2,0))</f>
        <v>←停留所idを選択</v>
      </c>
      <c r="D1267" s="5"/>
      <c r="E1267" s="5"/>
      <c r="F1267" s="6"/>
    </row>
    <row r="1268" spans="1:6" x14ac:dyDescent="0.2">
      <c r="A1268" s="2">
        <v>1267</v>
      </c>
      <c r="B1268" s="5"/>
      <c r="C1268" s="10" t="str">
        <f>IF(B1268="","←停留所idを選択",VLOOKUP(B1268,'06停留所'!$B$2:$C$10500,2,0))</f>
        <v>←停留所idを選択</v>
      </c>
      <c r="D1268" s="5"/>
      <c r="E1268" s="5"/>
      <c r="F1268" s="6"/>
    </row>
    <row r="1269" spans="1:6" x14ac:dyDescent="0.2">
      <c r="A1269" s="2">
        <v>1268</v>
      </c>
      <c r="B1269" s="5"/>
      <c r="C1269" s="10" t="str">
        <f>IF(B1269="","←停留所idを選択",VLOOKUP(B1269,'06停留所'!$B$2:$C$10500,2,0))</f>
        <v>←停留所idを選択</v>
      </c>
      <c r="D1269" s="5"/>
      <c r="E1269" s="5"/>
      <c r="F1269" s="6"/>
    </row>
    <row r="1270" spans="1:6" x14ac:dyDescent="0.2">
      <c r="A1270" s="2">
        <v>1269</v>
      </c>
      <c r="B1270" s="5"/>
      <c r="C1270" s="10" t="str">
        <f>IF(B1270="","←停留所idを選択",VLOOKUP(B1270,'06停留所'!$B$2:$C$10500,2,0))</f>
        <v>←停留所idを選択</v>
      </c>
      <c r="D1270" s="5"/>
      <c r="E1270" s="5"/>
      <c r="F1270" s="6"/>
    </row>
    <row r="1271" spans="1:6" x14ac:dyDescent="0.2">
      <c r="A1271" s="2">
        <v>1270</v>
      </c>
      <c r="B1271" s="5"/>
      <c r="C1271" s="10" t="str">
        <f>IF(B1271="","←停留所idを選択",VLOOKUP(B1271,'06停留所'!$B$2:$C$10500,2,0))</f>
        <v>←停留所idを選択</v>
      </c>
      <c r="D1271" s="5"/>
      <c r="E1271" s="5"/>
      <c r="F1271" s="6"/>
    </row>
    <row r="1272" spans="1:6" x14ac:dyDescent="0.2">
      <c r="A1272" s="2">
        <v>1271</v>
      </c>
      <c r="B1272" s="5"/>
      <c r="C1272" s="10" t="str">
        <f>IF(B1272="","←停留所idを選択",VLOOKUP(B1272,'06停留所'!$B$2:$C$10500,2,0))</f>
        <v>←停留所idを選択</v>
      </c>
      <c r="D1272" s="5"/>
      <c r="E1272" s="5"/>
      <c r="F1272" s="6"/>
    </row>
    <row r="1273" spans="1:6" x14ac:dyDescent="0.2">
      <c r="A1273" s="2">
        <v>1272</v>
      </c>
      <c r="B1273" s="5"/>
      <c r="C1273" s="10" t="str">
        <f>IF(B1273="","←停留所idを選択",VLOOKUP(B1273,'06停留所'!$B$2:$C$10500,2,0))</f>
        <v>←停留所idを選択</v>
      </c>
      <c r="D1273" s="5"/>
      <c r="E1273" s="5"/>
      <c r="F1273" s="6"/>
    </row>
    <row r="1274" spans="1:6" x14ac:dyDescent="0.2">
      <c r="A1274" s="2">
        <v>1273</v>
      </c>
      <c r="B1274" s="5"/>
      <c r="C1274" s="10" t="str">
        <f>IF(B1274="","←停留所idを選択",VLOOKUP(B1274,'06停留所'!$B$2:$C$10500,2,0))</f>
        <v>←停留所idを選択</v>
      </c>
      <c r="D1274" s="5"/>
      <c r="E1274" s="5"/>
      <c r="F1274" s="6"/>
    </row>
    <row r="1275" spans="1:6" x14ac:dyDescent="0.2">
      <c r="A1275" s="2">
        <v>1274</v>
      </c>
      <c r="B1275" s="5"/>
      <c r="C1275" s="10" t="str">
        <f>IF(B1275="","←停留所idを選択",VLOOKUP(B1275,'06停留所'!$B$2:$C$10500,2,0))</f>
        <v>←停留所idを選択</v>
      </c>
      <c r="D1275" s="5"/>
      <c r="E1275" s="5"/>
      <c r="F1275" s="6"/>
    </row>
    <row r="1276" spans="1:6" x14ac:dyDescent="0.2">
      <c r="A1276" s="2">
        <v>1275</v>
      </c>
      <c r="B1276" s="5"/>
      <c r="C1276" s="10" t="str">
        <f>IF(B1276="","←停留所idを選択",VLOOKUP(B1276,'06停留所'!$B$2:$C$10500,2,0))</f>
        <v>←停留所idを選択</v>
      </c>
      <c r="D1276" s="5"/>
      <c r="E1276" s="5"/>
      <c r="F1276" s="6"/>
    </row>
    <row r="1277" spans="1:6" x14ac:dyDescent="0.2">
      <c r="A1277" s="2">
        <v>1276</v>
      </c>
      <c r="B1277" s="5"/>
      <c r="C1277" s="10" t="str">
        <f>IF(B1277="","←停留所idを選択",VLOOKUP(B1277,'06停留所'!$B$2:$C$10500,2,0))</f>
        <v>←停留所idを選択</v>
      </c>
      <c r="D1277" s="5"/>
      <c r="E1277" s="5"/>
      <c r="F1277" s="6"/>
    </row>
    <row r="1278" spans="1:6" x14ac:dyDescent="0.2">
      <c r="A1278" s="2">
        <v>1277</v>
      </c>
      <c r="B1278" s="5"/>
      <c r="C1278" s="10" t="str">
        <f>IF(B1278="","←停留所idを選択",VLOOKUP(B1278,'06停留所'!$B$2:$C$10500,2,0))</f>
        <v>←停留所idを選択</v>
      </c>
      <c r="D1278" s="5"/>
      <c r="E1278" s="5"/>
      <c r="F1278" s="6"/>
    </row>
    <row r="1279" spans="1:6" x14ac:dyDescent="0.2">
      <c r="A1279" s="2">
        <v>1278</v>
      </c>
      <c r="B1279" s="5"/>
      <c r="C1279" s="10" t="str">
        <f>IF(B1279="","←停留所idを選択",VLOOKUP(B1279,'06停留所'!$B$2:$C$10500,2,0))</f>
        <v>←停留所idを選択</v>
      </c>
      <c r="D1279" s="5"/>
      <c r="E1279" s="5"/>
      <c r="F1279" s="6"/>
    </row>
    <row r="1280" spans="1:6" x14ac:dyDescent="0.2">
      <c r="A1280" s="2">
        <v>1279</v>
      </c>
      <c r="B1280" s="5"/>
      <c r="C1280" s="10" t="str">
        <f>IF(B1280="","←停留所idを選択",VLOOKUP(B1280,'06停留所'!$B$2:$C$10500,2,0))</f>
        <v>←停留所idを選択</v>
      </c>
      <c r="D1280" s="5"/>
      <c r="E1280" s="5"/>
      <c r="F1280" s="6"/>
    </row>
    <row r="1281" spans="1:6" x14ac:dyDescent="0.2">
      <c r="A1281" s="2">
        <v>1280</v>
      </c>
      <c r="B1281" s="5"/>
      <c r="C1281" s="10" t="str">
        <f>IF(B1281="","←停留所idを選択",VLOOKUP(B1281,'06停留所'!$B$2:$C$10500,2,0))</f>
        <v>←停留所idを選択</v>
      </c>
      <c r="D1281" s="5"/>
      <c r="E1281" s="5"/>
      <c r="F1281" s="6"/>
    </row>
    <row r="1282" spans="1:6" x14ac:dyDescent="0.2">
      <c r="A1282" s="2">
        <v>1281</v>
      </c>
      <c r="B1282" s="5"/>
      <c r="C1282" s="10" t="str">
        <f>IF(B1282="","←停留所idを選択",VLOOKUP(B1282,'06停留所'!$B$2:$C$10500,2,0))</f>
        <v>←停留所idを選択</v>
      </c>
      <c r="D1282" s="5"/>
      <c r="E1282" s="5"/>
      <c r="F1282" s="6"/>
    </row>
    <row r="1283" spans="1:6" x14ac:dyDescent="0.2">
      <c r="A1283" s="2">
        <v>1282</v>
      </c>
      <c r="B1283" s="5"/>
      <c r="C1283" s="10" t="str">
        <f>IF(B1283="","←停留所idを選択",VLOOKUP(B1283,'06停留所'!$B$2:$C$10500,2,0))</f>
        <v>←停留所idを選択</v>
      </c>
      <c r="D1283" s="5"/>
      <c r="E1283" s="5"/>
      <c r="F1283" s="6"/>
    </row>
    <row r="1284" spans="1:6" x14ac:dyDescent="0.2">
      <c r="A1284" s="2">
        <v>1283</v>
      </c>
      <c r="B1284" s="5"/>
      <c r="C1284" s="10" t="str">
        <f>IF(B1284="","←停留所idを選択",VLOOKUP(B1284,'06停留所'!$B$2:$C$10500,2,0))</f>
        <v>←停留所idを選択</v>
      </c>
      <c r="D1284" s="5"/>
      <c r="E1284" s="5"/>
      <c r="F1284" s="6"/>
    </row>
    <row r="1285" spans="1:6" x14ac:dyDescent="0.2">
      <c r="A1285" s="2">
        <v>1284</v>
      </c>
      <c r="B1285" s="5"/>
      <c r="C1285" s="10" t="str">
        <f>IF(B1285="","←停留所idを選択",VLOOKUP(B1285,'06停留所'!$B$2:$C$10500,2,0))</f>
        <v>←停留所idを選択</v>
      </c>
      <c r="D1285" s="5"/>
      <c r="E1285" s="5"/>
      <c r="F1285" s="6"/>
    </row>
    <row r="1286" spans="1:6" x14ac:dyDescent="0.2">
      <c r="A1286" s="2">
        <v>1285</v>
      </c>
      <c r="B1286" s="5"/>
      <c r="C1286" s="10" t="str">
        <f>IF(B1286="","←停留所idを選択",VLOOKUP(B1286,'06停留所'!$B$2:$C$10500,2,0))</f>
        <v>←停留所idを選択</v>
      </c>
      <c r="D1286" s="5"/>
      <c r="E1286" s="5"/>
      <c r="F1286" s="6"/>
    </row>
    <row r="1287" spans="1:6" x14ac:dyDescent="0.2">
      <c r="A1287" s="2">
        <v>1286</v>
      </c>
      <c r="B1287" s="5"/>
      <c r="C1287" s="10" t="str">
        <f>IF(B1287="","←停留所idを選択",VLOOKUP(B1287,'06停留所'!$B$2:$C$10500,2,0))</f>
        <v>←停留所idを選択</v>
      </c>
      <c r="D1287" s="5"/>
      <c r="E1287" s="5"/>
      <c r="F1287" s="6"/>
    </row>
    <row r="1288" spans="1:6" x14ac:dyDescent="0.2">
      <c r="A1288" s="2">
        <v>1287</v>
      </c>
      <c r="B1288" s="5"/>
      <c r="C1288" s="10" t="str">
        <f>IF(B1288="","←停留所idを選択",VLOOKUP(B1288,'06停留所'!$B$2:$C$10500,2,0))</f>
        <v>←停留所idを選択</v>
      </c>
      <c r="D1288" s="5"/>
      <c r="E1288" s="5"/>
      <c r="F1288" s="6"/>
    </row>
    <row r="1289" spans="1:6" x14ac:dyDescent="0.2">
      <c r="A1289" s="2">
        <v>1288</v>
      </c>
      <c r="B1289" s="5"/>
      <c r="C1289" s="10" t="str">
        <f>IF(B1289="","←停留所idを選択",VLOOKUP(B1289,'06停留所'!$B$2:$C$10500,2,0))</f>
        <v>←停留所idを選択</v>
      </c>
      <c r="D1289" s="5"/>
      <c r="E1289" s="5"/>
      <c r="F1289" s="6"/>
    </row>
    <row r="1290" spans="1:6" x14ac:dyDescent="0.2">
      <c r="A1290" s="2">
        <v>1289</v>
      </c>
      <c r="B1290" s="5"/>
      <c r="C1290" s="10" t="str">
        <f>IF(B1290="","←停留所idを選択",VLOOKUP(B1290,'06停留所'!$B$2:$C$10500,2,0))</f>
        <v>←停留所idを選択</v>
      </c>
      <c r="D1290" s="5"/>
      <c r="E1290" s="5"/>
      <c r="F1290" s="6"/>
    </row>
    <row r="1291" spans="1:6" x14ac:dyDescent="0.2">
      <c r="A1291" s="2">
        <v>1290</v>
      </c>
      <c r="B1291" s="5"/>
      <c r="C1291" s="10" t="str">
        <f>IF(B1291="","←停留所idを選択",VLOOKUP(B1291,'06停留所'!$B$2:$C$10500,2,0))</f>
        <v>←停留所idを選択</v>
      </c>
      <c r="D1291" s="5"/>
      <c r="E1291" s="5"/>
      <c r="F1291" s="6"/>
    </row>
    <row r="1292" spans="1:6" x14ac:dyDescent="0.2">
      <c r="A1292" s="2">
        <v>1291</v>
      </c>
      <c r="B1292" s="5"/>
      <c r="C1292" s="10" t="str">
        <f>IF(B1292="","←停留所idを選択",VLOOKUP(B1292,'06停留所'!$B$2:$C$10500,2,0))</f>
        <v>←停留所idを選択</v>
      </c>
      <c r="D1292" s="5"/>
      <c r="E1292" s="5"/>
      <c r="F1292" s="6"/>
    </row>
    <row r="1293" spans="1:6" x14ac:dyDescent="0.2">
      <c r="A1293" s="2">
        <v>1292</v>
      </c>
      <c r="B1293" s="5"/>
      <c r="C1293" s="10" t="str">
        <f>IF(B1293="","←停留所idを選択",VLOOKUP(B1293,'06停留所'!$B$2:$C$10500,2,0))</f>
        <v>←停留所idを選択</v>
      </c>
      <c r="D1293" s="5"/>
      <c r="E1293" s="5"/>
      <c r="F1293" s="6"/>
    </row>
    <row r="1294" spans="1:6" x14ac:dyDescent="0.2">
      <c r="A1294" s="2">
        <v>1293</v>
      </c>
      <c r="B1294" s="5"/>
      <c r="C1294" s="10" t="str">
        <f>IF(B1294="","←停留所idを選択",VLOOKUP(B1294,'06停留所'!$B$2:$C$10500,2,0))</f>
        <v>←停留所idを選択</v>
      </c>
      <c r="D1294" s="5"/>
      <c r="E1294" s="5"/>
      <c r="F1294" s="6"/>
    </row>
    <row r="1295" spans="1:6" x14ac:dyDescent="0.2">
      <c r="A1295" s="2">
        <v>1294</v>
      </c>
      <c r="B1295" s="5"/>
      <c r="C1295" s="10" t="str">
        <f>IF(B1295="","←停留所idを選択",VLOOKUP(B1295,'06停留所'!$B$2:$C$10500,2,0))</f>
        <v>←停留所idを選択</v>
      </c>
      <c r="D1295" s="5"/>
      <c r="E1295" s="5"/>
      <c r="F1295" s="6"/>
    </row>
    <row r="1296" spans="1:6" x14ac:dyDescent="0.2">
      <c r="A1296" s="2">
        <v>1295</v>
      </c>
      <c r="B1296" s="5"/>
      <c r="C1296" s="10" t="str">
        <f>IF(B1296="","←停留所idを選択",VLOOKUP(B1296,'06停留所'!$B$2:$C$10500,2,0))</f>
        <v>←停留所idを選択</v>
      </c>
      <c r="D1296" s="5"/>
      <c r="E1296" s="5"/>
      <c r="F1296" s="6"/>
    </row>
    <row r="1297" spans="1:6" x14ac:dyDescent="0.2">
      <c r="A1297" s="2">
        <v>1296</v>
      </c>
      <c r="B1297" s="5"/>
      <c r="C1297" s="10" t="str">
        <f>IF(B1297="","←停留所idを選択",VLOOKUP(B1297,'06停留所'!$B$2:$C$10500,2,0))</f>
        <v>←停留所idを選択</v>
      </c>
      <c r="D1297" s="5"/>
      <c r="E1297" s="5"/>
      <c r="F1297" s="6"/>
    </row>
    <row r="1298" spans="1:6" x14ac:dyDescent="0.2">
      <c r="A1298" s="2">
        <v>1297</v>
      </c>
      <c r="B1298" s="5"/>
      <c r="C1298" s="10" t="str">
        <f>IF(B1298="","←停留所idを選択",VLOOKUP(B1298,'06停留所'!$B$2:$C$10500,2,0))</f>
        <v>←停留所idを選択</v>
      </c>
      <c r="D1298" s="5"/>
      <c r="E1298" s="5"/>
      <c r="F1298" s="6"/>
    </row>
    <row r="1299" spans="1:6" x14ac:dyDescent="0.2">
      <c r="A1299" s="2">
        <v>1298</v>
      </c>
      <c r="B1299" s="5"/>
      <c r="C1299" s="10" t="str">
        <f>IF(B1299="","←停留所idを選択",VLOOKUP(B1299,'06停留所'!$B$2:$C$10500,2,0))</f>
        <v>←停留所idを選択</v>
      </c>
      <c r="D1299" s="5"/>
      <c r="E1299" s="5"/>
      <c r="F1299" s="6"/>
    </row>
    <row r="1300" spans="1:6" x14ac:dyDescent="0.2">
      <c r="A1300" s="2">
        <v>1299</v>
      </c>
      <c r="B1300" s="5"/>
      <c r="C1300" s="10" t="str">
        <f>IF(B1300="","←停留所idを選択",VLOOKUP(B1300,'06停留所'!$B$2:$C$10500,2,0))</f>
        <v>←停留所idを選択</v>
      </c>
      <c r="D1300" s="5"/>
      <c r="E1300" s="5"/>
      <c r="F1300" s="6"/>
    </row>
    <row r="1301" spans="1:6" x14ac:dyDescent="0.2">
      <c r="A1301" s="2">
        <v>1300</v>
      </c>
      <c r="B1301" s="5"/>
      <c r="C1301" s="10" t="str">
        <f>IF(B1301="","←停留所idを選択",VLOOKUP(B1301,'06停留所'!$B$2:$C$10500,2,0))</f>
        <v>←停留所idを選択</v>
      </c>
      <c r="D1301" s="5"/>
      <c r="E1301" s="5"/>
      <c r="F1301" s="6"/>
    </row>
    <row r="1302" spans="1:6" x14ac:dyDescent="0.2">
      <c r="A1302" s="2">
        <v>1301</v>
      </c>
      <c r="B1302" s="5"/>
      <c r="C1302" s="10" t="str">
        <f>IF(B1302="","←停留所idを選択",VLOOKUP(B1302,'06停留所'!$B$2:$C$10500,2,0))</f>
        <v>←停留所idを選択</v>
      </c>
      <c r="D1302" s="5"/>
      <c r="E1302" s="5"/>
      <c r="F1302" s="6"/>
    </row>
    <row r="1303" spans="1:6" x14ac:dyDescent="0.2">
      <c r="A1303" s="2">
        <v>1302</v>
      </c>
      <c r="B1303" s="5"/>
      <c r="C1303" s="10" t="str">
        <f>IF(B1303="","←停留所idを選択",VLOOKUP(B1303,'06停留所'!$B$2:$C$10500,2,0))</f>
        <v>←停留所idを選択</v>
      </c>
      <c r="D1303" s="5"/>
      <c r="E1303" s="5"/>
      <c r="F1303" s="6"/>
    </row>
    <row r="1304" spans="1:6" x14ac:dyDescent="0.2">
      <c r="A1304" s="2">
        <v>1303</v>
      </c>
      <c r="B1304" s="5"/>
      <c r="C1304" s="10" t="str">
        <f>IF(B1304="","←停留所idを選択",VLOOKUP(B1304,'06停留所'!$B$2:$C$10500,2,0))</f>
        <v>←停留所idを選択</v>
      </c>
      <c r="D1304" s="5"/>
      <c r="E1304" s="5"/>
      <c r="F1304" s="6"/>
    </row>
    <row r="1305" spans="1:6" x14ac:dyDescent="0.2">
      <c r="A1305" s="2">
        <v>1304</v>
      </c>
      <c r="B1305" s="5"/>
      <c r="C1305" s="10" t="str">
        <f>IF(B1305="","←停留所idを選択",VLOOKUP(B1305,'06停留所'!$B$2:$C$10500,2,0))</f>
        <v>←停留所idを選択</v>
      </c>
      <c r="D1305" s="5"/>
      <c r="E1305" s="5"/>
      <c r="F1305" s="6"/>
    </row>
    <row r="1306" spans="1:6" x14ac:dyDescent="0.2">
      <c r="A1306" s="2">
        <v>1305</v>
      </c>
      <c r="B1306" s="5"/>
      <c r="C1306" s="10" t="str">
        <f>IF(B1306="","←停留所idを選択",VLOOKUP(B1306,'06停留所'!$B$2:$C$10500,2,0))</f>
        <v>←停留所idを選択</v>
      </c>
      <c r="D1306" s="5"/>
      <c r="E1306" s="5"/>
      <c r="F1306" s="6"/>
    </row>
    <row r="1307" spans="1:6" x14ac:dyDescent="0.2">
      <c r="A1307" s="2">
        <v>1306</v>
      </c>
      <c r="B1307" s="5"/>
      <c r="C1307" s="10" t="str">
        <f>IF(B1307="","←停留所idを選択",VLOOKUP(B1307,'06停留所'!$B$2:$C$10500,2,0))</f>
        <v>←停留所idを選択</v>
      </c>
      <c r="D1307" s="5"/>
      <c r="E1307" s="5"/>
      <c r="F1307" s="6"/>
    </row>
    <row r="1308" spans="1:6" x14ac:dyDescent="0.2">
      <c r="A1308" s="2">
        <v>1307</v>
      </c>
      <c r="B1308" s="5"/>
      <c r="C1308" s="10" t="str">
        <f>IF(B1308="","←停留所idを選択",VLOOKUP(B1308,'06停留所'!$B$2:$C$10500,2,0))</f>
        <v>←停留所idを選択</v>
      </c>
      <c r="D1308" s="5"/>
      <c r="E1308" s="5"/>
      <c r="F1308" s="6"/>
    </row>
    <row r="1309" spans="1:6" x14ac:dyDescent="0.2">
      <c r="A1309" s="2">
        <v>1308</v>
      </c>
      <c r="B1309" s="5"/>
      <c r="C1309" s="10" t="str">
        <f>IF(B1309="","←停留所idを選択",VLOOKUP(B1309,'06停留所'!$B$2:$C$10500,2,0))</f>
        <v>←停留所idを選択</v>
      </c>
      <c r="D1309" s="5"/>
      <c r="E1309" s="5"/>
      <c r="F1309" s="6"/>
    </row>
    <row r="1310" spans="1:6" x14ac:dyDescent="0.2">
      <c r="A1310" s="2">
        <v>1309</v>
      </c>
      <c r="B1310" s="5"/>
      <c r="C1310" s="10" t="str">
        <f>IF(B1310="","←停留所idを選択",VLOOKUP(B1310,'06停留所'!$B$2:$C$10500,2,0))</f>
        <v>←停留所idを選択</v>
      </c>
      <c r="D1310" s="5"/>
      <c r="E1310" s="5"/>
      <c r="F1310" s="6"/>
    </row>
    <row r="1311" spans="1:6" x14ac:dyDescent="0.2">
      <c r="A1311" s="2">
        <v>1310</v>
      </c>
      <c r="B1311" s="5"/>
      <c r="C1311" s="10" t="str">
        <f>IF(B1311="","←停留所idを選択",VLOOKUP(B1311,'06停留所'!$B$2:$C$10500,2,0))</f>
        <v>←停留所idを選択</v>
      </c>
      <c r="D1311" s="5"/>
      <c r="E1311" s="5"/>
      <c r="F1311" s="6"/>
    </row>
    <row r="1312" spans="1:6" x14ac:dyDescent="0.2">
      <c r="A1312" s="2">
        <v>1311</v>
      </c>
      <c r="B1312" s="5"/>
      <c r="C1312" s="10" t="str">
        <f>IF(B1312="","←停留所idを選択",VLOOKUP(B1312,'06停留所'!$B$2:$C$10500,2,0))</f>
        <v>←停留所idを選択</v>
      </c>
      <c r="D1312" s="5"/>
      <c r="E1312" s="5"/>
      <c r="F1312" s="6"/>
    </row>
    <row r="1313" spans="1:6" x14ac:dyDescent="0.2">
      <c r="A1313" s="2">
        <v>1312</v>
      </c>
      <c r="B1313" s="5"/>
      <c r="C1313" s="10" t="str">
        <f>IF(B1313="","←停留所idを選択",VLOOKUP(B1313,'06停留所'!$B$2:$C$10500,2,0))</f>
        <v>←停留所idを選択</v>
      </c>
      <c r="D1313" s="5"/>
      <c r="E1313" s="5"/>
      <c r="F1313" s="6"/>
    </row>
    <row r="1314" spans="1:6" x14ac:dyDescent="0.2">
      <c r="A1314" s="2">
        <v>1313</v>
      </c>
      <c r="B1314" s="5"/>
      <c r="C1314" s="10" t="str">
        <f>IF(B1314="","←停留所idを選択",VLOOKUP(B1314,'06停留所'!$B$2:$C$10500,2,0))</f>
        <v>←停留所idを選択</v>
      </c>
      <c r="D1314" s="5"/>
      <c r="E1314" s="5"/>
      <c r="F1314" s="6"/>
    </row>
    <row r="1315" spans="1:6" x14ac:dyDescent="0.2">
      <c r="A1315" s="2">
        <v>1314</v>
      </c>
      <c r="B1315" s="5"/>
      <c r="C1315" s="10" t="str">
        <f>IF(B1315="","←停留所idを選択",VLOOKUP(B1315,'06停留所'!$B$2:$C$10500,2,0))</f>
        <v>←停留所idを選択</v>
      </c>
      <c r="D1315" s="5"/>
      <c r="E1315" s="5"/>
      <c r="F1315" s="6"/>
    </row>
    <row r="1316" spans="1:6" x14ac:dyDescent="0.2">
      <c r="A1316" s="2">
        <v>1315</v>
      </c>
      <c r="B1316" s="5"/>
      <c r="C1316" s="10" t="str">
        <f>IF(B1316="","←停留所idを選択",VLOOKUP(B1316,'06停留所'!$B$2:$C$10500,2,0))</f>
        <v>←停留所idを選択</v>
      </c>
      <c r="D1316" s="5"/>
      <c r="E1316" s="5"/>
      <c r="F1316" s="6"/>
    </row>
    <row r="1317" spans="1:6" x14ac:dyDescent="0.2">
      <c r="A1317" s="2">
        <v>1316</v>
      </c>
      <c r="B1317" s="5"/>
      <c r="C1317" s="10" t="str">
        <f>IF(B1317="","←停留所idを選択",VLOOKUP(B1317,'06停留所'!$B$2:$C$10500,2,0))</f>
        <v>←停留所idを選択</v>
      </c>
      <c r="D1317" s="5"/>
      <c r="E1317" s="5"/>
      <c r="F1317" s="6"/>
    </row>
    <row r="1318" spans="1:6" x14ac:dyDescent="0.2">
      <c r="A1318" s="2">
        <v>1317</v>
      </c>
      <c r="B1318" s="5"/>
      <c r="C1318" s="10" t="str">
        <f>IF(B1318="","←停留所idを選択",VLOOKUP(B1318,'06停留所'!$B$2:$C$10500,2,0))</f>
        <v>←停留所idを選択</v>
      </c>
      <c r="D1318" s="5"/>
      <c r="E1318" s="5"/>
      <c r="F1318" s="6"/>
    </row>
    <row r="1319" spans="1:6" x14ac:dyDescent="0.2">
      <c r="A1319" s="2">
        <v>1318</v>
      </c>
      <c r="B1319" s="5"/>
      <c r="C1319" s="10" t="str">
        <f>IF(B1319="","←停留所idを選択",VLOOKUP(B1319,'06停留所'!$B$2:$C$10500,2,0))</f>
        <v>←停留所idを選択</v>
      </c>
      <c r="D1319" s="5"/>
      <c r="E1319" s="5"/>
      <c r="F1319" s="6"/>
    </row>
    <row r="1320" spans="1:6" x14ac:dyDescent="0.2">
      <c r="A1320" s="2">
        <v>1319</v>
      </c>
      <c r="B1320" s="5"/>
      <c r="C1320" s="10" t="str">
        <f>IF(B1320="","←停留所idを選択",VLOOKUP(B1320,'06停留所'!$B$2:$C$10500,2,0))</f>
        <v>←停留所idを選択</v>
      </c>
      <c r="D1320" s="5"/>
      <c r="E1320" s="5"/>
      <c r="F1320" s="6"/>
    </row>
    <row r="1321" spans="1:6" x14ac:dyDescent="0.2">
      <c r="A1321" s="2">
        <v>1320</v>
      </c>
      <c r="B1321" s="5"/>
      <c r="C1321" s="10" t="str">
        <f>IF(B1321="","←停留所idを選択",VLOOKUP(B1321,'06停留所'!$B$2:$C$10500,2,0))</f>
        <v>←停留所idを選択</v>
      </c>
      <c r="D1321" s="5"/>
      <c r="E1321" s="5"/>
      <c r="F1321" s="6"/>
    </row>
    <row r="1322" spans="1:6" x14ac:dyDescent="0.2">
      <c r="A1322" s="2">
        <v>1321</v>
      </c>
      <c r="B1322" s="5"/>
      <c r="C1322" s="10" t="str">
        <f>IF(B1322="","←停留所idを選択",VLOOKUP(B1322,'06停留所'!$B$2:$C$10500,2,0))</f>
        <v>←停留所idを選択</v>
      </c>
      <c r="D1322" s="5"/>
      <c r="E1322" s="5"/>
      <c r="F1322" s="6"/>
    </row>
    <row r="1323" spans="1:6" x14ac:dyDescent="0.2">
      <c r="A1323" s="2">
        <v>1322</v>
      </c>
      <c r="B1323" s="5"/>
      <c r="C1323" s="10" t="str">
        <f>IF(B1323="","←停留所idを選択",VLOOKUP(B1323,'06停留所'!$B$2:$C$10500,2,0))</f>
        <v>←停留所idを選択</v>
      </c>
      <c r="D1323" s="5"/>
      <c r="E1323" s="5"/>
      <c r="F1323" s="6"/>
    </row>
    <row r="1324" spans="1:6" x14ac:dyDescent="0.2">
      <c r="A1324" s="2">
        <v>1323</v>
      </c>
      <c r="B1324" s="5"/>
      <c r="C1324" s="10" t="str">
        <f>IF(B1324="","←停留所idを選択",VLOOKUP(B1324,'06停留所'!$B$2:$C$10500,2,0))</f>
        <v>←停留所idを選択</v>
      </c>
      <c r="D1324" s="5"/>
      <c r="E1324" s="5"/>
      <c r="F1324" s="6"/>
    </row>
    <row r="1325" spans="1:6" x14ac:dyDescent="0.2">
      <c r="A1325" s="2">
        <v>1324</v>
      </c>
      <c r="B1325" s="5"/>
      <c r="C1325" s="10" t="str">
        <f>IF(B1325="","←停留所idを選択",VLOOKUP(B1325,'06停留所'!$B$2:$C$10500,2,0))</f>
        <v>←停留所idを選択</v>
      </c>
      <c r="D1325" s="5"/>
      <c r="E1325" s="5"/>
      <c r="F1325" s="6"/>
    </row>
    <row r="1326" spans="1:6" x14ac:dyDescent="0.2">
      <c r="A1326" s="2">
        <v>1325</v>
      </c>
      <c r="B1326" s="5"/>
      <c r="C1326" s="10" t="str">
        <f>IF(B1326="","←停留所idを選択",VLOOKUP(B1326,'06停留所'!$B$2:$C$10500,2,0))</f>
        <v>←停留所idを選択</v>
      </c>
      <c r="D1326" s="5"/>
      <c r="E1326" s="5"/>
      <c r="F1326" s="6"/>
    </row>
    <row r="1327" spans="1:6" x14ac:dyDescent="0.2">
      <c r="A1327" s="2">
        <v>1326</v>
      </c>
      <c r="B1327" s="5"/>
      <c r="C1327" s="10" t="str">
        <f>IF(B1327="","←停留所idを選択",VLOOKUP(B1327,'06停留所'!$B$2:$C$10500,2,0))</f>
        <v>←停留所idを選択</v>
      </c>
      <c r="D1327" s="5"/>
      <c r="E1327" s="5"/>
      <c r="F1327" s="6"/>
    </row>
    <row r="1328" spans="1:6" x14ac:dyDescent="0.2">
      <c r="A1328" s="2">
        <v>1327</v>
      </c>
      <c r="B1328" s="5"/>
      <c r="C1328" s="10" t="str">
        <f>IF(B1328="","←停留所idを選択",VLOOKUP(B1328,'06停留所'!$B$2:$C$10500,2,0))</f>
        <v>←停留所idを選択</v>
      </c>
      <c r="D1328" s="5"/>
      <c r="E1328" s="5"/>
      <c r="F1328" s="6"/>
    </row>
    <row r="1329" spans="1:6" x14ac:dyDescent="0.2">
      <c r="A1329" s="2">
        <v>1328</v>
      </c>
      <c r="B1329" s="5"/>
      <c r="C1329" s="10" t="str">
        <f>IF(B1329="","←停留所idを選択",VLOOKUP(B1329,'06停留所'!$B$2:$C$10500,2,0))</f>
        <v>←停留所idを選択</v>
      </c>
      <c r="D1329" s="5"/>
      <c r="E1329" s="5"/>
      <c r="F1329" s="6"/>
    </row>
    <row r="1330" spans="1:6" x14ac:dyDescent="0.2">
      <c r="A1330" s="2">
        <v>1329</v>
      </c>
      <c r="B1330" s="5"/>
      <c r="C1330" s="10" t="str">
        <f>IF(B1330="","←停留所idを選択",VLOOKUP(B1330,'06停留所'!$B$2:$C$10500,2,0))</f>
        <v>←停留所idを選択</v>
      </c>
      <c r="D1330" s="5"/>
      <c r="E1330" s="5"/>
      <c r="F1330" s="6"/>
    </row>
    <row r="1331" spans="1:6" x14ac:dyDescent="0.2">
      <c r="A1331" s="2">
        <v>1330</v>
      </c>
      <c r="B1331" s="5"/>
      <c r="C1331" s="10" t="str">
        <f>IF(B1331="","←停留所idを選択",VLOOKUP(B1331,'06停留所'!$B$2:$C$10500,2,0))</f>
        <v>←停留所idを選択</v>
      </c>
      <c r="D1331" s="5"/>
      <c r="E1331" s="5"/>
      <c r="F1331" s="6"/>
    </row>
    <row r="1332" spans="1:6" x14ac:dyDescent="0.2">
      <c r="A1332" s="2">
        <v>1331</v>
      </c>
      <c r="B1332" s="5"/>
      <c r="C1332" s="10" t="str">
        <f>IF(B1332="","←停留所idを選択",VLOOKUP(B1332,'06停留所'!$B$2:$C$10500,2,0))</f>
        <v>←停留所idを選択</v>
      </c>
      <c r="D1332" s="5"/>
      <c r="E1332" s="5"/>
      <c r="F1332" s="6"/>
    </row>
    <row r="1333" spans="1:6" x14ac:dyDescent="0.2">
      <c r="A1333" s="2">
        <v>1332</v>
      </c>
      <c r="B1333" s="5"/>
      <c r="C1333" s="10" t="str">
        <f>IF(B1333="","←停留所idを選択",VLOOKUP(B1333,'06停留所'!$B$2:$C$10500,2,0))</f>
        <v>←停留所idを選択</v>
      </c>
      <c r="D1333" s="5"/>
      <c r="E1333" s="5"/>
      <c r="F1333" s="6"/>
    </row>
    <row r="1334" spans="1:6" x14ac:dyDescent="0.2">
      <c r="A1334" s="2">
        <v>1333</v>
      </c>
      <c r="B1334" s="5"/>
      <c r="C1334" s="10" t="str">
        <f>IF(B1334="","←停留所idを選択",VLOOKUP(B1334,'06停留所'!$B$2:$C$10500,2,0))</f>
        <v>←停留所idを選択</v>
      </c>
      <c r="D1334" s="5"/>
      <c r="E1334" s="5"/>
      <c r="F1334" s="6"/>
    </row>
    <row r="1335" spans="1:6" x14ac:dyDescent="0.2">
      <c r="A1335" s="2">
        <v>1334</v>
      </c>
      <c r="B1335" s="5"/>
      <c r="C1335" s="10" t="str">
        <f>IF(B1335="","←停留所idを選択",VLOOKUP(B1335,'06停留所'!$B$2:$C$10500,2,0))</f>
        <v>←停留所idを選択</v>
      </c>
      <c r="D1335" s="5"/>
      <c r="E1335" s="5"/>
      <c r="F1335" s="6"/>
    </row>
    <row r="1336" spans="1:6" x14ac:dyDescent="0.2">
      <c r="A1336" s="2">
        <v>1335</v>
      </c>
      <c r="B1336" s="5"/>
      <c r="C1336" s="10" t="str">
        <f>IF(B1336="","←停留所idを選択",VLOOKUP(B1336,'06停留所'!$B$2:$C$10500,2,0))</f>
        <v>←停留所idを選択</v>
      </c>
      <c r="D1336" s="5"/>
      <c r="E1336" s="5"/>
      <c r="F1336" s="6"/>
    </row>
    <row r="1337" spans="1:6" x14ac:dyDescent="0.2">
      <c r="A1337" s="2">
        <v>1336</v>
      </c>
      <c r="B1337" s="5"/>
      <c r="C1337" s="10" t="str">
        <f>IF(B1337="","←停留所idを選択",VLOOKUP(B1337,'06停留所'!$B$2:$C$10500,2,0))</f>
        <v>←停留所idを選択</v>
      </c>
      <c r="D1337" s="5"/>
      <c r="E1337" s="5"/>
      <c r="F1337" s="6"/>
    </row>
    <row r="1338" spans="1:6" x14ac:dyDescent="0.2">
      <c r="A1338" s="2">
        <v>1337</v>
      </c>
      <c r="B1338" s="5"/>
      <c r="C1338" s="10" t="str">
        <f>IF(B1338="","←停留所idを選択",VLOOKUP(B1338,'06停留所'!$B$2:$C$10500,2,0))</f>
        <v>←停留所idを選択</v>
      </c>
      <c r="D1338" s="5"/>
      <c r="E1338" s="5"/>
      <c r="F1338" s="6"/>
    </row>
    <row r="1339" spans="1:6" x14ac:dyDescent="0.2">
      <c r="A1339" s="2">
        <v>1338</v>
      </c>
      <c r="B1339" s="5"/>
      <c r="C1339" s="10" t="str">
        <f>IF(B1339="","←停留所idを選択",VLOOKUP(B1339,'06停留所'!$B$2:$C$10500,2,0))</f>
        <v>←停留所idを選択</v>
      </c>
      <c r="D1339" s="5"/>
      <c r="E1339" s="5"/>
      <c r="F1339" s="6"/>
    </row>
    <row r="1340" spans="1:6" x14ac:dyDescent="0.2">
      <c r="A1340" s="2">
        <v>1339</v>
      </c>
      <c r="B1340" s="5"/>
      <c r="C1340" s="10" t="str">
        <f>IF(B1340="","←停留所idを選択",VLOOKUP(B1340,'06停留所'!$B$2:$C$10500,2,0))</f>
        <v>←停留所idを選択</v>
      </c>
      <c r="D1340" s="5"/>
      <c r="E1340" s="5"/>
      <c r="F1340" s="6"/>
    </row>
    <row r="1341" spans="1:6" x14ac:dyDescent="0.2">
      <c r="A1341" s="2">
        <v>1340</v>
      </c>
      <c r="B1341" s="5"/>
      <c r="C1341" s="10" t="str">
        <f>IF(B1341="","←停留所idを選択",VLOOKUP(B1341,'06停留所'!$B$2:$C$10500,2,0))</f>
        <v>←停留所idを選択</v>
      </c>
      <c r="D1341" s="5"/>
      <c r="E1341" s="5"/>
      <c r="F1341" s="6"/>
    </row>
    <row r="1342" spans="1:6" x14ac:dyDescent="0.2">
      <c r="A1342" s="2">
        <v>1341</v>
      </c>
      <c r="B1342" s="5"/>
      <c r="C1342" s="10" t="str">
        <f>IF(B1342="","←停留所idを選択",VLOOKUP(B1342,'06停留所'!$B$2:$C$10500,2,0))</f>
        <v>←停留所idを選択</v>
      </c>
      <c r="D1342" s="5"/>
      <c r="E1342" s="5"/>
      <c r="F1342" s="6"/>
    </row>
    <row r="1343" spans="1:6" x14ac:dyDescent="0.2">
      <c r="A1343" s="2">
        <v>1342</v>
      </c>
      <c r="B1343" s="5"/>
      <c r="C1343" s="10" t="str">
        <f>IF(B1343="","←停留所idを選択",VLOOKUP(B1343,'06停留所'!$B$2:$C$10500,2,0))</f>
        <v>←停留所idを選択</v>
      </c>
      <c r="D1343" s="5"/>
      <c r="E1343" s="5"/>
      <c r="F1343" s="6"/>
    </row>
    <row r="1344" spans="1:6" x14ac:dyDescent="0.2">
      <c r="A1344" s="2">
        <v>1343</v>
      </c>
      <c r="B1344" s="5"/>
      <c r="C1344" s="10" t="str">
        <f>IF(B1344="","←停留所idを選択",VLOOKUP(B1344,'06停留所'!$B$2:$C$10500,2,0))</f>
        <v>←停留所idを選択</v>
      </c>
      <c r="D1344" s="5"/>
      <c r="E1344" s="5"/>
      <c r="F1344" s="6"/>
    </row>
    <row r="1345" spans="1:6" x14ac:dyDescent="0.2">
      <c r="A1345" s="2">
        <v>1344</v>
      </c>
      <c r="B1345" s="5"/>
      <c r="C1345" s="10" t="str">
        <f>IF(B1345="","←停留所idを選択",VLOOKUP(B1345,'06停留所'!$B$2:$C$10500,2,0))</f>
        <v>←停留所idを選択</v>
      </c>
      <c r="D1345" s="5"/>
      <c r="E1345" s="5"/>
      <c r="F1345" s="6"/>
    </row>
    <row r="1346" spans="1:6" x14ac:dyDescent="0.2">
      <c r="A1346" s="2">
        <v>1345</v>
      </c>
      <c r="B1346" s="5"/>
      <c r="C1346" s="10" t="str">
        <f>IF(B1346="","←停留所idを選択",VLOOKUP(B1346,'06停留所'!$B$2:$C$10500,2,0))</f>
        <v>←停留所idを選択</v>
      </c>
      <c r="D1346" s="5"/>
      <c r="E1346" s="5"/>
      <c r="F1346" s="6"/>
    </row>
    <row r="1347" spans="1:6" x14ac:dyDescent="0.2">
      <c r="A1347" s="2">
        <v>1346</v>
      </c>
      <c r="B1347" s="5"/>
      <c r="C1347" s="10" t="str">
        <f>IF(B1347="","←停留所idを選択",VLOOKUP(B1347,'06停留所'!$B$2:$C$10500,2,0))</f>
        <v>←停留所idを選択</v>
      </c>
      <c r="D1347" s="5"/>
      <c r="E1347" s="5"/>
      <c r="F1347" s="6"/>
    </row>
    <row r="1348" spans="1:6" x14ac:dyDescent="0.2">
      <c r="A1348" s="2">
        <v>1347</v>
      </c>
      <c r="B1348" s="5"/>
      <c r="C1348" s="10" t="str">
        <f>IF(B1348="","←停留所idを選択",VLOOKUP(B1348,'06停留所'!$B$2:$C$10500,2,0))</f>
        <v>←停留所idを選択</v>
      </c>
      <c r="D1348" s="5"/>
      <c r="E1348" s="5"/>
      <c r="F1348" s="6"/>
    </row>
    <row r="1349" spans="1:6" x14ac:dyDescent="0.2">
      <c r="A1349" s="2">
        <v>1348</v>
      </c>
      <c r="B1349" s="5"/>
      <c r="C1349" s="10" t="str">
        <f>IF(B1349="","←停留所idを選択",VLOOKUP(B1349,'06停留所'!$B$2:$C$10500,2,0))</f>
        <v>←停留所idを選択</v>
      </c>
      <c r="D1349" s="5"/>
      <c r="E1349" s="5"/>
      <c r="F1349" s="6"/>
    </row>
    <row r="1350" spans="1:6" x14ac:dyDescent="0.2">
      <c r="A1350" s="2">
        <v>1349</v>
      </c>
      <c r="B1350" s="5"/>
      <c r="C1350" s="10" t="str">
        <f>IF(B1350="","←停留所idを選択",VLOOKUP(B1350,'06停留所'!$B$2:$C$10500,2,0))</f>
        <v>←停留所idを選択</v>
      </c>
      <c r="D1350" s="5"/>
      <c r="E1350" s="5"/>
      <c r="F1350" s="6"/>
    </row>
    <row r="1351" spans="1:6" x14ac:dyDescent="0.2">
      <c r="A1351" s="2">
        <v>1350</v>
      </c>
      <c r="B1351" s="5"/>
      <c r="C1351" s="10" t="str">
        <f>IF(B1351="","←停留所idを選択",VLOOKUP(B1351,'06停留所'!$B$2:$C$10500,2,0))</f>
        <v>←停留所idを選択</v>
      </c>
      <c r="D1351" s="5"/>
      <c r="E1351" s="5"/>
      <c r="F1351" s="6"/>
    </row>
    <row r="1352" spans="1:6" x14ac:dyDescent="0.2">
      <c r="A1352" s="2">
        <v>1351</v>
      </c>
      <c r="B1352" s="5"/>
      <c r="C1352" s="10" t="str">
        <f>IF(B1352="","←停留所idを選択",VLOOKUP(B1352,'06停留所'!$B$2:$C$10500,2,0))</f>
        <v>←停留所idを選択</v>
      </c>
      <c r="D1352" s="5"/>
      <c r="E1352" s="5"/>
      <c r="F1352" s="6"/>
    </row>
    <row r="1353" spans="1:6" x14ac:dyDescent="0.2">
      <c r="A1353" s="2">
        <v>1352</v>
      </c>
      <c r="B1353" s="5"/>
      <c r="C1353" s="10" t="str">
        <f>IF(B1353="","←停留所idを選択",VLOOKUP(B1353,'06停留所'!$B$2:$C$10500,2,0))</f>
        <v>←停留所idを選択</v>
      </c>
      <c r="D1353" s="5"/>
      <c r="E1353" s="5"/>
      <c r="F1353" s="6"/>
    </row>
    <row r="1354" spans="1:6" x14ac:dyDescent="0.2">
      <c r="A1354" s="2">
        <v>1353</v>
      </c>
      <c r="B1354" s="5"/>
      <c r="C1354" s="10" t="str">
        <f>IF(B1354="","←停留所idを選択",VLOOKUP(B1354,'06停留所'!$B$2:$C$10500,2,0))</f>
        <v>←停留所idを選択</v>
      </c>
      <c r="D1354" s="5"/>
      <c r="E1354" s="5"/>
      <c r="F1354" s="6"/>
    </row>
    <row r="1355" spans="1:6" x14ac:dyDescent="0.2">
      <c r="A1355" s="2">
        <v>1354</v>
      </c>
      <c r="B1355" s="5"/>
      <c r="C1355" s="10" t="str">
        <f>IF(B1355="","←停留所idを選択",VLOOKUP(B1355,'06停留所'!$B$2:$C$10500,2,0))</f>
        <v>←停留所idを選択</v>
      </c>
      <c r="D1355" s="5"/>
      <c r="E1355" s="5"/>
      <c r="F1355" s="6"/>
    </row>
    <row r="1356" spans="1:6" x14ac:dyDescent="0.2">
      <c r="A1356" s="2">
        <v>1355</v>
      </c>
      <c r="B1356" s="5"/>
      <c r="C1356" s="10" t="str">
        <f>IF(B1356="","←停留所idを選択",VLOOKUP(B1356,'06停留所'!$B$2:$C$10500,2,0))</f>
        <v>←停留所idを選択</v>
      </c>
      <c r="D1356" s="5"/>
      <c r="E1356" s="5"/>
      <c r="F1356" s="6"/>
    </row>
    <row r="1357" spans="1:6" x14ac:dyDescent="0.2">
      <c r="A1357" s="2">
        <v>1356</v>
      </c>
      <c r="B1357" s="5"/>
      <c r="C1357" s="10" t="str">
        <f>IF(B1357="","←停留所idを選択",VLOOKUP(B1357,'06停留所'!$B$2:$C$10500,2,0))</f>
        <v>←停留所idを選択</v>
      </c>
      <c r="D1357" s="5"/>
      <c r="E1357" s="5"/>
      <c r="F1357" s="6"/>
    </row>
    <row r="1358" spans="1:6" x14ac:dyDescent="0.2">
      <c r="A1358" s="2">
        <v>1357</v>
      </c>
      <c r="B1358" s="5"/>
      <c r="C1358" s="10" t="str">
        <f>IF(B1358="","←停留所idを選択",VLOOKUP(B1358,'06停留所'!$B$2:$C$10500,2,0))</f>
        <v>←停留所idを選択</v>
      </c>
      <c r="D1358" s="5"/>
      <c r="E1358" s="5"/>
      <c r="F1358" s="6"/>
    </row>
    <row r="1359" spans="1:6" x14ac:dyDescent="0.2">
      <c r="A1359" s="2">
        <v>1358</v>
      </c>
      <c r="B1359" s="5"/>
      <c r="C1359" s="10" t="str">
        <f>IF(B1359="","←停留所idを選択",VLOOKUP(B1359,'06停留所'!$B$2:$C$10500,2,0))</f>
        <v>←停留所idを選択</v>
      </c>
      <c r="D1359" s="5"/>
      <c r="E1359" s="5"/>
      <c r="F1359" s="6"/>
    </row>
    <row r="1360" spans="1:6" x14ac:dyDescent="0.2">
      <c r="A1360" s="2">
        <v>1359</v>
      </c>
      <c r="B1360" s="5"/>
      <c r="C1360" s="10" t="str">
        <f>IF(B1360="","←停留所idを選択",VLOOKUP(B1360,'06停留所'!$B$2:$C$10500,2,0))</f>
        <v>←停留所idを選択</v>
      </c>
      <c r="D1360" s="5"/>
      <c r="E1360" s="5"/>
      <c r="F1360" s="6"/>
    </row>
    <row r="1361" spans="1:6" x14ac:dyDescent="0.2">
      <c r="A1361" s="2">
        <v>1360</v>
      </c>
      <c r="B1361" s="5"/>
      <c r="C1361" s="10" t="str">
        <f>IF(B1361="","←停留所idを選択",VLOOKUP(B1361,'06停留所'!$B$2:$C$10500,2,0))</f>
        <v>←停留所idを選択</v>
      </c>
      <c r="D1361" s="5"/>
      <c r="E1361" s="5"/>
      <c r="F1361" s="6"/>
    </row>
    <row r="1362" spans="1:6" x14ac:dyDescent="0.2">
      <c r="A1362" s="2">
        <v>1361</v>
      </c>
      <c r="B1362" s="5"/>
      <c r="C1362" s="10" t="str">
        <f>IF(B1362="","←停留所idを選択",VLOOKUP(B1362,'06停留所'!$B$2:$C$10500,2,0))</f>
        <v>←停留所idを選択</v>
      </c>
      <c r="D1362" s="5"/>
      <c r="E1362" s="5"/>
      <c r="F1362" s="6"/>
    </row>
    <row r="1363" spans="1:6" x14ac:dyDescent="0.2">
      <c r="A1363" s="2">
        <v>1362</v>
      </c>
      <c r="B1363" s="5"/>
      <c r="C1363" s="10" t="str">
        <f>IF(B1363="","←停留所idを選択",VLOOKUP(B1363,'06停留所'!$B$2:$C$10500,2,0))</f>
        <v>←停留所idを選択</v>
      </c>
      <c r="D1363" s="5"/>
      <c r="E1363" s="5"/>
      <c r="F1363" s="6"/>
    </row>
    <row r="1364" spans="1:6" x14ac:dyDescent="0.2">
      <c r="A1364" s="2">
        <v>1363</v>
      </c>
      <c r="B1364" s="5"/>
      <c r="C1364" s="10" t="str">
        <f>IF(B1364="","←停留所idを選択",VLOOKUP(B1364,'06停留所'!$B$2:$C$10500,2,0))</f>
        <v>←停留所idを選択</v>
      </c>
      <c r="D1364" s="5"/>
      <c r="E1364" s="5"/>
      <c r="F1364" s="6"/>
    </row>
    <row r="1365" spans="1:6" x14ac:dyDescent="0.2">
      <c r="A1365" s="2">
        <v>1364</v>
      </c>
      <c r="B1365" s="5"/>
      <c r="C1365" s="10" t="str">
        <f>IF(B1365="","←停留所idを選択",VLOOKUP(B1365,'06停留所'!$B$2:$C$10500,2,0))</f>
        <v>←停留所idを選択</v>
      </c>
      <c r="D1365" s="5"/>
      <c r="E1365" s="5"/>
      <c r="F1365" s="6"/>
    </row>
    <row r="1366" spans="1:6" x14ac:dyDescent="0.2">
      <c r="A1366" s="2">
        <v>1365</v>
      </c>
      <c r="B1366" s="5"/>
      <c r="C1366" s="10" t="str">
        <f>IF(B1366="","←停留所idを選択",VLOOKUP(B1366,'06停留所'!$B$2:$C$10500,2,0))</f>
        <v>←停留所idを選択</v>
      </c>
      <c r="D1366" s="5"/>
      <c r="E1366" s="5"/>
      <c r="F1366" s="6"/>
    </row>
    <row r="1367" spans="1:6" x14ac:dyDescent="0.2">
      <c r="A1367" s="2">
        <v>1366</v>
      </c>
      <c r="B1367" s="5"/>
      <c r="C1367" s="10" t="str">
        <f>IF(B1367="","←停留所idを選択",VLOOKUP(B1367,'06停留所'!$B$2:$C$10500,2,0))</f>
        <v>←停留所idを選択</v>
      </c>
      <c r="D1367" s="5"/>
      <c r="E1367" s="5"/>
      <c r="F1367" s="6"/>
    </row>
    <row r="1368" spans="1:6" x14ac:dyDescent="0.2">
      <c r="A1368" s="2">
        <v>1367</v>
      </c>
      <c r="B1368" s="5"/>
      <c r="C1368" s="10" t="str">
        <f>IF(B1368="","←停留所idを選択",VLOOKUP(B1368,'06停留所'!$B$2:$C$10500,2,0))</f>
        <v>←停留所idを選択</v>
      </c>
      <c r="D1368" s="5"/>
      <c r="E1368" s="5"/>
      <c r="F1368" s="6"/>
    </row>
    <row r="1369" spans="1:6" x14ac:dyDescent="0.2">
      <c r="A1369" s="2">
        <v>1368</v>
      </c>
      <c r="B1369" s="5"/>
      <c r="C1369" s="10" t="str">
        <f>IF(B1369="","←停留所idを選択",VLOOKUP(B1369,'06停留所'!$B$2:$C$10500,2,0))</f>
        <v>←停留所idを選択</v>
      </c>
      <c r="D1369" s="5"/>
      <c r="E1369" s="5"/>
      <c r="F1369" s="6"/>
    </row>
    <row r="1370" spans="1:6" x14ac:dyDescent="0.2">
      <c r="A1370" s="2">
        <v>1369</v>
      </c>
      <c r="B1370" s="5"/>
      <c r="C1370" s="10" t="str">
        <f>IF(B1370="","←停留所idを選択",VLOOKUP(B1370,'06停留所'!$B$2:$C$10500,2,0))</f>
        <v>←停留所idを選択</v>
      </c>
      <c r="D1370" s="5"/>
      <c r="E1370" s="5"/>
      <c r="F1370" s="6"/>
    </row>
    <row r="1371" spans="1:6" x14ac:dyDescent="0.2">
      <c r="A1371" s="2">
        <v>1370</v>
      </c>
      <c r="B1371" s="5"/>
      <c r="C1371" s="10" t="str">
        <f>IF(B1371="","←停留所idを選択",VLOOKUP(B1371,'06停留所'!$B$2:$C$10500,2,0))</f>
        <v>←停留所idを選択</v>
      </c>
      <c r="D1371" s="5"/>
      <c r="E1371" s="5"/>
      <c r="F1371" s="6"/>
    </row>
    <row r="1372" spans="1:6" x14ac:dyDescent="0.2">
      <c r="A1372" s="2">
        <v>1371</v>
      </c>
      <c r="B1372" s="5"/>
      <c r="C1372" s="10" t="str">
        <f>IF(B1372="","←停留所idを選択",VLOOKUP(B1372,'06停留所'!$B$2:$C$10500,2,0))</f>
        <v>←停留所idを選択</v>
      </c>
      <c r="D1372" s="5"/>
      <c r="E1372" s="5"/>
      <c r="F1372" s="6"/>
    </row>
    <row r="1373" spans="1:6" x14ac:dyDescent="0.2">
      <c r="A1373" s="2">
        <v>1372</v>
      </c>
      <c r="B1373" s="5"/>
      <c r="C1373" s="10" t="str">
        <f>IF(B1373="","←停留所idを選択",VLOOKUP(B1373,'06停留所'!$B$2:$C$10500,2,0))</f>
        <v>←停留所idを選択</v>
      </c>
      <c r="D1373" s="5"/>
      <c r="E1373" s="5"/>
      <c r="F1373" s="6"/>
    </row>
    <row r="1374" spans="1:6" x14ac:dyDescent="0.2">
      <c r="A1374" s="2">
        <v>1373</v>
      </c>
      <c r="B1374" s="5"/>
      <c r="C1374" s="10" t="str">
        <f>IF(B1374="","←停留所idを選択",VLOOKUP(B1374,'06停留所'!$B$2:$C$10500,2,0))</f>
        <v>←停留所idを選択</v>
      </c>
      <c r="D1374" s="5"/>
      <c r="E1374" s="5"/>
      <c r="F1374" s="6"/>
    </row>
    <row r="1375" spans="1:6" x14ac:dyDescent="0.2">
      <c r="A1375" s="2">
        <v>1374</v>
      </c>
      <c r="B1375" s="5"/>
      <c r="C1375" s="10" t="str">
        <f>IF(B1375="","←停留所idを選択",VLOOKUP(B1375,'06停留所'!$B$2:$C$10500,2,0))</f>
        <v>←停留所idを選択</v>
      </c>
      <c r="D1375" s="5"/>
      <c r="E1375" s="5"/>
      <c r="F1375" s="6"/>
    </row>
    <row r="1376" spans="1:6" x14ac:dyDescent="0.2">
      <c r="A1376" s="2">
        <v>1375</v>
      </c>
      <c r="B1376" s="5"/>
      <c r="C1376" s="10" t="str">
        <f>IF(B1376="","←停留所idを選択",VLOOKUP(B1376,'06停留所'!$B$2:$C$10500,2,0))</f>
        <v>←停留所idを選択</v>
      </c>
      <c r="D1376" s="5"/>
      <c r="E1376" s="5"/>
      <c r="F1376" s="6"/>
    </row>
    <row r="1377" spans="1:6" x14ac:dyDescent="0.2">
      <c r="A1377" s="2">
        <v>1376</v>
      </c>
      <c r="B1377" s="5"/>
      <c r="C1377" s="10" t="str">
        <f>IF(B1377="","←停留所idを選択",VLOOKUP(B1377,'06停留所'!$B$2:$C$10500,2,0))</f>
        <v>←停留所idを選択</v>
      </c>
      <c r="D1377" s="5"/>
      <c r="E1377" s="5"/>
      <c r="F1377" s="6"/>
    </row>
    <row r="1378" spans="1:6" x14ac:dyDescent="0.2">
      <c r="A1378" s="2">
        <v>1377</v>
      </c>
      <c r="B1378" s="5"/>
      <c r="C1378" s="10" t="str">
        <f>IF(B1378="","←停留所idを選択",VLOOKUP(B1378,'06停留所'!$B$2:$C$10500,2,0))</f>
        <v>←停留所idを選択</v>
      </c>
      <c r="D1378" s="5"/>
      <c r="E1378" s="5"/>
      <c r="F1378" s="6"/>
    </row>
    <row r="1379" spans="1:6" x14ac:dyDescent="0.2">
      <c r="A1379" s="2">
        <v>1378</v>
      </c>
      <c r="B1379" s="5"/>
      <c r="C1379" s="10" t="str">
        <f>IF(B1379="","←停留所idを選択",VLOOKUP(B1379,'06停留所'!$B$2:$C$10500,2,0))</f>
        <v>←停留所idを選択</v>
      </c>
      <c r="D1379" s="5"/>
      <c r="E1379" s="5"/>
      <c r="F1379" s="6"/>
    </row>
    <row r="1380" spans="1:6" x14ac:dyDescent="0.2">
      <c r="A1380" s="2">
        <v>1379</v>
      </c>
      <c r="B1380" s="5"/>
      <c r="C1380" s="10" t="str">
        <f>IF(B1380="","←停留所idを選択",VLOOKUP(B1380,'06停留所'!$B$2:$C$10500,2,0))</f>
        <v>←停留所idを選択</v>
      </c>
      <c r="D1380" s="5"/>
      <c r="E1380" s="5"/>
      <c r="F1380" s="6"/>
    </row>
    <row r="1381" spans="1:6" x14ac:dyDescent="0.2">
      <c r="A1381" s="2">
        <v>1380</v>
      </c>
      <c r="B1381" s="5"/>
      <c r="C1381" s="10" t="str">
        <f>IF(B1381="","←停留所idを選択",VLOOKUP(B1381,'06停留所'!$B$2:$C$10500,2,0))</f>
        <v>←停留所idを選択</v>
      </c>
      <c r="D1381" s="5"/>
      <c r="E1381" s="5"/>
      <c r="F1381" s="6"/>
    </row>
    <row r="1382" spans="1:6" x14ac:dyDescent="0.2">
      <c r="A1382" s="2">
        <v>1381</v>
      </c>
      <c r="B1382" s="5"/>
      <c r="C1382" s="10" t="str">
        <f>IF(B1382="","←停留所idを選択",VLOOKUP(B1382,'06停留所'!$B$2:$C$10500,2,0))</f>
        <v>←停留所idを選択</v>
      </c>
      <c r="D1382" s="5"/>
      <c r="E1382" s="5"/>
      <c r="F1382" s="6"/>
    </row>
    <row r="1383" spans="1:6" x14ac:dyDescent="0.2">
      <c r="A1383" s="2">
        <v>1382</v>
      </c>
      <c r="B1383" s="5"/>
      <c r="C1383" s="10" t="str">
        <f>IF(B1383="","←停留所idを選択",VLOOKUP(B1383,'06停留所'!$B$2:$C$10500,2,0))</f>
        <v>←停留所idを選択</v>
      </c>
      <c r="D1383" s="5"/>
      <c r="E1383" s="5"/>
      <c r="F1383" s="6"/>
    </row>
    <row r="1384" spans="1:6" x14ac:dyDescent="0.2">
      <c r="A1384" s="2">
        <v>1383</v>
      </c>
      <c r="B1384" s="5"/>
      <c r="C1384" s="10" t="str">
        <f>IF(B1384="","←停留所idを選択",VLOOKUP(B1384,'06停留所'!$B$2:$C$10500,2,0))</f>
        <v>←停留所idを選択</v>
      </c>
      <c r="D1384" s="5"/>
      <c r="E1384" s="5"/>
      <c r="F1384" s="6"/>
    </row>
    <row r="1385" spans="1:6" x14ac:dyDescent="0.2">
      <c r="A1385" s="2">
        <v>1384</v>
      </c>
      <c r="B1385" s="5"/>
      <c r="C1385" s="10" t="str">
        <f>IF(B1385="","←停留所idを選択",VLOOKUP(B1385,'06停留所'!$B$2:$C$10500,2,0))</f>
        <v>←停留所idを選択</v>
      </c>
      <c r="D1385" s="5"/>
      <c r="E1385" s="5"/>
      <c r="F1385" s="6"/>
    </row>
    <row r="1386" spans="1:6" x14ac:dyDescent="0.2">
      <c r="A1386" s="2">
        <v>1385</v>
      </c>
      <c r="B1386" s="5"/>
      <c r="C1386" s="10" t="str">
        <f>IF(B1386="","←停留所idを選択",VLOOKUP(B1386,'06停留所'!$B$2:$C$10500,2,0))</f>
        <v>←停留所idを選択</v>
      </c>
      <c r="D1386" s="5"/>
      <c r="E1386" s="5"/>
      <c r="F1386" s="6"/>
    </row>
    <row r="1387" spans="1:6" x14ac:dyDescent="0.2">
      <c r="A1387" s="2">
        <v>1386</v>
      </c>
      <c r="B1387" s="5"/>
      <c r="C1387" s="10" t="str">
        <f>IF(B1387="","←停留所idを選択",VLOOKUP(B1387,'06停留所'!$B$2:$C$10500,2,0))</f>
        <v>←停留所idを選択</v>
      </c>
      <c r="D1387" s="5"/>
      <c r="E1387" s="5"/>
      <c r="F1387" s="6"/>
    </row>
    <row r="1388" spans="1:6" x14ac:dyDescent="0.2">
      <c r="A1388" s="2">
        <v>1387</v>
      </c>
      <c r="B1388" s="5"/>
      <c r="C1388" s="10" t="str">
        <f>IF(B1388="","←停留所idを選択",VLOOKUP(B1388,'06停留所'!$B$2:$C$10500,2,0))</f>
        <v>←停留所idを選択</v>
      </c>
      <c r="D1388" s="5"/>
      <c r="E1388" s="5"/>
      <c r="F1388" s="6"/>
    </row>
    <row r="1389" spans="1:6" x14ac:dyDescent="0.2">
      <c r="A1389" s="2">
        <v>1388</v>
      </c>
      <c r="B1389" s="5"/>
      <c r="C1389" s="10" t="str">
        <f>IF(B1389="","←停留所idを選択",VLOOKUP(B1389,'06停留所'!$B$2:$C$10500,2,0))</f>
        <v>←停留所idを選択</v>
      </c>
      <c r="D1389" s="5"/>
      <c r="E1389" s="5"/>
      <c r="F1389" s="6"/>
    </row>
    <row r="1390" spans="1:6" x14ac:dyDescent="0.2">
      <c r="A1390" s="2">
        <v>1389</v>
      </c>
      <c r="B1390" s="5"/>
      <c r="C1390" s="10" t="str">
        <f>IF(B1390="","←停留所idを選択",VLOOKUP(B1390,'06停留所'!$B$2:$C$10500,2,0))</f>
        <v>←停留所idを選択</v>
      </c>
      <c r="D1390" s="5"/>
      <c r="E1390" s="5"/>
      <c r="F1390" s="6"/>
    </row>
    <row r="1391" spans="1:6" x14ac:dyDescent="0.2">
      <c r="A1391" s="2">
        <v>1390</v>
      </c>
      <c r="B1391" s="5"/>
      <c r="C1391" s="10" t="str">
        <f>IF(B1391="","←停留所idを選択",VLOOKUP(B1391,'06停留所'!$B$2:$C$10500,2,0))</f>
        <v>←停留所idを選択</v>
      </c>
      <c r="D1391" s="5"/>
      <c r="E1391" s="5"/>
      <c r="F1391" s="6"/>
    </row>
    <row r="1392" spans="1:6" x14ac:dyDescent="0.2">
      <c r="A1392" s="2">
        <v>1391</v>
      </c>
      <c r="B1392" s="5"/>
      <c r="C1392" s="10" t="str">
        <f>IF(B1392="","←停留所idを選択",VLOOKUP(B1392,'06停留所'!$B$2:$C$10500,2,0))</f>
        <v>←停留所idを選択</v>
      </c>
      <c r="D1392" s="5"/>
      <c r="E1392" s="5"/>
      <c r="F1392" s="6"/>
    </row>
    <row r="1393" spans="1:6" x14ac:dyDescent="0.2">
      <c r="A1393" s="2">
        <v>1392</v>
      </c>
      <c r="B1393" s="5"/>
      <c r="C1393" s="10" t="str">
        <f>IF(B1393="","←停留所idを選択",VLOOKUP(B1393,'06停留所'!$B$2:$C$10500,2,0))</f>
        <v>←停留所idを選択</v>
      </c>
      <c r="D1393" s="5"/>
      <c r="E1393" s="5"/>
      <c r="F1393" s="6"/>
    </row>
    <row r="1394" spans="1:6" x14ac:dyDescent="0.2">
      <c r="A1394" s="2">
        <v>1393</v>
      </c>
      <c r="B1394" s="5"/>
      <c r="C1394" s="10" t="str">
        <f>IF(B1394="","←停留所idを選択",VLOOKUP(B1394,'06停留所'!$B$2:$C$10500,2,0))</f>
        <v>←停留所idを選択</v>
      </c>
      <c r="D1394" s="5"/>
      <c r="E1394" s="5"/>
      <c r="F1394" s="6"/>
    </row>
    <row r="1395" spans="1:6" x14ac:dyDescent="0.2">
      <c r="A1395" s="2">
        <v>1394</v>
      </c>
      <c r="B1395" s="5"/>
      <c r="C1395" s="10" t="str">
        <f>IF(B1395="","←停留所idを選択",VLOOKUP(B1395,'06停留所'!$B$2:$C$10500,2,0))</f>
        <v>←停留所idを選択</v>
      </c>
      <c r="D1395" s="5"/>
      <c r="E1395" s="5"/>
      <c r="F1395" s="6"/>
    </row>
    <row r="1396" spans="1:6" x14ac:dyDescent="0.2">
      <c r="A1396" s="2">
        <v>1395</v>
      </c>
      <c r="B1396" s="5"/>
      <c r="C1396" s="10" t="str">
        <f>IF(B1396="","←停留所idを選択",VLOOKUP(B1396,'06停留所'!$B$2:$C$10500,2,0))</f>
        <v>←停留所idを選択</v>
      </c>
      <c r="D1396" s="5"/>
      <c r="E1396" s="5"/>
      <c r="F1396" s="6"/>
    </row>
    <row r="1397" spans="1:6" x14ac:dyDescent="0.2">
      <c r="A1397" s="2">
        <v>1396</v>
      </c>
      <c r="B1397" s="5"/>
      <c r="C1397" s="10" t="str">
        <f>IF(B1397="","←停留所idを選択",VLOOKUP(B1397,'06停留所'!$B$2:$C$10500,2,0))</f>
        <v>←停留所idを選択</v>
      </c>
      <c r="D1397" s="5"/>
      <c r="E1397" s="5"/>
      <c r="F1397" s="6"/>
    </row>
    <row r="1398" spans="1:6" x14ac:dyDescent="0.2">
      <c r="A1398" s="2">
        <v>1397</v>
      </c>
      <c r="B1398" s="5"/>
      <c r="C1398" s="10" t="str">
        <f>IF(B1398="","←停留所idを選択",VLOOKUP(B1398,'06停留所'!$B$2:$C$10500,2,0))</f>
        <v>←停留所idを選択</v>
      </c>
      <c r="D1398" s="5"/>
      <c r="E1398" s="5"/>
      <c r="F1398" s="6"/>
    </row>
    <row r="1399" spans="1:6" x14ac:dyDescent="0.2">
      <c r="A1399" s="2">
        <v>1398</v>
      </c>
      <c r="B1399" s="5"/>
      <c r="C1399" s="10" t="str">
        <f>IF(B1399="","←停留所idを選択",VLOOKUP(B1399,'06停留所'!$B$2:$C$10500,2,0))</f>
        <v>←停留所idを選択</v>
      </c>
      <c r="D1399" s="5"/>
      <c r="E1399" s="5"/>
      <c r="F1399" s="6"/>
    </row>
    <row r="1400" spans="1:6" x14ac:dyDescent="0.2">
      <c r="A1400" s="2">
        <v>1399</v>
      </c>
      <c r="B1400" s="5"/>
      <c r="C1400" s="10" t="str">
        <f>IF(B1400="","←停留所idを選択",VLOOKUP(B1400,'06停留所'!$B$2:$C$10500,2,0))</f>
        <v>←停留所idを選択</v>
      </c>
      <c r="D1400" s="5"/>
      <c r="E1400" s="5"/>
      <c r="F1400" s="6"/>
    </row>
    <row r="1401" spans="1:6" x14ac:dyDescent="0.2">
      <c r="A1401" s="2">
        <v>1400</v>
      </c>
      <c r="B1401" s="5"/>
      <c r="C1401" s="10" t="str">
        <f>IF(B1401="","←停留所idを選択",VLOOKUP(B1401,'06停留所'!$B$2:$C$10500,2,0))</f>
        <v>←停留所idを選択</v>
      </c>
      <c r="D1401" s="5"/>
      <c r="E1401" s="5"/>
      <c r="F1401" s="6"/>
    </row>
    <row r="1402" spans="1:6" x14ac:dyDescent="0.2">
      <c r="A1402" s="2">
        <v>1401</v>
      </c>
      <c r="B1402" s="5"/>
      <c r="C1402" s="10" t="str">
        <f>IF(B1402="","←停留所idを選択",VLOOKUP(B1402,'06停留所'!$B$2:$C$10500,2,0))</f>
        <v>←停留所idを選択</v>
      </c>
      <c r="D1402" s="5"/>
      <c r="E1402" s="5"/>
      <c r="F1402" s="6"/>
    </row>
    <row r="1403" spans="1:6" x14ac:dyDescent="0.2">
      <c r="A1403" s="2">
        <v>1402</v>
      </c>
      <c r="B1403" s="5"/>
      <c r="C1403" s="10" t="str">
        <f>IF(B1403="","←停留所idを選択",VLOOKUP(B1403,'06停留所'!$B$2:$C$10500,2,0))</f>
        <v>←停留所idを選択</v>
      </c>
      <c r="D1403" s="5"/>
      <c r="E1403" s="5"/>
      <c r="F1403" s="6"/>
    </row>
    <row r="1404" spans="1:6" x14ac:dyDescent="0.2">
      <c r="A1404" s="2">
        <v>1403</v>
      </c>
      <c r="B1404" s="5"/>
      <c r="C1404" s="10" t="str">
        <f>IF(B1404="","←停留所idを選択",VLOOKUP(B1404,'06停留所'!$B$2:$C$10500,2,0))</f>
        <v>←停留所idを選択</v>
      </c>
      <c r="D1404" s="5"/>
      <c r="E1404" s="5"/>
      <c r="F1404" s="6"/>
    </row>
    <row r="1405" spans="1:6" x14ac:dyDescent="0.2">
      <c r="A1405" s="2">
        <v>1404</v>
      </c>
      <c r="B1405" s="5"/>
      <c r="C1405" s="10" t="str">
        <f>IF(B1405="","←停留所idを選択",VLOOKUP(B1405,'06停留所'!$B$2:$C$10500,2,0))</f>
        <v>←停留所idを選択</v>
      </c>
      <c r="D1405" s="5"/>
      <c r="E1405" s="5"/>
      <c r="F1405" s="6"/>
    </row>
    <row r="1406" spans="1:6" x14ac:dyDescent="0.2">
      <c r="A1406" s="2">
        <v>1405</v>
      </c>
      <c r="B1406" s="5"/>
      <c r="C1406" s="10" t="str">
        <f>IF(B1406="","←停留所idを選択",VLOOKUP(B1406,'06停留所'!$B$2:$C$10500,2,0))</f>
        <v>←停留所idを選択</v>
      </c>
      <c r="D1406" s="5"/>
      <c r="E1406" s="5"/>
      <c r="F1406" s="6"/>
    </row>
    <row r="1407" spans="1:6" x14ac:dyDescent="0.2">
      <c r="A1407" s="2">
        <v>1406</v>
      </c>
      <c r="B1407" s="5"/>
      <c r="C1407" s="10" t="str">
        <f>IF(B1407="","←停留所idを選択",VLOOKUP(B1407,'06停留所'!$B$2:$C$10500,2,0))</f>
        <v>←停留所idを選択</v>
      </c>
      <c r="D1407" s="5"/>
      <c r="E1407" s="5"/>
      <c r="F1407" s="6"/>
    </row>
    <row r="1408" spans="1:6" x14ac:dyDescent="0.2">
      <c r="A1408" s="2">
        <v>1407</v>
      </c>
      <c r="B1408" s="5"/>
      <c r="C1408" s="10" t="str">
        <f>IF(B1408="","←停留所idを選択",VLOOKUP(B1408,'06停留所'!$B$2:$C$10500,2,0))</f>
        <v>←停留所idを選択</v>
      </c>
      <c r="D1408" s="5"/>
      <c r="E1408" s="5"/>
      <c r="F1408" s="6"/>
    </row>
    <row r="1409" spans="1:6" x14ac:dyDescent="0.2">
      <c r="A1409" s="2">
        <v>1408</v>
      </c>
      <c r="B1409" s="5"/>
      <c r="C1409" s="10" t="str">
        <f>IF(B1409="","←停留所idを選択",VLOOKUP(B1409,'06停留所'!$B$2:$C$10500,2,0))</f>
        <v>←停留所idを選択</v>
      </c>
      <c r="D1409" s="5"/>
      <c r="E1409" s="5"/>
      <c r="F1409" s="6"/>
    </row>
    <row r="1410" spans="1:6" x14ac:dyDescent="0.2">
      <c r="A1410" s="2">
        <v>1409</v>
      </c>
      <c r="B1410" s="5"/>
      <c r="C1410" s="10" t="str">
        <f>IF(B1410="","←停留所idを選択",VLOOKUP(B1410,'06停留所'!$B$2:$C$10500,2,0))</f>
        <v>←停留所idを選択</v>
      </c>
      <c r="D1410" s="5"/>
      <c r="E1410" s="5"/>
      <c r="F1410" s="6"/>
    </row>
    <row r="1411" spans="1:6" x14ac:dyDescent="0.2">
      <c r="A1411" s="2">
        <v>1410</v>
      </c>
      <c r="B1411" s="5"/>
      <c r="C1411" s="10" t="str">
        <f>IF(B1411="","←停留所idを選択",VLOOKUP(B1411,'06停留所'!$B$2:$C$10500,2,0))</f>
        <v>←停留所idを選択</v>
      </c>
      <c r="D1411" s="5"/>
      <c r="E1411" s="5"/>
      <c r="F1411" s="6"/>
    </row>
    <row r="1412" spans="1:6" x14ac:dyDescent="0.2">
      <c r="A1412" s="2">
        <v>1411</v>
      </c>
      <c r="B1412" s="5"/>
      <c r="C1412" s="10" t="str">
        <f>IF(B1412="","←停留所idを選択",VLOOKUP(B1412,'06停留所'!$B$2:$C$10500,2,0))</f>
        <v>←停留所idを選択</v>
      </c>
      <c r="D1412" s="5"/>
      <c r="E1412" s="5"/>
      <c r="F1412" s="6"/>
    </row>
    <row r="1413" spans="1:6" x14ac:dyDescent="0.2">
      <c r="A1413" s="2">
        <v>1412</v>
      </c>
      <c r="B1413" s="5"/>
      <c r="C1413" s="10" t="str">
        <f>IF(B1413="","←停留所idを選択",VLOOKUP(B1413,'06停留所'!$B$2:$C$10500,2,0))</f>
        <v>←停留所idを選択</v>
      </c>
      <c r="D1413" s="5"/>
      <c r="E1413" s="5"/>
      <c r="F1413" s="6"/>
    </row>
    <row r="1414" spans="1:6" x14ac:dyDescent="0.2">
      <c r="A1414" s="2">
        <v>1413</v>
      </c>
      <c r="B1414" s="5"/>
      <c r="C1414" s="10" t="str">
        <f>IF(B1414="","←停留所idを選択",VLOOKUP(B1414,'06停留所'!$B$2:$C$10500,2,0))</f>
        <v>←停留所idを選択</v>
      </c>
      <c r="D1414" s="5"/>
      <c r="E1414" s="5"/>
      <c r="F1414" s="6"/>
    </row>
    <row r="1415" spans="1:6" x14ac:dyDescent="0.2">
      <c r="A1415" s="2">
        <v>1414</v>
      </c>
      <c r="B1415" s="5"/>
      <c r="C1415" s="10" t="str">
        <f>IF(B1415="","←停留所idを選択",VLOOKUP(B1415,'06停留所'!$B$2:$C$10500,2,0))</f>
        <v>←停留所idを選択</v>
      </c>
      <c r="D1415" s="5"/>
      <c r="E1415" s="5"/>
      <c r="F1415" s="6"/>
    </row>
    <row r="1416" spans="1:6" x14ac:dyDescent="0.2">
      <c r="A1416" s="2">
        <v>1415</v>
      </c>
      <c r="B1416" s="5"/>
      <c r="C1416" s="10" t="str">
        <f>IF(B1416="","←停留所idを選択",VLOOKUP(B1416,'06停留所'!$B$2:$C$10500,2,0))</f>
        <v>←停留所idを選択</v>
      </c>
      <c r="D1416" s="5"/>
      <c r="E1416" s="5"/>
      <c r="F1416" s="6"/>
    </row>
    <row r="1417" spans="1:6" x14ac:dyDescent="0.2">
      <c r="A1417" s="2">
        <v>1416</v>
      </c>
      <c r="B1417" s="5"/>
      <c r="C1417" s="10" t="str">
        <f>IF(B1417="","←停留所idを選択",VLOOKUP(B1417,'06停留所'!$B$2:$C$10500,2,0))</f>
        <v>←停留所idを選択</v>
      </c>
      <c r="D1417" s="5"/>
      <c r="E1417" s="5"/>
      <c r="F1417" s="6"/>
    </row>
    <row r="1418" spans="1:6" x14ac:dyDescent="0.2">
      <c r="A1418" s="2">
        <v>1417</v>
      </c>
      <c r="B1418" s="5"/>
      <c r="C1418" s="10" t="str">
        <f>IF(B1418="","←停留所idを選択",VLOOKUP(B1418,'06停留所'!$B$2:$C$10500,2,0))</f>
        <v>←停留所idを選択</v>
      </c>
      <c r="D1418" s="5"/>
      <c r="E1418" s="5"/>
      <c r="F1418" s="6"/>
    </row>
    <row r="1419" spans="1:6" x14ac:dyDescent="0.2">
      <c r="A1419" s="2">
        <v>1418</v>
      </c>
      <c r="B1419" s="5"/>
      <c r="C1419" s="10" t="str">
        <f>IF(B1419="","←停留所idを選択",VLOOKUP(B1419,'06停留所'!$B$2:$C$10500,2,0))</f>
        <v>←停留所idを選択</v>
      </c>
      <c r="D1419" s="5"/>
      <c r="E1419" s="5"/>
      <c r="F1419" s="6"/>
    </row>
    <row r="1420" spans="1:6" x14ac:dyDescent="0.2">
      <c r="A1420" s="2">
        <v>1419</v>
      </c>
      <c r="B1420" s="5"/>
      <c r="C1420" s="10" t="str">
        <f>IF(B1420="","←停留所idを選択",VLOOKUP(B1420,'06停留所'!$B$2:$C$10500,2,0))</f>
        <v>←停留所idを選択</v>
      </c>
      <c r="D1420" s="5"/>
      <c r="E1420" s="5"/>
      <c r="F1420" s="6"/>
    </row>
    <row r="1421" spans="1:6" x14ac:dyDescent="0.2">
      <c r="A1421" s="2">
        <v>1420</v>
      </c>
      <c r="B1421" s="5"/>
      <c r="C1421" s="10" t="str">
        <f>IF(B1421="","←停留所idを選択",VLOOKUP(B1421,'06停留所'!$B$2:$C$10500,2,0))</f>
        <v>←停留所idを選択</v>
      </c>
      <c r="D1421" s="5"/>
      <c r="E1421" s="5"/>
      <c r="F1421" s="6"/>
    </row>
    <row r="1422" spans="1:6" x14ac:dyDescent="0.2">
      <c r="A1422" s="2">
        <v>1421</v>
      </c>
      <c r="B1422" s="5"/>
      <c r="C1422" s="10" t="str">
        <f>IF(B1422="","←停留所idを選択",VLOOKUP(B1422,'06停留所'!$B$2:$C$10500,2,0))</f>
        <v>←停留所idを選択</v>
      </c>
      <c r="D1422" s="5"/>
      <c r="E1422" s="5"/>
      <c r="F1422" s="6"/>
    </row>
    <row r="1423" spans="1:6" x14ac:dyDescent="0.2">
      <c r="A1423" s="2">
        <v>1422</v>
      </c>
      <c r="B1423" s="5"/>
      <c r="C1423" s="10" t="str">
        <f>IF(B1423="","←停留所idを選択",VLOOKUP(B1423,'06停留所'!$B$2:$C$10500,2,0))</f>
        <v>←停留所idを選択</v>
      </c>
      <c r="D1423" s="5"/>
      <c r="E1423" s="5"/>
      <c r="F1423" s="6"/>
    </row>
    <row r="1424" spans="1:6" x14ac:dyDescent="0.2">
      <c r="A1424" s="2">
        <v>1423</v>
      </c>
      <c r="B1424" s="5"/>
      <c r="C1424" s="10" t="str">
        <f>IF(B1424="","←停留所idを選択",VLOOKUP(B1424,'06停留所'!$B$2:$C$10500,2,0))</f>
        <v>←停留所idを選択</v>
      </c>
      <c r="D1424" s="5"/>
      <c r="E1424" s="5"/>
      <c r="F1424" s="6"/>
    </row>
    <row r="1425" spans="1:6" x14ac:dyDescent="0.2">
      <c r="A1425" s="2">
        <v>1424</v>
      </c>
      <c r="B1425" s="5"/>
      <c r="C1425" s="10" t="str">
        <f>IF(B1425="","←停留所idを選択",VLOOKUP(B1425,'06停留所'!$B$2:$C$10500,2,0))</f>
        <v>←停留所idを選択</v>
      </c>
      <c r="D1425" s="5"/>
      <c r="E1425" s="5"/>
      <c r="F1425" s="6"/>
    </row>
    <row r="1426" spans="1:6" x14ac:dyDescent="0.2">
      <c r="A1426" s="2">
        <v>1425</v>
      </c>
      <c r="B1426" s="5"/>
      <c r="C1426" s="10" t="str">
        <f>IF(B1426="","←停留所idを選択",VLOOKUP(B1426,'06停留所'!$B$2:$C$10500,2,0))</f>
        <v>←停留所idを選択</v>
      </c>
      <c r="D1426" s="5"/>
      <c r="E1426" s="5"/>
      <c r="F1426" s="6"/>
    </row>
    <row r="1427" spans="1:6" x14ac:dyDescent="0.2">
      <c r="A1427" s="2">
        <v>1426</v>
      </c>
      <c r="B1427" s="5"/>
      <c r="C1427" s="10" t="str">
        <f>IF(B1427="","←停留所idを選択",VLOOKUP(B1427,'06停留所'!$B$2:$C$10500,2,0))</f>
        <v>←停留所idを選択</v>
      </c>
      <c r="D1427" s="5"/>
      <c r="E1427" s="5"/>
      <c r="F1427" s="6"/>
    </row>
    <row r="1428" spans="1:6" x14ac:dyDescent="0.2">
      <c r="A1428" s="2">
        <v>1427</v>
      </c>
      <c r="B1428" s="5"/>
      <c r="C1428" s="10" t="str">
        <f>IF(B1428="","←停留所idを選択",VLOOKUP(B1428,'06停留所'!$B$2:$C$10500,2,0))</f>
        <v>←停留所idを選択</v>
      </c>
      <c r="D1428" s="5"/>
      <c r="E1428" s="5"/>
      <c r="F1428" s="6"/>
    </row>
    <row r="1429" spans="1:6" x14ac:dyDescent="0.2">
      <c r="A1429" s="2">
        <v>1428</v>
      </c>
      <c r="B1429" s="5"/>
      <c r="C1429" s="10" t="str">
        <f>IF(B1429="","←停留所idを選択",VLOOKUP(B1429,'06停留所'!$B$2:$C$10500,2,0))</f>
        <v>←停留所idを選択</v>
      </c>
      <c r="D1429" s="5"/>
      <c r="E1429" s="5"/>
      <c r="F1429" s="6"/>
    </row>
    <row r="1430" spans="1:6" x14ac:dyDescent="0.2">
      <c r="A1430" s="2">
        <v>1429</v>
      </c>
      <c r="B1430" s="5"/>
      <c r="C1430" s="10" t="str">
        <f>IF(B1430="","←停留所idを選択",VLOOKUP(B1430,'06停留所'!$B$2:$C$10500,2,0))</f>
        <v>←停留所idを選択</v>
      </c>
      <c r="D1430" s="5"/>
      <c r="E1430" s="5"/>
      <c r="F1430" s="6"/>
    </row>
    <row r="1431" spans="1:6" x14ac:dyDescent="0.2">
      <c r="A1431" s="2">
        <v>1430</v>
      </c>
      <c r="B1431" s="5"/>
      <c r="C1431" s="10" t="str">
        <f>IF(B1431="","←停留所idを選択",VLOOKUP(B1431,'06停留所'!$B$2:$C$10500,2,0))</f>
        <v>←停留所idを選択</v>
      </c>
      <c r="D1431" s="5"/>
      <c r="E1431" s="5"/>
      <c r="F1431" s="6"/>
    </row>
    <row r="1432" spans="1:6" x14ac:dyDescent="0.2">
      <c r="A1432" s="2">
        <v>1431</v>
      </c>
      <c r="B1432" s="5"/>
      <c r="C1432" s="10" t="str">
        <f>IF(B1432="","←停留所idを選択",VLOOKUP(B1432,'06停留所'!$B$2:$C$10500,2,0))</f>
        <v>←停留所idを選択</v>
      </c>
      <c r="D1432" s="5"/>
      <c r="E1432" s="5"/>
      <c r="F1432" s="6"/>
    </row>
    <row r="1433" spans="1:6" x14ac:dyDescent="0.2">
      <c r="A1433" s="2">
        <v>1432</v>
      </c>
      <c r="B1433" s="5"/>
      <c r="C1433" s="10" t="str">
        <f>IF(B1433="","←停留所idを選択",VLOOKUP(B1433,'06停留所'!$B$2:$C$10500,2,0))</f>
        <v>←停留所idを選択</v>
      </c>
      <c r="D1433" s="5"/>
      <c r="E1433" s="5"/>
      <c r="F1433" s="6"/>
    </row>
    <row r="1434" spans="1:6" x14ac:dyDescent="0.2">
      <c r="A1434" s="2">
        <v>1433</v>
      </c>
      <c r="B1434" s="5"/>
      <c r="C1434" s="10" t="str">
        <f>IF(B1434="","←停留所idを選択",VLOOKUP(B1434,'06停留所'!$B$2:$C$10500,2,0))</f>
        <v>←停留所idを選択</v>
      </c>
      <c r="D1434" s="5"/>
      <c r="E1434" s="5"/>
      <c r="F1434" s="6"/>
    </row>
    <row r="1435" spans="1:6" x14ac:dyDescent="0.2">
      <c r="A1435" s="2">
        <v>1434</v>
      </c>
      <c r="B1435" s="5"/>
      <c r="C1435" s="10" t="str">
        <f>IF(B1435="","←停留所idを選択",VLOOKUP(B1435,'06停留所'!$B$2:$C$10500,2,0))</f>
        <v>←停留所idを選択</v>
      </c>
      <c r="D1435" s="5"/>
      <c r="E1435" s="5"/>
      <c r="F1435" s="6"/>
    </row>
    <row r="1436" spans="1:6" x14ac:dyDescent="0.2">
      <c r="A1436" s="2">
        <v>1435</v>
      </c>
      <c r="B1436" s="5"/>
      <c r="C1436" s="10" t="str">
        <f>IF(B1436="","←停留所idを選択",VLOOKUP(B1436,'06停留所'!$B$2:$C$10500,2,0))</f>
        <v>←停留所idを選択</v>
      </c>
      <c r="D1436" s="5"/>
      <c r="E1436" s="5"/>
      <c r="F1436" s="6"/>
    </row>
    <row r="1437" spans="1:6" x14ac:dyDescent="0.2">
      <c r="A1437" s="2">
        <v>1436</v>
      </c>
      <c r="B1437" s="5"/>
      <c r="C1437" s="10" t="str">
        <f>IF(B1437="","←停留所idを選択",VLOOKUP(B1437,'06停留所'!$B$2:$C$10500,2,0))</f>
        <v>←停留所idを選択</v>
      </c>
      <c r="D1437" s="5"/>
      <c r="E1437" s="5"/>
      <c r="F1437" s="6"/>
    </row>
    <row r="1438" spans="1:6" x14ac:dyDescent="0.2">
      <c r="A1438" s="2">
        <v>1437</v>
      </c>
      <c r="B1438" s="5"/>
      <c r="C1438" s="10" t="str">
        <f>IF(B1438="","←停留所idを選択",VLOOKUP(B1438,'06停留所'!$B$2:$C$10500,2,0))</f>
        <v>←停留所idを選択</v>
      </c>
      <c r="D1438" s="5"/>
      <c r="E1438" s="5"/>
      <c r="F1438" s="6"/>
    </row>
    <row r="1439" spans="1:6" x14ac:dyDescent="0.2">
      <c r="A1439" s="2">
        <v>1438</v>
      </c>
      <c r="B1439" s="5"/>
      <c r="C1439" s="10" t="str">
        <f>IF(B1439="","←停留所idを選択",VLOOKUP(B1439,'06停留所'!$B$2:$C$10500,2,0))</f>
        <v>←停留所idを選択</v>
      </c>
      <c r="D1439" s="5"/>
      <c r="E1439" s="5"/>
      <c r="F1439" s="6"/>
    </row>
    <row r="1440" spans="1:6" x14ac:dyDescent="0.2">
      <c r="A1440" s="2">
        <v>1439</v>
      </c>
      <c r="B1440" s="5"/>
      <c r="C1440" s="10" t="str">
        <f>IF(B1440="","←停留所idを選択",VLOOKUP(B1440,'06停留所'!$B$2:$C$10500,2,0))</f>
        <v>←停留所idを選択</v>
      </c>
      <c r="D1440" s="5"/>
      <c r="E1440" s="5"/>
      <c r="F1440" s="6"/>
    </row>
    <row r="1441" spans="1:6" x14ac:dyDescent="0.2">
      <c r="A1441" s="2">
        <v>1440</v>
      </c>
      <c r="B1441" s="5"/>
      <c r="C1441" s="10" t="str">
        <f>IF(B1441="","←停留所idを選択",VLOOKUP(B1441,'06停留所'!$B$2:$C$10500,2,0))</f>
        <v>←停留所idを選択</v>
      </c>
      <c r="D1441" s="5"/>
      <c r="E1441" s="5"/>
      <c r="F1441" s="6"/>
    </row>
    <row r="1442" spans="1:6" x14ac:dyDescent="0.2">
      <c r="A1442" s="2">
        <v>1441</v>
      </c>
      <c r="B1442" s="5"/>
      <c r="C1442" s="10" t="str">
        <f>IF(B1442="","←停留所idを選択",VLOOKUP(B1442,'06停留所'!$B$2:$C$10500,2,0))</f>
        <v>←停留所idを選択</v>
      </c>
      <c r="D1442" s="5"/>
      <c r="E1442" s="5"/>
      <c r="F1442" s="6"/>
    </row>
    <row r="1443" spans="1:6" x14ac:dyDescent="0.2">
      <c r="A1443" s="2">
        <v>1442</v>
      </c>
      <c r="B1443" s="5"/>
      <c r="C1443" s="10" t="str">
        <f>IF(B1443="","←停留所idを選択",VLOOKUP(B1443,'06停留所'!$B$2:$C$10500,2,0))</f>
        <v>←停留所idを選択</v>
      </c>
      <c r="D1443" s="5"/>
      <c r="E1443" s="5"/>
      <c r="F1443" s="6"/>
    </row>
    <row r="1444" spans="1:6" x14ac:dyDescent="0.2">
      <c r="A1444" s="2">
        <v>1443</v>
      </c>
      <c r="B1444" s="5"/>
      <c r="C1444" s="10" t="str">
        <f>IF(B1444="","←停留所idを選択",VLOOKUP(B1444,'06停留所'!$B$2:$C$10500,2,0))</f>
        <v>←停留所idを選択</v>
      </c>
      <c r="D1444" s="5"/>
      <c r="E1444" s="5"/>
      <c r="F1444" s="6"/>
    </row>
    <row r="1445" spans="1:6" x14ac:dyDescent="0.2">
      <c r="A1445" s="2">
        <v>1444</v>
      </c>
      <c r="B1445" s="5"/>
      <c r="C1445" s="10" t="str">
        <f>IF(B1445="","←停留所idを選択",VLOOKUP(B1445,'06停留所'!$B$2:$C$10500,2,0))</f>
        <v>←停留所idを選択</v>
      </c>
      <c r="D1445" s="5"/>
      <c r="E1445" s="5"/>
      <c r="F1445" s="6"/>
    </row>
    <row r="1446" spans="1:6" x14ac:dyDescent="0.2">
      <c r="A1446" s="2">
        <v>1445</v>
      </c>
      <c r="B1446" s="5"/>
      <c r="C1446" s="10" t="str">
        <f>IF(B1446="","←停留所idを選択",VLOOKUP(B1446,'06停留所'!$B$2:$C$10500,2,0))</f>
        <v>←停留所idを選択</v>
      </c>
      <c r="D1446" s="5"/>
      <c r="E1446" s="5"/>
      <c r="F1446" s="6"/>
    </row>
    <row r="1447" spans="1:6" x14ac:dyDescent="0.2">
      <c r="A1447" s="2">
        <v>1446</v>
      </c>
      <c r="B1447" s="5"/>
      <c r="C1447" s="10" t="str">
        <f>IF(B1447="","←停留所idを選択",VLOOKUP(B1447,'06停留所'!$B$2:$C$10500,2,0))</f>
        <v>←停留所idを選択</v>
      </c>
      <c r="D1447" s="5"/>
      <c r="E1447" s="5"/>
      <c r="F1447" s="6"/>
    </row>
    <row r="1448" spans="1:6" x14ac:dyDescent="0.2">
      <c r="A1448" s="2">
        <v>1447</v>
      </c>
      <c r="B1448" s="5"/>
      <c r="C1448" s="10" t="str">
        <f>IF(B1448="","←停留所idを選択",VLOOKUP(B1448,'06停留所'!$B$2:$C$10500,2,0))</f>
        <v>←停留所idを選択</v>
      </c>
      <c r="D1448" s="5"/>
      <c r="E1448" s="5"/>
      <c r="F1448" s="6"/>
    </row>
    <row r="1449" spans="1:6" x14ac:dyDescent="0.2">
      <c r="A1449" s="2">
        <v>1448</v>
      </c>
      <c r="B1449" s="5"/>
      <c r="C1449" s="10" t="str">
        <f>IF(B1449="","←停留所idを選択",VLOOKUP(B1449,'06停留所'!$B$2:$C$10500,2,0))</f>
        <v>←停留所idを選択</v>
      </c>
      <c r="D1449" s="5"/>
      <c r="E1449" s="5"/>
      <c r="F1449" s="6"/>
    </row>
    <row r="1450" spans="1:6" x14ac:dyDescent="0.2">
      <c r="A1450" s="2">
        <v>1449</v>
      </c>
      <c r="B1450" s="5"/>
      <c r="C1450" s="10" t="str">
        <f>IF(B1450="","←停留所idを選択",VLOOKUP(B1450,'06停留所'!$B$2:$C$10500,2,0))</f>
        <v>←停留所idを選択</v>
      </c>
      <c r="D1450" s="5"/>
      <c r="E1450" s="5"/>
      <c r="F1450" s="6"/>
    </row>
    <row r="1451" spans="1:6" x14ac:dyDescent="0.2">
      <c r="A1451" s="2">
        <v>1450</v>
      </c>
      <c r="B1451" s="5"/>
      <c r="C1451" s="10" t="str">
        <f>IF(B1451="","←停留所idを選択",VLOOKUP(B1451,'06停留所'!$B$2:$C$10500,2,0))</f>
        <v>←停留所idを選択</v>
      </c>
      <c r="D1451" s="5"/>
      <c r="E1451" s="5"/>
      <c r="F1451" s="6"/>
    </row>
    <row r="1452" spans="1:6" x14ac:dyDescent="0.2">
      <c r="A1452" s="2">
        <v>1451</v>
      </c>
      <c r="B1452" s="5"/>
      <c r="C1452" s="10" t="str">
        <f>IF(B1452="","←停留所idを選択",VLOOKUP(B1452,'06停留所'!$B$2:$C$10500,2,0))</f>
        <v>←停留所idを選択</v>
      </c>
      <c r="D1452" s="5"/>
      <c r="E1452" s="5"/>
      <c r="F1452" s="6"/>
    </row>
    <row r="1453" spans="1:6" x14ac:dyDescent="0.2">
      <c r="A1453" s="2">
        <v>1452</v>
      </c>
      <c r="B1453" s="5"/>
      <c r="C1453" s="10" t="str">
        <f>IF(B1453="","←停留所idを選択",VLOOKUP(B1453,'06停留所'!$B$2:$C$10500,2,0))</f>
        <v>←停留所idを選択</v>
      </c>
      <c r="D1453" s="5"/>
      <c r="E1453" s="5"/>
      <c r="F1453" s="6"/>
    </row>
    <row r="1454" spans="1:6" x14ac:dyDescent="0.2">
      <c r="A1454" s="2">
        <v>1453</v>
      </c>
      <c r="B1454" s="5"/>
      <c r="C1454" s="10" t="str">
        <f>IF(B1454="","←停留所idを選択",VLOOKUP(B1454,'06停留所'!$B$2:$C$10500,2,0))</f>
        <v>←停留所idを選択</v>
      </c>
      <c r="D1454" s="5"/>
      <c r="E1454" s="5"/>
      <c r="F1454" s="6"/>
    </row>
    <row r="1455" spans="1:6" x14ac:dyDescent="0.2">
      <c r="A1455" s="2">
        <v>1454</v>
      </c>
      <c r="B1455" s="5"/>
      <c r="C1455" s="10" t="str">
        <f>IF(B1455="","←停留所idを選択",VLOOKUP(B1455,'06停留所'!$B$2:$C$10500,2,0))</f>
        <v>←停留所idを選択</v>
      </c>
      <c r="D1455" s="5"/>
      <c r="E1455" s="5"/>
      <c r="F1455" s="6"/>
    </row>
    <row r="1456" spans="1:6" x14ac:dyDescent="0.2">
      <c r="A1456" s="2">
        <v>1455</v>
      </c>
      <c r="B1456" s="5"/>
      <c r="C1456" s="10" t="str">
        <f>IF(B1456="","←停留所idを選択",VLOOKUP(B1456,'06停留所'!$B$2:$C$10500,2,0))</f>
        <v>←停留所idを選択</v>
      </c>
      <c r="D1456" s="5"/>
      <c r="E1456" s="5"/>
      <c r="F1456" s="6"/>
    </row>
    <row r="1457" spans="1:6" x14ac:dyDescent="0.2">
      <c r="A1457" s="2">
        <v>1456</v>
      </c>
      <c r="B1457" s="5"/>
      <c r="C1457" s="10" t="str">
        <f>IF(B1457="","←停留所idを選択",VLOOKUP(B1457,'06停留所'!$B$2:$C$10500,2,0))</f>
        <v>←停留所idを選択</v>
      </c>
      <c r="D1457" s="5"/>
      <c r="E1457" s="5"/>
      <c r="F1457" s="6"/>
    </row>
    <row r="1458" spans="1:6" x14ac:dyDescent="0.2">
      <c r="A1458" s="2">
        <v>1457</v>
      </c>
      <c r="B1458" s="5"/>
      <c r="C1458" s="10" t="str">
        <f>IF(B1458="","←停留所idを選択",VLOOKUP(B1458,'06停留所'!$B$2:$C$10500,2,0))</f>
        <v>←停留所idを選択</v>
      </c>
      <c r="D1458" s="5"/>
      <c r="E1458" s="5"/>
      <c r="F1458" s="6"/>
    </row>
    <row r="1459" spans="1:6" x14ac:dyDescent="0.2">
      <c r="A1459" s="2">
        <v>1458</v>
      </c>
      <c r="B1459" s="5"/>
      <c r="C1459" s="10" t="str">
        <f>IF(B1459="","←停留所idを選択",VLOOKUP(B1459,'06停留所'!$B$2:$C$10500,2,0))</f>
        <v>←停留所idを選択</v>
      </c>
      <c r="D1459" s="5"/>
      <c r="E1459" s="5"/>
      <c r="F1459" s="6"/>
    </row>
    <row r="1460" spans="1:6" x14ac:dyDescent="0.2">
      <c r="A1460" s="2">
        <v>1459</v>
      </c>
      <c r="B1460" s="5"/>
      <c r="C1460" s="10" t="str">
        <f>IF(B1460="","←停留所idを選択",VLOOKUP(B1460,'06停留所'!$B$2:$C$10500,2,0))</f>
        <v>←停留所idを選択</v>
      </c>
      <c r="D1460" s="5"/>
      <c r="E1460" s="5"/>
      <c r="F1460" s="6"/>
    </row>
    <row r="1461" spans="1:6" x14ac:dyDescent="0.2">
      <c r="A1461" s="2">
        <v>1460</v>
      </c>
      <c r="B1461" s="5"/>
      <c r="C1461" s="10" t="str">
        <f>IF(B1461="","←停留所idを選択",VLOOKUP(B1461,'06停留所'!$B$2:$C$10500,2,0))</f>
        <v>←停留所idを選択</v>
      </c>
      <c r="D1461" s="5"/>
      <c r="E1461" s="5"/>
      <c r="F1461" s="6"/>
    </row>
    <row r="1462" spans="1:6" x14ac:dyDescent="0.2">
      <c r="A1462" s="2">
        <v>1461</v>
      </c>
      <c r="B1462" s="5"/>
      <c r="C1462" s="10" t="str">
        <f>IF(B1462="","←停留所idを選択",VLOOKUP(B1462,'06停留所'!$B$2:$C$10500,2,0))</f>
        <v>←停留所idを選択</v>
      </c>
      <c r="D1462" s="5"/>
      <c r="E1462" s="5"/>
      <c r="F1462" s="6"/>
    </row>
    <row r="1463" spans="1:6" x14ac:dyDescent="0.2">
      <c r="A1463" s="2">
        <v>1462</v>
      </c>
      <c r="B1463" s="5"/>
      <c r="C1463" s="10" t="str">
        <f>IF(B1463="","←停留所idを選択",VLOOKUP(B1463,'06停留所'!$B$2:$C$10500,2,0))</f>
        <v>←停留所idを選択</v>
      </c>
      <c r="D1463" s="5"/>
      <c r="E1463" s="5"/>
      <c r="F1463" s="6"/>
    </row>
    <row r="1464" spans="1:6" x14ac:dyDescent="0.2">
      <c r="A1464" s="2">
        <v>1463</v>
      </c>
      <c r="B1464" s="5"/>
      <c r="C1464" s="10" t="str">
        <f>IF(B1464="","←停留所idを選択",VLOOKUP(B1464,'06停留所'!$B$2:$C$10500,2,0))</f>
        <v>←停留所idを選択</v>
      </c>
      <c r="D1464" s="5"/>
      <c r="E1464" s="5"/>
      <c r="F1464" s="6"/>
    </row>
    <row r="1465" spans="1:6" x14ac:dyDescent="0.2">
      <c r="A1465" s="2">
        <v>1464</v>
      </c>
      <c r="B1465" s="5"/>
      <c r="C1465" s="10" t="str">
        <f>IF(B1465="","←停留所idを選択",VLOOKUP(B1465,'06停留所'!$B$2:$C$10500,2,0))</f>
        <v>←停留所idを選択</v>
      </c>
      <c r="D1465" s="5"/>
      <c r="E1465" s="5"/>
      <c r="F1465" s="6"/>
    </row>
    <row r="1466" spans="1:6" x14ac:dyDescent="0.2">
      <c r="A1466" s="2">
        <v>1465</v>
      </c>
      <c r="B1466" s="5"/>
      <c r="C1466" s="10" t="str">
        <f>IF(B1466="","←停留所idを選択",VLOOKUP(B1466,'06停留所'!$B$2:$C$10500,2,0))</f>
        <v>←停留所idを選択</v>
      </c>
      <c r="D1466" s="5"/>
      <c r="E1466" s="5"/>
      <c r="F1466" s="6"/>
    </row>
    <row r="1467" spans="1:6" x14ac:dyDescent="0.2">
      <c r="A1467" s="2">
        <v>1466</v>
      </c>
      <c r="B1467" s="5"/>
      <c r="C1467" s="10" t="str">
        <f>IF(B1467="","←停留所idを選択",VLOOKUP(B1467,'06停留所'!$B$2:$C$10500,2,0))</f>
        <v>←停留所idを選択</v>
      </c>
      <c r="D1467" s="5"/>
      <c r="E1467" s="5"/>
      <c r="F1467" s="6"/>
    </row>
    <row r="1468" spans="1:6" x14ac:dyDescent="0.2">
      <c r="A1468" s="2">
        <v>1467</v>
      </c>
      <c r="B1468" s="5"/>
      <c r="C1468" s="10" t="str">
        <f>IF(B1468="","←停留所idを選択",VLOOKUP(B1468,'06停留所'!$B$2:$C$10500,2,0))</f>
        <v>←停留所idを選択</v>
      </c>
      <c r="D1468" s="5"/>
      <c r="E1468" s="5"/>
      <c r="F1468" s="6"/>
    </row>
    <row r="1469" spans="1:6" x14ac:dyDescent="0.2">
      <c r="A1469" s="2">
        <v>1468</v>
      </c>
      <c r="B1469" s="5"/>
      <c r="C1469" s="10" t="str">
        <f>IF(B1469="","←停留所idを選択",VLOOKUP(B1469,'06停留所'!$B$2:$C$10500,2,0))</f>
        <v>←停留所idを選択</v>
      </c>
      <c r="D1469" s="5"/>
      <c r="E1469" s="5"/>
      <c r="F1469" s="6"/>
    </row>
    <row r="1470" spans="1:6" x14ac:dyDescent="0.2">
      <c r="A1470" s="2">
        <v>1469</v>
      </c>
      <c r="B1470" s="5"/>
      <c r="C1470" s="10" t="str">
        <f>IF(B1470="","←停留所idを選択",VLOOKUP(B1470,'06停留所'!$B$2:$C$10500,2,0))</f>
        <v>←停留所idを選択</v>
      </c>
      <c r="D1470" s="5"/>
      <c r="E1470" s="5"/>
      <c r="F1470" s="6"/>
    </row>
    <row r="1471" spans="1:6" x14ac:dyDescent="0.2">
      <c r="A1471" s="2">
        <v>1470</v>
      </c>
      <c r="B1471" s="5"/>
      <c r="C1471" s="10" t="str">
        <f>IF(B1471="","←停留所idを選択",VLOOKUP(B1471,'06停留所'!$B$2:$C$10500,2,0))</f>
        <v>←停留所idを選択</v>
      </c>
      <c r="D1471" s="5"/>
      <c r="E1471" s="5"/>
      <c r="F1471" s="6"/>
    </row>
    <row r="1472" spans="1:6" x14ac:dyDescent="0.2">
      <c r="A1472" s="2">
        <v>1471</v>
      </c>
      <c r="B1472" s="5"/>
      <c r="C1472" s="10" t="str">
        <f>IF(B1472="","←停留所idを選択",VLOOKUP(B1472,'06停留所'!$B$2:$C$10500,2,0))</f>
        <v>←停留所idを選択</v>
      </c>
      <c r="D1472" s="5"/>
      <c r="E1472" s="5"/>
      <c r="F1472" s="6"/>
    </row>
    <row r="1473" spans="1:6" x14ac:dyDescent="0.2">
      <c r="A1473" s="2">
        <v>1472</v>
      </c>
      <c r="B1473" s="5"/>
      <c r="C1473" s="10" t="str">
        <f>IF(B1473="","←停留所idを選択",VLOOKUP(B1473,'06停留所'!$B$2:$C$10500,2,0))</f>
        <v>←停留所idを選択</v>
      </c>
      <c r="D1473" s="5"/>
      <c r="E1473" s="5"/>
      <c r="F1473" s="6"/>
    </row>
    <row r="1474" spans="1:6" x14ac:dyDescent="0.2">
      <c r="A1474" s="2">
        <v>1473</v>
      </c>
      <c r="B1474" s="5"/>
      <c r="C1474" s="10" t="str">
        <f>IF(B1474="","←停留所idを選択",VLOOKUP(B1474,'06停留所'!$B$2:$C$10500,2,0))</f>
        <v>←停留所idを選択</v>
      </c>
      <c r="D1474" s="5"/>
      <c r="E1474" s="5"/>
      <c r="F1474" s="6"/>
    </row>
    <row r="1475" spans="1:6" x14ac:dyDescent="0.2">
      <c r="A1475" s="2">
        <v>1474</v>
      </c>
      <c r="B1475" s="5"/>
      <c r="C1475" s="10" t="str">
        <f>IF(B1475="","←停留所idを選択",VLOOKUP(B1475,'06停留所'!$B$2:$C$10500,2,0))</f>
        <v>←停留所idを選択</v>
      </c>
      <c r="D1475" s="5"/>
      <c r="E1475" s="5"/>
      <c r="F1475" s="6"/>
    </row>
    <row r="1476" spans="1:6" x14ac:dyDescent="0.2">
      <c r="A1476" s="2">
        <v>1475</v>
      </c>
      <c r="B1476" s="5"/>
      <c r="C1476" s="10" t="str">
        <f>IF(B1476="","←停留所idを選択",VLOOKUP(B1476,'06停留所'!$B$2:$C$10500,2,0))</f>
        <v>←停留所idを選択</v>
      </c>
      <c r="D1476" s="5"/>
      <c r="E1476" s="5"/>
      <c r="F1476" s="6"/>
    </row>
    <row r="1477" spans="1:6" x14ac:dyDescent="0.2">
      <c r="A1477" s="2">
        <v>1476</v>
      </c>
      <c r="B1477" s="5"/>
      <c r="C1477" s="10" t="str">
        <f>IF(B1477="","←停留所idを選択",VLOOKUP(B1477,'06停留所'!$B$2:$C$10500,2,0))</f>
        <v>←停留所idを選択</v>
      </c>
      <c r="D1477" s="5"/>
      <c r="E1477" s="5"/>
      <c r="F1477" s="6"/>
    </row>
    <row r="1478" spans="1:6" x14ac:dyDescent="0.2">
      <c r="A1478" s="2">
        <v>1477</v>
      </c>
      <c r="B1478" s="5"/>
      <c r="C1478" s="10" t="str">
        <f>IF(B1478="","←停留所idを選択",VLOOKUP(B1478,'06停留所'!$B$2:$C$10500,2,0))</f>
        <v>←停留所idを選択</v>
      </c>
      <c r="D1478" s="5"/>
      <c r="E1478" s="5"/>
      <c r="F1478" s="6"/>
    </row>
    <row r="1479" spans="1:6" x14ac:dyDescent="0.2">
      <c r="A1479" s="2">
        <v>1478</v>
      </c>
      <c r="B1479" s="5"/>
      <c r="C1479" s="10" t="str">
        <f>IF(B1479="","←停留所idを選択",VLOOKUP(B1479,'06停留所'!$B$2:$C$10500,2,0))</f>
        <v>←停留所idを選択</v>
      </c>
      <c r="D1479" s="5"/>
      <c r="E1479" s="5"/>
      <c r="F1479" s="6"/>
    </row>
    <row r="1480" spans="1:6" x14ac:dyDescent="0.2">
      <c r="A1480" s="2">
        <v>1479</v>
      </c>
      <c r="B1480" s="5"/>
      <c r="C1480" s="10" t="str">
        <f>IF(B1480="","←停留所idを選択",VLOOKUP(B1480,'06停留所'!$B$2:$C$10500,2,0))</f>
        <v>←停留所idを選択</v>
      </c>
      <c r="D1480" s="5"/>
      <c r="E1480" s="5"/>
      <c r="F1480" s="6"/>
    </row>
    <row r="1481" spans="1:6" x14ac:dyDescent="0.2">
      <c r="A1481" s="2">
        <v>1480</v>
      </c>
      <c r="B1481" s="5"/>
      <c r="C1481" s="10" t="str">
        <f>IF(B1481="","←停留所idを選択",VLOOKUP(B1481,'06停留所'!$B$2:$C$10500,2,0))</f>
        <v>←停留所idを選択</v>
      </c>
      <c r="D1481" s="5"/>
      <c r="E1481" s="5"/>
      <c r="F1481" s="6"/>
    </row>
    <row r="1482" spans="1:6" x14ac:dyDescent="0.2">
      <c r="A1482" s="2">
        <v>1481</v>
      </c>
      <c r="B1482" s="5"/>
      <c r="C1482" s="10" t="str">
        <f>IF(B1482="","←停留所idを選択",VLOOKUP(B1482,'06停留所'!$B$2:$C$10500,2,0))</f>
        <v>←停留所idを選択</v>
      </c>
      <c r="D1482" s="5"/>
      <c r="E1482" s="5"/>
      <c r="F1482" s="6"/>
    </row>
    <row r="1483" spans="1:6" x14ac:dyDescent="0.2">
      <c r="A1483" s="2">
        <v>1482</v>
      </c>
      <c r="B1483" s="5"/>
      <c r="C1483" s="10" t="str">
        <f>IF(B1483="","←停留所idを選択",VLOOKUP(B1483,'06停留所'!$B$2:$C$10500,2,0))</f>
        <v>←停留所idを選択</v>
      </c>
      <c r="D1483" s="5"/>
      <c r="E1483" s="5"/>
      <c r="F1483" s="6"/>
    </row>
    <row r="1484" spans="1:6" x14ac:dyDescent="0.2">
      <c r="A1484" s="2">
        <v>1483</v>
      </c>
      <c r="B1484" s="5"/>
      <c r="C1484" s="10" t="str">
        <f>IF(B1484="","←停留所idを選択",VLOOKUP(B1484,'06停留所'!$B$2:$C$10500,2,0))</f>
        <v>←停留所idを選択</v>
      </c>
      <c r="D1484" s="5"/>
      <c r="E1484" s="5"/>
      <c r="F1484" s="6"/>
    </row>
    <row r="1485" spans="1:6" x14ac:dyDescent="0.2">
      <c r="A1485" s="2">
        <v>1484</v>
      </c>
      <c r="B1485" s="5"/>
      <c r="C1485" s="10" t="str">
        <f>IF(B1485="","←停留所idを選択",VLOOKUP(B1485,'06停留所'!$B$2:$C$10500,2,0))</f>
        <v>←停留所idを選択</v>
      </c>
      <c r="D1485" s="5"/>
      <c r="E1485" s="5"/>
      <c r="F1485" s="6"/>
    </row>
    <row r="1486" spans="1:6" x14ac:dyDescent="0.2">
      <c r="A1486" s="2">
        <v>1485</v>
      </c>
      <c r="B1486" s="5"/>
      <c r="C1486" s="10" t="str">
        <f>IF(B1486="","←停留所idを選択",VLOOKUP(B1486,'06停留所'!$B$2:$C$10500,2,0))</f>
        <v>←停留所idを選択</v>
      </c>
      <c r="D1486" s="5"/>
      <c r="E1486" s="5"/>
      <c r="F1486" s="6"/>
    </row>
    <row r="1487" spans="1:6" x14ac:dyDescent="0.2">
      <c r="A1487" s="2">
        <v>1486</v>
      </c>
      <c r="B1487" s="5"/>
      <c r="C1487" s="10" t="str">
        <f>IF(B1487="","←停留所idを選択",VLOOKUP(B1487,'06停留所'!$B$2:$C$10500,2,0))</f>
        <v>←停留所idを選択</v>
      </c>
      <c r="D1487" s="5"/>
      <c r="E1487" s="5"/>
      <c r="F1487" s="6"/>
    </row>
    <row r="1488" spans="1:6" x14ac:dyDescent="0.2">
      <c r="A1488" s="2">
        <v>1487</v>
      </c>
      <c r="B1488" s="5"/>
      <c r="C1488" s="10" t="str">
        <f>IF(B1488="","←停留所idを選択",VLOOKUP(B1488,'06停留所'!$B$2:$C$10500,2,0))</f>
        <v>←停留所idを選択</v>
      </c>
      <c r="D1488" s="5"/>
      <c r="E1488" s="5"/>
      <c r="F1488" s="6"/>
    </row>
    <row r="1489" spans="1:6" x14ac:dyDescent="0.2">
      <c r="A1489" s="2">
        <v>1488</v>
      </c>
      <c r="B1489" s="5"/>
      <c r="C1489" s="10" t="str">
        <f>IF(B1489="","←停留所idを選択",VLOOKUP(B1489,'06停留所'!$B$2:$C$10500,2,0))</f>
        <v>←停留所idを選択</v>
      </c>
      <c r="D1489" s="5"/>
      <c r="E1489" s="5"/>
      <c r="F1489" s="6"/>
    </row>
    <row r="1490" spans="1:6" x14ac:dyDescent="0.2">
      <c r="A1490" s="2">
        <v>1489</v>
      </c>
      <c r="B1490" s="5"/>
      <c r="C1490" s="10" t="str">
        <f>IF(B1490="","←停留所idを選択",VLOOKUP(B1490,'06停留所'!$B$2:$C$10500,2,0))</f>
        <v>←停留所idを選択</v>
      </c>
      <c r="D1490" s="5"/>
      <c r="E1490" s="5"/>
      <c r="F1490" s="6"/>
    </row>
    <row r="1491" spans="1:6" x14ac:dyDescent="0.2">
      <c r="A1491" s="2">
        <v>1490</v>
      </c>
      <c r="B1491" s="5"/>
      <c r="C1491" s="10" t="str">
        <f>IF(B1491="","←停留所idを選択",VLOOKUP(B1491,'06停留所'!$B$2:$C$10500,2,0))</f>
        <v>←停留所idを選択</v>
      </c>
      <c r="D1491" s="5"/>
      <c r="E1491" s="5"/>
      <c r="F1491" s="6"/>
    </row>
    <row r="1492" spans="1:6" x14ac:dyDescent="0.2">
      <c r="A1492" s="2">
        <v>1491</v>
      </c>
      <c r="B1492" s="5"/>
      <c r="C1492" s="10" t="str">
        <f>IF(B1492="","←停留所idを選択",VLOOKUP(B1492,'06停留所'!$B$2:$C$10500,2,0))</f>
        <v>←停留所idを選択</v>
      </c>
      <c r="D1492" s="5"/>
      <c r="E1492" s="5"/>
      <c r="F1492" s="6"/>
    </row>
    <row r="1493" spans="1:6" x14ac:dyDescent="0.2">
      <c r="A1493" s="2">
        <v>1492</v>
      </c>
      <c r="B1493" s="5"/>
      <c r="C1493" s="10" t="str">
        <f>IF(B1493="","←停留所idを選択",VLOOKUP(B1493,'06停留所'!$B$2:$C$10500,2,0))</f>
        <v>←停留所idを選択</v>
      </c>
      <c r="D1493" s="5"/>
      <c r="E1493" s="5"/>
      <c r="F1493" s="6"/>
    </row>
    <row r="1494" spans="1:6" x14ac:dyDescent="0.2">
      <c r="A1494" s="2">
        <v>1493</v>
      </c>
      <c r="B1494" s="5"/>
      <c r="C1494" s="10" t="str">
        <f>IF(B1494="","←停留所idを選択",VLOOKUP(B1494,'06停留所'!$B$2:$C$10500,2,0))</f>
        <v>←停留所idを選択</v>
      </c>
      <c r="D1494" s="5"/>
      <c r="E1494" s="5"/>
      <c r="F1494" s="6"/>
    </row>
    <row r="1495" spans="1:6" x14ac:dyDescent="0.2">
      <c r="A1495" s="2">
        <v>1494</v>
      </c>
      <c r="B1495" s="5"/>
      <c r="C1495" s="10" t="str">
        <f>IF(B1495="","←停留所idを選択",VLOOKUP(B1495,'06停留所'!$B$2:$C$10500,2,0))</f>
        <v>←停留所idを選択</v>
      </c>
      <c r="D1495" s="5"/>
      <c r="E1495" s="5"/>
      <c r="F1495" s="6"/>
    </row>
    <row r="1496" spans="1:6" x14ac:dyDescent="0.2">
      <c r="A1496" s="2">
        <v>1495</v>
      </c>
      <c r="B1496" s="5"/>
      <c r="C1496" s="10" t="str">
        <f>IF(B1496="","←停留所idを選択",VLOOKUP(B1496,'06停留所'!$B$2:$C$10500,2,0))</f>
        <v>←停留所idを選択</v>
      </c>
      <c r="D1496" s="5"/>
      <c r="E1496" s="5"/>
      <c r="F1496" s="6"/>
    </row>
    <row r="1497" spans="1:6" x14ac:dyDescent="0.2">
      <c r="A1497" s="2">
        <v>1496</v>
      </c>
      <c r="B1497" s="5"/>
      <c r="C1497" s="10" t="str">
        <f>IF(B1497="","←停留所idを選択",VLOOKUP(B1497,'06停留所'!$B$2:$C$10500,2,0))</f>
        <v>←停留所idを選択</v>
      </c>
      <c r="D1497" s="5"/>
      <c r="E1497" s="5"/>
      <c r="F1497" s="6"/>
    </row>
    <row r="1498" spans="1:6" x14ac:dyDescent="0.2">
      <c r="A1498" s="2">
        <v>1497</v>
      </c>
      <c r="B1498" s="5"/>
      <c r="C1498" s="10" t="str">
        <f>IF(B1498="","←停留所idを選択",VLOOKUP(B1498,'06停留所'!$B$2:$C$10500,2,0))</f>
        <v>←停留所idを選択</v>
      </c>
      <c r="D1498" s="5"/>
      <c r="E1498" s="5"/>
      <c r="F1498" s="6"/>
    </row>
    <row r="1499" spans="1:6" x14ac:dyDescent="0.2">
      <c r="A1499" s="2">
        <v>1498</v>
      </c>
      <c r="B1499" s="5"/>
      <c r="C1499" s="10" t="str">
        <f>IF(B1499="","←停留所idを選択",VLOOKUP(B1499,'06停留所'!$B$2:$C$10500,2,0))</f>
        <v>←停留所idを選択</v>
      </c>
      <c r="D1499" s="5"/>
      <c r="E1499" s="5"/>
      <c r="F1499" s="6"/>
    </row>
    <row r="1500" spans="1:6" x14ac:dyDescent="0.2">
      <c r="A1500" s="2">
        <v>1499</v>
      </c>
      <c r="B1500" s="5"/>
      <c r="C1500" s="10" t="str">
        <f>IF(B1500="","←停留所idを選択",VLOOKUP(B1500,'06停留所'!$B$2:$C$10500,2,0))</f>
        <v>←停留所idを選択</v>
      </c>
      <c r="D1500" s="5"/>
      <c r="E1500" s="5"/>
      <c r="F1500" s="6"/>
    </row>
    <row r="1501" spans="1:6" x14ac:dyDescent="0.2">
      <c r="A1501" s="2">
        <v>1500</v>
      </c>
      <c r="B1501" s="5"/>
      <c r="C1501" s="10" t="str">
        <f>IF(B1501="","←停留所idを選択",VLOOKUP(B1501,'06停留所'!$B$2:$C$10500,2,0))</f>
        <v>←停留所idを選択</v>
      </c>
      <c r="D1501" s="5"/>
      <c r="E1501" s="5"/>
      <c r="F1501" s="6"/>
    </row>
  </sheetData>
  <phoneticPr fontId="1"/>
  <dataValidations count="1">
    <dataValidation imeMode="hiragana" allowBlank="1" showInputMessage="1" showErrorMessage="1" sqref="F2:F2351" xr:uid="{3BE82ED3-9E0E-4D54-8174-445F76AEE65B}"/>
  </dataValidations>
  <pageMargins left="0.7" right="0.7" top="0.75" bottom="0.75" header="0.3" footer="0.3"/>
  <pageSetup paperSize="8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4B39A-4EB2-41A1-A4D9-E91B4D910A0D}">
  <sheetPr codeName="Sheet2"/>
  <dimension ref="A1:J100"/>
  <sheetViews>
    <sheetView workbookViewId="0"/>
  </sheetViews>
  <sheetFormatPr defaultRowHeight="13" x14ac:dyDescent="0.2"/>
  <cols>
    <col min="1" max="1" width="16.453125" style="26" customWidth="1"/>
    <col min="2" max="2" width="9.36328125" style="26" customWidth="1"/>
    <col min="3" max="3" width="9.36328125" style="170" customWidth="1"/>
    <col min="4" max="4" width="10.08984375" style="170" bestFit="1" customWidth="1"/>
    <col min="5" max="5" width="15.90625" style="26" customWidth="1"/>
    <col min="6" max="6" width="9" style="26" bestFit="1"/>
    <col min="7" max="7" width="9.36328125" style="170" customWidth="1"/>
    <col min="8" max="8" width="9.7265625" style="170" bestFit="1" customWidth="1"/>
    <col min="9" max="9" width="14.90625" style="26" customWidth="1"/>
    <col min="10" max="10" width="12.6328125" style="26" customWidth="1"/>
  </cols>
  <sheetData>
    <row r="1" spans="1:10" ht="26" x14ac:dyDescent="0.2">
      <c r="A1" s="166" t="s">
        <v>157</v>
      </c>
      <c r="B1" s="167" t="s">
        <v>158</v>
      </c>
      <c r="C1" s="168" t="s">
        <v>159</v>
      </c>
      <c r="D1" s="168" t="s">
        <v>160</v>
      </c>
      <c r="E1" s="166" t="s">
        <v>161</v>
      </c>
      <c r="F1" s="167" t="s">
        <v>162</v>
      </c>
      <c r="G1" s="168" t="s">
        <v>163</v>
      </c>
      <c r="H1" s="168" t="s">
        <v>164</v>
      </c>
      <c r="I1" s="166" t="s">
        <v>165</v>
      </c>
      <c r="J1" s="166" t="s">
        <v>166</v>
      </c>
    </row>
    <row r="2" spans="1:10" x14ac:dyDescent="0.2">
      <c r="A2" s="164"/>
      <c r="B2" s="164"/>
      <c r="C2" s="169" t="str">
        <f>IF(A2&lt;&gt;"",IF(B2="","XXX",VLOOKUP(D2*10+B2,'06停留所'!$B$2:$B$9999,1,FALSE)),"-")</f>
        <v>-</v>
      </c>
      <c r="D2" s="169" t="str">
        <f>IF(A2&lt;&gt;"",INT(VLOOKUPLEFT(A2,'06停留所'!$B$2:$C$9999,'06停留所'!$C$2:$C$9999,1)/10),"-")</f>
        <v>-</v>
      </c>
      <c r="E2" s="164"/>
      <c r="F2" s="164"/>
      <c r="G2" s="169" t="str">
        <f>IF(E2&lt;&gt;"",IF(F2="","XXX",VLOOKUP(H2*10+F2,'06停留所'!$B$2:$B$9999,1,FALSE)),"-")</f>
        <v>-</v>
      </c>
      <c r="H2" s="169" t="str">
        <f>IF(E2&lt;&gt;"",INT(VLOOKUPLEFT(E2,'06停留所'!$B$2:$C$9999,'06停留所'!$C$2:$C$9999,1)/10),"-")</f>
        <v>-</v>
      </c>
      <c r="I2" s="164"/>
      <c r="J2" s="164"/>
    </row>
    <row r="3" spans="1:10" x14ac:dyDescent="0.2">
      <c r="A3" s="165"/>
      <c r="B3" s="165"/>
      <c r="C3" s="169" t="str">
        <f>IF(A3&lt;&gt;"",IF(B3="","XXX",VLOOKUP(D3*10+B3,'06停留所'!$B$2:$B$9999,1,FALSE)),"-")</f>
        <v>-</v>
      </c>
      <c r="D3" s="169" t="str">
        <f>IF(A3&lt;&gt;"",INT(VLOOKUPLEFT(A3,'06停留所'!$B$2:$C$9999,'06停留所'!$C$2:$C$9999,1)/10),"-")</f>
        <v>-</v>
      </c>
      <c r="E3" s="165"/>
      <c r="F3" s="165"/>
      <c r="G3" s="169" t="str">
        <f>IF(E3&lt;&gt;"",IF(F3="","XXX",VLOOKUP(H3*10+F3,'06停留所'!$B$2:$B$9999,1,FALSE)),"-")</f>
        <v>-</v>
      </c>
      <c r="H3" s="169" t="str">
        <f>IF(E3&lt;&gt;"",INT(VLOOKUPLEFT(E3,'06停留所'!$B$2:$C$9999,'06停留所'!$C$2:$C$9999,1)/10),"-")</f>
        <v>-</v>
      </c>
      <c r="I3" s="165"/>
      <c r="J3" s="165"/>
    </row>
    <row r="4" spans="1:10" x14ac:dyDescent="0.2">
      <c r="A4" s="165"/>
      <c r="B4" s="165"/>
      <c r="C4" s="169" t="str">
        <f>IF(A4&lt;&gt;"",IF(B4="","XXX",VLOOKUP(D4*10+B4,'06停留所'!$B$2:$B$9999,1,FALSE)),"-")</f>
        <v>-</v>
      </c>
      <c r="D4" s="169" t="str">
        <f>IF(A4&lt;&gt;"",INT(VLOOKUPLEFT(A4,'06停留所'!$B$2:$C$9999,'06停留所'!$C$2:$C$9999,1)/10),"-")</f>
        <v>-</v>
      </c>
      <c r="E4" s="165"/>
      <c r="F4" s="165"/>
      <c r="G4" s="169" t="str">
        <f>IF(E4&lt;&gt;"",IF(F4="","XXX",VLOOKUP(H4*10+F4,'06停留所'!$B$2:$B$9999,1,FALSE)),"-")</f>
        <v>-</v>
      </c>
      <c r="H4" s="169" t="str">
        <f>IF(E4&lt;&gt;"",INT(VLOOKUPLEFT(E4,'06停留所'!$B$2:$C$9999,'06停留所'!$C$2:$C$9999,1)/10),"-")</f>
        <v>-</v>
      </c>
      <c r="I4" s="165"/>
      <c r="J4" s="165"/>
    </row>
    <row r="5" spans="1:10" x14ac:dyDescent="0.2">
      <c r="A5" s="165"/>
      <c r="B5" s="165"/>
      <c r="C5" s="169" t="str">
        <f>IF(A5&lt;&gt;"",IF(B5="","XXX",VLOOKUP(D5*10+B5,'06停留所'!$B$2:$B$9999,1,FALSE)),"-")</f>
        <v>-</v>
      </c>
      <c r="D5" s="169" t="str">
        <f>IF(A5&lt;&gt;"",INT(VLOOKUPLEFT(A5,'06停留所'!$B$2:$C$9999,'06停留所'!$C$2:$C$9999,1)/10),"-")</f>
        <v>-</v>
      </c>
      <c r="E5" s="165"/>
      <c r="F5" s="165"/>
      <c r="G5" s="169" t="str">
        <f>IF(E5&lt;&gt;"",IF(F5="","XXX",VLOOKUP(H5*10+F5,'06停留所'!$B$2:$B$9999,1,FALSE)),"-")</f>
        <v>-</v>
      </c>
      <c r="H5" s="169" t="str">
        <f>IF(E5&lt;&gt;"",INT(VLOOKUPLEFT(E5,'06停留所'!$B$2:$C$9999,'06停留所'!$C$2:$C$9999,1)/10),"-")</f>
        <v>-</v>
      </c>
      <c r="I5" s="165"/>
      <c r="J5" s="165"/>
    </row>
    <row r="6" spans="1:10" x14ac:dyDescent="0.2">
      <c r="A6" s="165"/>
      <c r="B6" s="165"/>
      <c r="C6" s="169" t="str">
        <f>IF(A6&lt;&gt;"",IF(B6="","XXX",VLOOKUP(D6*10+B6,'06停留所'!$B$2:$B$9999,1,FALSE)),"-")</f>
        <v>-</v>
      </c>
      <c r="D6" s="169" t="str">
        <f>IF(A6&lt;&gt;"",INT(VLOOKUPLEFT(A6,'06停留所'!$B$2:$C$9999,'06停留所'!$C$2:$C$9999,1)/10),"-")</f>
        <v>-</v>
      </c>
      <c r="E6" s="165"/>
      <c r="F6" s="165"/>
      <c r="G6" s="169" t="str">
        <f>IF(E6&lt;&gt;"",IF(F6="","XXX",VLOOKUP(H6*10+F6,'06停留所'!$B$2:$B$9999,1,FALSE)),"-")</f>
        <v>-</v>
      </c>
      <c r="H6" s="169" t="str">
        <f>IF(E6&lt;&gt;"",INT(VLOOKUPLEFT(E6,'06停留所'!$B$2:$C$9999,'06停留所'!$C$2:$C$9999,1)/10),"-")</f>
        <v>-</v>
      </c>
      <c r="I6" s="165"/>
      <c r="J6" s="165"/>
    </row>
    <row r="7" spans="1:10" x14ac:dyDescent="0.2">
      <c r="A7" s="165"/>
      <c r="B7" s="165"/>
      <c r="C7" s="169" t="str">
        <f>IF(A7&lt;&gt;"",IF(B7="","XXX",VLOOKUP(D7*10+B7,'06停留所'!$B$2:$B$9999,1,FALSE)),"-")</f>
        <v>-</v>
      </c>
      <c r="D7" s="169" t="str">
        <f>IF(A7&lt;&gt;"",INT(VLOOKUPLEFT(A7,'06停留所'!$B$2:$C$9999,'06停留所'!$C$2:$C$9999,1)/10),"-")</f>
        <v>-</v>
      </c>
      <c r="E7" s="165"/>
      <c r="F7" s="165"/>
      <c r="G7" s="169" t="str">
        <f>IF(E7&lt;&gt;"",IF(F7="","XXX",VLOOKUP(H7*10+F7,'06停留所'!$B$2:$B$9999,1,FALSE)),"-")</f>
        <v>-</v>
      </c>
      <c r="H7" s="169" t="str">
        <f>IF(E7&lt;&gt;"",INT(VLOOKUPLEFT(E7,'06停留所'!$B$2:$C$9999,'06停留所'!$C$2:$C$9999,1)/10),"-")</f>
        <v>-</v>
      </c>
      <c r="I7" s="165"/>
      <c r="J7" s="165"/>
    </row>
    <row r="8" spans="1:10" x14ac:dyDescent="0.2">
      <c r="A8" s="165"/>
      <c r="B8" s="165"/>
      <c r="C8" s="169" t="str">
        <f>IF(A8&lt;&gt;"",IF(B8="","XXX",VLOOKUP(D8*10+B8,'06停留所'!$B$2:$B$9999,1,FALSE)),"-")</f>
        <v>-</v>
      </c>
      <c r="D8" s="169" t="str">
        <f>IF(A8&lt;&gt;"",INT(VLOOKUPLEFT(A8,'06停留所'!$B$2:$C$9999,'06停留所'!$C$2:$C$9999,1)/10),"-")</f>
        <v>-</v>
      </c>
      <c r="E8" s="165"/>
      <c r="F8" s="165"/>
      <c r="G8" s="169" t="str">
        <f>IF(E8&lt;&gt;"",IF(F8="","XXX",VLOOKUP(H8*10+F8,'06停留所'!$B$2:$B$9999,1,FALSE)),"-")</f>
        <v>-</v>
      </c>
      <c r="H8" s="169" t="str">
        <f>IF(E8&lt;&gt;"",INT(VLOOKUPLEFT(E8,'06停留所'!$B$2:$C$9999,'06停留所'!$C$2:$C$9999,1)/10),"-")</f>
        <v>-</v>
      </c>
      <c r="I8" s="165"/>
      <c r="J8" s="165"/>
    </row>
    <row r="9" spans="1:10" x14ac:dyDescent="0.2">
      <c r="A9" s="165"/>
      <c r="B9" s="165"/>
      <c r="C9" s="169" t="str">
        <f>IF(A9&lt;&gt;"",IF(B9="","XXX",VLOOKUP(D9*10+B9,'06停留所'!$B$2:$B$9999,1,FALSE)),"-")</f>
        <v>-</v>
      </c>
      <c r="D9" s="169" t="str">
        <f>IF(A9&lt;&gt;"",INT(VLOOKUPLEFT(A9,'06停留所'!$B$2:$C$9999,'06停留所'!$C$2:$C$9999,1)/10),"-")</f>
        <v>-</v>
      </c>
      <c r="E9" s="165"/>
      <c r="F9" s="165"/>
      <c r="G9" s="169" t="str">
        <f>IF(E9&lt;&gt;"",IF(F9="","XXX",VLOOKUP(H9*10+F9,'06停留所'!$B$2:$B$9999,1,FALSE)),"-")</f>
        <v>-</v>
      </c>
      <c r="H9" s="169" t="str">
        <f>IF(E9&lt;&gt;"",INT(VLOOKUPLEFT(E9,'06停留所'!$B$2:$C$9999,'06停留所'!$C$2:$C$9999,1)/10),"-")</f>
        <v>-</v>
      </c>
      <c r="I9" s="165"/>
      <c r="J9" s="165"/>
    </row>
    <row r="10" spans="1:10" x14ac:dyDescent="0.2">
      <c r="A10" s="165"/>
      <c r="B10" s="165"/>
      <c r="C10" s="169" t="str">
        <f>IF(A10&lt;&gt;"",IF(B10="","XXX",VLOOKUP(D10*10+B10,'06停留所'!$B$2:$B$9999,1,FALSE)),"-")</f>
        <v>-</v>
      </c>
      <c r="D10" s="169" t="str">
        <f>IF(A10&lt;&gt;"",INT(VLOOKUPLEFT(A10,'06停留所'!$B$2:$C$9999,'06停留所'!$C$2:$C$9999,1)/10),"-")</f>
        <v>-</v>
      </c>
      <c r="E10" s="165"/>
      <c r="F10" s="165"/>
      <c r="G10" s="169" t="str">
        <f>IF(E10&lt;&gt;"",IF(F10="","XXX",VLOOKUP(H10*10+F10,'06停留所'!$B$2:$B$9999,1,FALSE)),"-")</f>
        <v>-</v>
      </c>
      <c r="H10" s="169" t="str">
        <f>IF(E10&lt;&gt;"",INT(VLOOKUPLEFT(E10,'06停留所'!$B$2:$C$9999,'06停留所'!$C$2:$C$9999,1)/10),"-")</f>
        <v>-</v>
      </c>
      <c r="I10" s="165"/>
      <c r="J10" s="165"/>
    </row>
    <row r="11" spans="1:10" x14ac:dyDescent="0.2">
      <c r="A11" s="165"/>
      <c r="B11" s="165"/>
      <c r="C11" s="169" t="str">
        <f>IF(A11&lt;&gt;"",IF(B11="","XXX",VLOOKUP(D11*10+B11,'06停留所'!$B$2:$B$9999,1,FALSE)),"-")</f>
        <v>-</v>
      </c>
      <c r="D11" s="169" t="str">
        <f>IF(A11&lt;&gt;"",INT(VLOOKUPLEFT(A11,'06停留所'!$B$2:$C$9999,'06停留所'!$C$2:$C$9999,1)/10),"-")</f>
        <v>-</v>
      </c>
      <c r="E11" s="165"/>
      <c r="F11" s="165"/>
      <c r="G11" s="169" t="str">
        <f>IF(E11&lt;&gt;"",IF(F11="","XXX",VLOOKUP(H11*10+F11,'06停留所'!$B$2:$B$9999,1,FALSE)),"-")</f>
        <v>-</v>
      </c>
      <c r="H11" s="169" t="str">
        <f>IF(E11&lt;&gt;"",INT(VLOOKUPLEFT(E11,'06停留所'!$B$2:$C$9999,'06停留所'!$C$2:$C$9999,1)/10),"-")</f>
        <v>-</v>
      </c>
      <c r="I11" s="165"/>
      <c r="J11" s="165"/>
    </row>
    <row r="12" spans="1:10" x14ac:dyDescent="0.2">
      <c r="A12" s="165"/>
      <c r="B12" s="165"/>
      <c r="C12" s="169" t="str">
        <f>IF(A12&lt;&gt;"",IF(B12="","XXX",VLOOKUP(D12*10+B12,'06停留所'!$B$2:$B$9999,1,FALSE)),"-")</f>
        <v>-</v>
      </c>
      <c r="D12" s="169" t="str">
        <f>IF(A12&lt;&gt;"",INT(VLOOKUPLEFT(A12,'06停留所'!$B$2:$C$9999,'06停留所'!$C$2:$C$9999,1)/10),"-")</f>
        <v>-</v>
      </c>
      <c r="E12" s="165"/>
      <c r="F12" s="165"/>
      <c r="G12" s="169" t="str">
        <f>IF(E12&lt;&gt;"",IF(F12="","XXX",VLOOKUP(H12*10+F12,'06停留所'!$B$2:$B$9999,1,FALSE)),"-")</f>
        <v>-</v>
      </c>
      <c r="H12" s="169" t="str">
        <f>IF(E12&lt;&gt;"",INT(VLOOKUPLEFT(E12,'06停留所'!$B$2:$C$9999,'06停留所'!$C$2:$C$9999,1)/10),"-")</f>
        <v>-</v>
      </c>
      <c r="I12" s="165"/>
      <c r="J12" s="165"/>
    </row>
    <row r="13" spans="1:10" x14ac:dyDescent="0.2">
      <c r="A13" s="165"/>
      <c r="B13" s="165"/>
      <c r="C13" s="169" t="str">
        <f>IF(A13&lt;&gt;"",IF(B13="","XXX",VLOOKUP(D13*10+B13,'06停留所'!$B$2:$B$9999,1,FALSE)),"-")</f>
        <v>-</v>
      </c>
      <c r="D13" s="169" t="str">
        <f>IF(A13&lt;&gt;"",INT(VLOOKUPLEFT(A13,'06停留所'!$B$2:$C$9999,'06停留所'!$C$2:$C$9999,1)/10),"-")</f>
        <v>-</v>
      </c>
      <c r="E13" s="165"/>
      <c r="F13" s="165"/>
      <c r="G13" s="169" t="str">
        <f>IF(E13&lt;&gt;"",IF(F13="","XXX",VLOOKUP(H13*10+F13,'06停留所'!$B$2:$B$9999,1,FALSE)),"-")</f>
        <v>-</v>
      </c>
      <c r="H13" s="169" t="str">
        <f>IF(E13&lt;&gt;"",INT(VLOOKUPLEFT(E13,'06停留所'!$B$2:$C$9999,'06停留所'!$C$2:$C$9999,1)/10),"-")</f>
        <v>-</v>
      </c>
      <c r="I13" s="165"/>
      <c r="J13" s="165"/>
    </row>
    <row r="14" spans="1:10" x14ac:dyDescent="0.2">
      <c r="A14" s="165"/>
      <c r="B14" s="165"/>
      <c r="C14" s="169" t="str">
        <f>IF(A14&lt;&gt;"",IF(B14="","XXX",VLOOKUP(D14*10+B14,'06停留所'!$B$2:$B$9999,1,FALSE)),"-")</f>
        <v>-</v>
      </c>
      <c r="D14" s="169" t="str">
        <f>IF(A14&lt;&gt;"",INT(VLOOKUPLEFT(A14,'06停留所'!$B$2:$C$9999,'06停留所'!$C$2:$C$9999,1)/10),"-")</f>
        <v>-</v>
      </c>
      <c r="E14" s="165"/>
      <c r="F14" s="165"/>
      <c r="G14" s="169" t="str">
        <f>IF(E14&lt;&gt;"",IF(F14="","XXX",VLOOKUP(H14*10+F14,'06停留所'!$B$2:$B$9999,1,FALSE)),"-")</f>
        <v>-</v>
      </c>
      <c r="H14" s="169" t="str">
        <f>IF(E14&lt;&gt;"",INT(VLOOKUPLEFT(E14,'06停留所'!$B$2:$C$9999,'06停留所'!$C$2:$C$9999,1)/10),"-")</f>
        <v>-</v>
      </c>
      <c r="I14" s="165"/>
      <c r="J14" s="165"/>
    </row>
    <row r="15" spans="1:10" x14ac:dyDescent="0.2">
      <c r="A15" s="165"/>
      <c r="B15" s="165"/>
      <c r="C15" s="169" t="str">
        <f>IF(A15&lt;&gt;"",IF(B15="","XXX",VLOOKUP(D15*10+B15,'06停留所'!$B$2:$B$9999,1,FALSE)),"-")</f>
        <v>-</v>
      </c>
      <c r="D15" s="169" t="str">
        <f>IF(A15&lt;&gt;"",INT(VLOOKUPLEFT(A15,'06停留所'!$B$2:$C$9999,'06停留所'!$C$2:$C$9999,1)/10),"-")</f>
        <v>-</v>
      </c>
      <c r="E15" s="165"/>
      <c r="F15" s="165"/>
      <c r="G15" s="169" t="str">
        <f>IF(E15&lt;&gt;"",IF(F15="","XXX",VLOOKUP(H15*10+F15,'06停留所'!$B$2:$B$9999,1,FALSE)),"-")</f>
        <v>-</v>
      </c>
      <c r="H15" s="169" t="str">
        <f>IF(E15&lt;&gt;"",INT(VLOOKUPLEFT(E15,'06停留所'!$B$2:$C$9999,'06停留所'!$C$2:$C$9999,1)/10),"-")</f>
        <v>-</v>
      </c>
      <c r="I15" s="165"/>
      <c r="J15" s="165"/>
    </row>
    <row r="16" spans="1:10" x14ac:dyDescent="0.2">
      <c r="A16" s="165"/>
      <c r="B16" s="165"/>
      <c r="C16" s="169" t="str">
        <f>IF(A16&lt;&gt;"",IF(B16="","XXX",VLOOKUP(D16*10+B16,'06停留所'!$B$2:$B$9999,1,FALSE)),"-")</f>
        <v>-</v>
      </c>
      <c r="D16" s="169" t="str">
        <f>IF(A16&lt;&gt;"",INT(VLOOKUPLEFT(A16,'06停留所'!$B$2:$C$9999,'06停留所'!$C$2:$C$9999,1)/10),"-")</f>
        <v>-</v>
      </c>
      <c r="E16" s="165"/>
      <c r="F16" s="165"/>
      <c r="G16" s="169" t="str">
        <f>IF(E16&lt;&gt;"",IF(F16="","XXX",VLOOKUP(H16*10+F16,'06停留所'!$B$2:$B$9999,1,FALSE)),"-")</f>
        <v>-</v>
      </c>
      <c r="H16" s="169" t="str">
        <f>IF(E16&lt;&gt;"",INT(VLOOKUPLEFT(E16,'06停留所'!$B$2:$C$9999,'06停留所'!$C$2:$C$9999,1)/10),"-")</f>
        <v>-</v>
      </c>
      <c r="I16" s="165"/>
      <c r="J16" s="165"/>
    </row>
    <row r="17" spans="1:10" x14ac:dyDescent="0.2">
      <c r="A17" s="165"/>
      <c r="B17" s="165"/>
      <c r="C17" s="169" t="str">
        <f>IF(A17&lt;&gt;"",IF(B17="","XXX",VLOOKUP(D17*10+B17,'06停留所'!$B$2:$B$9999,1,FALSE)),"-")</f>
        <v>-</v>
      </c>
      <c r="D17" s="169" t="str">
        <f>IF(A17&lt;&gt;"",INT(VLOOKUPLEFT(A17,'06停留所'!$B$2:$C$9999,'06停留所'!$C$2:$C$9999,1)/10),"-")</f>
        <v>-</v>
      </c>
      <c r="E17" s="165"/>
      <c r="F17" s="165"/>
      <c r="G17" s="169" t="str">
        <f>IF(E17&lt;&gt;"",IF(F17="","XXX",VLOOKUP(H17*10+F17,'06停留所'!$B$2:$B$9999,1,FALSE)),"-")</f>
        <v>-</v>
      </c>
      <c r="H17" s="169" t="str">
        <f>IF(E17&lt;&gt;"",INT(VLOOKUPLEFT(E17,'06停留所'!$B$2:$C$9999,'06停留所'!$C$2:$C$9999,1)/10),"-")</f>
        <v>-</v>
      </c>
      <c r="I17" s="165"/>
      <c r="J17" s="165"/>
    </row>
    <row r="18" spans="1:10" x14ac:dyDescent="0.2">
      <c r="A18" s="165"/>
      <c r="B18" s="165"/>
      <c r="C18" s="169" t="str">
        <f>IF(A18&lt;&gt;"",IF(B18="","XXX",VLOOKUP(D18*10+B18,'06停留所'!$B$2:$B$9999,1,FALSE)),"-")</f>
        <v>-</v>
      </c>
      <c r="D18" s="169" t="str">
        <f>IF(A18&lt;&gt;"",INT(VLOOKUPLEFT(A18,'06停留所'!$B$2:$C$9999,'06停留所'!$C$2:$C$9999,1)/10),"-")</f>
        <v>-</v>
      </c>
      <c r="E18" s="165"/>
      <c r="F18" s="165"/>
      <c r="G18" s="169" t="str">
        <f>IF(E18&lt;&gt;"",IF(F18="","XXX",VLOOKUP(H18*10+F18,'06停留所'!$B$2:$B$9999,1,FALSE)),"-")</f>
        <v>-</v>
      </c>
      <c r="H18" s="169" t="str">
        <f>IF(E18&lt;&gt;"",INT(VLOOKUPLEFT(E18,'06停留所'!$B$2:$C$9999,'06停留所'!$C$2:$C$9999,1)/10),"-")</f>
        <v>-</v>
      </c>
      <c r="I18" s="165"/>
      <c r="J18" s="165"/>
    </row>
    <row r="19" spans="1:10" x14ac:dyDescent="0.2">
      <c r="A19" s="165"/>
      <c r="B19" s="165"/>
      <c r="C19" s="169" t="str">
        <f>IF(A19&lt;&gt;"",IF(B19="","XXX",VLOOKUP(D19*10+B19,'06停留所'!$B$2:$B$9999,1,FALSE)),"-")</f>
        <v>-</v>
      </c>
      <c r="D19" s="169" t="str">
        <f>IF(A19&lt;&gt;"",INT(VLOOKUPLEFT(A19,'06停留所'!$B$2:$C$9999,'06停留所'!$C$2:$C$9999,1)/10),"-")</f>
        <v>-</v>
      </c>
      <c r="E19" s="165"/>
      <c r="F19" s="165"/>
      <c r="G19" s="169" t="str">
        <f>IF(E19&lt;&gt;"",IF(F19="","XXX",VLOOKUP(H19*10+F19,'06停留所'!$B$2:$B$9999,1,FALSE)),"-")</f>
        <v>-</v>
      </c>
      <c r="H19" s="169" t="str">
        <f>IF(E19&lt;&gt;"",INT(VLOOKUPLEFT(E19,'06停留所'!$B$2:$C$9999,'06停留所'!$C$2:$C$9999,1)/10),"-")</f>
        <v>-</v>
      </c>
      <c r="I19" s="165"/>
      <c r="J19" s="165"/>
    </row>
    <row r="20" spans="1:10" x14ac:dyDescent="0.2">
      <c r="A20" s="165"/>
      <c r="B20" s="165"/>
      <c r="C20" s="169" t="str">
        <f>IF(A20&lt;&gt;"",IF(B20="","XXX",VLOOKUP(D20*10+B20,'06停留所'!$B$2:$B$9999,1,FALSE)),"-")</f>
        <v>-</v>
      </c>
      <c r="D20" s="169" t="str">
        <f>IF(A20&lt;&gt;"",INT(VLOOKUPLEFT(A20,'06停留所'!$B$2:$C$9999,'06停留所'!$C$2:$C$9999,1)/10),"-")</f>
        <v>-</v>
      </c>
      <c r="E20" s="165"/>
      <c r="F20" s="165"/>
      <c r="G20" s="169" t="str">
        <f>IF(E20&lt;&gt;"",IF(F20="","XXX",VLOOKUP(H20*10+F20,'06停留所'!$B$2:$B$9999,1,FALSE)),"-")</f>
        <v>-</v>
      </c>
      <c r="H20" s="169" t="str">
        <f>IF(E20&lt;&gt;"",INT(VLOOKUPLEFT(E20,'06停留所'!$B$2:$C$9999,'06停留所'!$C$2:$C$9999,1)/10),"-")</f>
        <v>-</v>
      </c>
      <c r="I20" s="165"/>
      <c r="J20" s="165"/>
    </row>
    <row r="21" spans="1:10" x14ac:dyDescent="0.2">
      <c r="A21" s="165"/>
      <c r="B21" s="165"/>
      <c r="C21" s="169" t="str">
        <f>IF(A21&lt;&gt;"",IF(B21="","XXX",VLOOKUP(D21*10+B21,'06停留所'!$B$2:$B$9999,1,FALSE)),"-")</f>
        <v>-</v>
      </c>
      <c r="D21" s="169" t="str">
        <f>IF(A21&lt;&gt;"",INT(VLOOKUPLEFT(A21,'06停留所'!$B$2:$C$9999,'06停留所'!$C$2:$C$9999,1)/10),"-")</f>
        <v>-</v>
      </c>
      <c r="E21" s="165"/>
      <c r="F21" s="165"/>
      <c r="G21" s="169" t="str">
        <f>IF(E21&lt;&gt;"",IF(F21="","XXX",VLOOKUP(H21*10+F21,'06停留所'!$B$2:$B$9999,1,FALSE)),"-")</f>
        <v>-</v>
      </c>
      <c r="H21" s="169" t="str">
        <f>IF(E21&lt;&gt;"",INT(VLOOKUPLEFT(E21,'06停留所'!$B$2:$C$9999,'06停留所'!$C$2:$C$9999,1)/10),"-")</f>
        <v>-</v>
      </c>
      <c r="I21" s="165"/>
      <c r="J21" s="165"/>
    </row>
    <row r="22" spans="1:10" x14ac:dyDescent="0.2">
      <c r="A22" s="165"/>
      <c r="B22" s="165"/>
      <c r="C22" s="169" t="str">
        <f>IF(A22&lt;&gt;"",IF(B22="","XXX",VLOOKUP(D22*10+B22,'06停留所'!$B$2:$B$9999,1,FALSE)),"-")</f>
        <v>-</v>
      </c>
      <c r="D22" s="169" t="str">
        <f>IF(A22&lt;&gt;"",INT(VLOOKUPLEFT(A22,'06停留所'!$B$2:$C$9999,'06停留所'!$C$2:$C$9999,1)/10),"-")</f>
        <v>-</v>
      </c>
      <c r="E22" s="165"/>
      <c r="F22" s="165"/>
      <c r="G22" s="169" t="str">
        <f>IF(E22&lt;&gt;"",IF(F22="","XXX",VLOOKUP(H22*10+F22,'06停留所'!$B$2:$B$9999,1,FALSE)),"-")</f>
        <v>-</v>
      </c>
      <c r="H22" s="169" t="str">
        <f>IF(E22&lt;&gt;"",INT(VLOOKUPLEFT(E22,'06停留所'!$B$2:$C$9999,'06停留所'!$C$2:$C$9999,1)/10),"-")</f>
        <v>-</v>
      </c>
      <c r="I22" s="165"/>
      <c r="J22" s="165"/>
    </row>
    <row r="23" spans="1:10" x14ac:dyDescent="0.2">
      <c r="A23" s="165"/>
      <c r="B23" s="165"/>
      <c r="C23" s="169" t="str">
        <f>IF(A23&lt;&gt;"",IF(B23="","XXX",VLOOKUP(D23*10+B23,'06停留所'!$B$2:$B$9999,1,FALSE)),"-")</f>
        <v>-</v>
      </c>
      <c r="D23" s="169" t="str">
        <f>IF(A23&lt;&gt;"",INT(VLOOKUPLEFT(A23,'06停留所'!$B$2:$C$9999,'06停留所'!$C$2:$C$9999,1)/10),"-")</f>
        <v>-</v>
      </c>
      <c r="E23" s="165"/>
      <c r="F23" s="165"/>
      <c r="G23" s="169" t="str">
        <f>IF(E23&lt;&gt;"",IF(F23="","XXX",VLOOKUP(H23*10+F23,'06停留所'!$B$2:$B$9999,1,FALSE)),"-")</f>
        <v>-</v>
      </c>
      <c r="H23" s="169" t="str">
        <f>IF(E23&lt;&gt;"",INT(VLOOKUPLEFT(E23,'06停留所'!$B$2:$C$9999,'06停留所'!$C$2:$C$9999,1)/10),"-")</f>
        <v>-</v>
      </c>
      <c r="I23" s="165"/>
      <c r="J23" s="165"/>
    </row>
    <row r="24" spans="1:10" x14ac:dyDescent="0.2">
      <c r="A24" s="165"/>
      <c r="B24" s="165"/>
      <c r="C24" s="169" t="str">
        <f>IF(A24&lt;&gt;"",IF(B24="","XXX",VLOOKUP(D24*10+B24,'06停留所'!$B$2:$B$9999,1,FALSE)),"-")</f>
        <v>-</v>
      </c>
      <c r="D24" s="169" t="str">
        <f>IF(A24&lt;&gt;"",INT(VLOOKUPLEFT(A24,'06停留所'!$B$2:$C$9999,'06停留所'!$C$2:$C$9999,1)/10),"-")</f>
        <v>-</v>
      </c>
      <c r="E24" s="165"/>
      <c r="F24" s="165"/>
      <c r="G24" s="169" t="str">
        <f>IF(E24&lt;&gt;"",IF(F24="","XXX",VLOOKUP(H24*10+F24,'06停留所'!$B$2:$B$9999,1,FALSE)),"-")</f>
        <v>-</v>
      </c>
      <c r="H24" s="169" t="str">
        <f>IF(E24&lt;&gt;"",INT(VLOOKUPLEFT(E24,'06停留所'!$B$2:$C$9999,'06停留所'!$C$2:$C$9999,1)/10),"-")</f>
        <v>-</v>
      </c>
      <c r="I24" s="165"/>
      <c r="J24" s="165"/>
    </row>
    <row r="25" spans="1:10" x14ac:dyDescent="0.2">
      <c r="A25" s="165"/>
      <c r="B25" s="165"/>
      <c r="C25" s="169" t="str">
        <f>IF(A25&lt;&gt;"",IF(B25="","XXX",VLOOKUP(D25*10+B25,'06停留所'!$B$2:$B$9999,1,FALSE)),"-")</f>
        <v>-</v>
      </c>
      <c r="D25" s="169" t="str">
        <f>IF(A25&lt;&gt;"",INT(VLOOKUPLEFT(A25,'06停留所'!$B$2:$C$9999,'06停留所'!$C$2:$C$9999,1)/10),"-")</f>
        <v>-</v>
      </c>
      <c r="E25" s="165"/>
      <c r="F25" s="165"/>
      <c r="G25" s="169" t="str">
        <f>IF(E25&lt;&gt;"",IF(F25="","XXX",VLOOKUP(H25*10+F25,'06停留所'!$B$2:$B$9999,1,FALSE)),"-")</f>
        <v>-</v>
      </c>
      <c r="H25" s="169" t="str">
        <f>IF(E25&lt;&gt;"",INT(VLOOKUPLEFT(E25,'06停留所'!$B$2:$C$9999,'06停留所'!$C$2:$C$9999,1)/10),"-")</f>
        <v>-</v>
      </c>
      <c r="I25" s="165"/>
      <c r="J25" s="165"/>
    </row>
    <row r="26" spans="1:10" x14ac:dyDescent="0.2">
      <c r="A26" s="165"/>
      <c r="B26" s="165"/>
      <c r="C26" s="169" t="str">
        <f>IF(A26&lt;&gt;"",IF(B26="","XXX",VLOOKUP(D26*10+B26,'06停留所'!$B$2:$B$9999,1,FALSE)),"-")</f>
        <v>-</v>
      </c>
      <c r="D26" s="169" t="str">
        <f>IF(A26&lt;&gt;"",INT(VLOOKUPLEFT(A26,'06停留所'!$B$2:$C$9999,'06停留所'!$C$2:$C$9999,1)/10),"-")</f>
        <v>-</v>
      </c>
      <c r="E26" s="165"/>
      <c r="F26" s="165"/>
      <c r="G26" s="169" t="str">
        <f>IF(E26&lt;&gt;"",IF(F26="","XXX",VLOOKUP(H26*10+F26,'06停留所'!$B$2:$B$9999,1,FALSE)),"-")</f>
        <v>-</v>
      </c>
      <c r="H26" s="169" t="str">
        <f>IF(E26&lt;&gt;"",INT(VLOOKUPLEFT(E26,'06停留所'!$B$2:$C$9999,'06停留所'!$C$2:$C$9999,1)/10),"-")</f>
        <v>-</v>
      </c>
      <c r="I26" s="165"/>
      <c r="J26" s="165"/>
    </row>
    <row r="27" spans="1:10" x14ac:dyDescent="0.2">
      <c r="A27" s="165"/>
      <c r="B27" s="165"/>
      <c r="C27" s="169" t="str">
        <f>IF(A27&lt;&gt;"",IF(B27="","XXX",VLOOKUP(D27*10+B27,'06停留所'!$B$2:$B$9999,1,FALSE)),"-")</f>
        <v>-</v>
      </c>
      <c r="D27" s="169" t="str">
        <f>IF(A27&lt;&gt;"",INT(VLOOKUPLEFT(A27,'06停留所'!$B$2:$C$9999,'06停留所'!$C$2:$C$9999,1)/10),"-")</f>
        <v>-</v>
      </c>
      <c r="E27" s="165"/>
      <c r="F27" s="165"/>
      <c r="G27" s="169" t="str">
        <f>IF(E27&lt;&gt;"",IF(F27="","XXX",VLOOKUP(H27*10+F27,'06停留所'!$B$2:$B$9999,1,FALSE)),"-")</f>
        <v>-</v>
      </c>
      <c r="H27" s="169" t="str">
        <f>IF(E27&lt;&gt;"",INT(VLOOKUPLEFT(E27,'06停留所'!$B$2:$C$9999,'06停留所'!$C$2:$C$9999,1)/10),"-")</f>
        <v>-</v>
      </c>
      <c r="I27" s="165"/>
      <c r="J27" s="165"/>
    </row>
    <row r="28" spans="1:10" x14ac:dyDescent="0.2">
      <c r="A28" s="165"/>
      <c r="B28" s="165"/>
      <c r="C28" s="169" t="str">
        <f>IF(A28&lt;&gt;"",IF(B28="","XXX",VLOOKUP(D28*10+B28,'06停留所'!$B$2:$B$9999,1,FALSE)),"-")</f>
        <v>-</v>
      </c>
      <c r="D28" s="169" t="str">
        <f>IF(A28&lt;&gt;"",INT(VLOOKUPLEFT(A28,'06停留所'!$B$2:$C$9999,'06停留所'!$C$2:$C$9999,1)/10),"-")</f>
        <v>-</v>
      </c>
      <c r="E28" s="165"/>
      <c r="F28" s="165"/>
      <c r="G28" s="169" t="str">
        <f>IF(E28&lt;&gt;"",IF(F28="","XXX",VLOOKUP(H28*10+F28,'06停留所'!$B$2:$B$9999,1,FALSE)),"-")</f>
        <v>-</v>
      </c>
      <c r="H28" s="169" t="str">
        <f>IF(E28&lt;&gt;"",INT(VLOOKUPLEFT(E28,'06停留所'!$B$2:$C$9999,'06停留所'!$C$2:$C$9999,1)/10),"-")</f>
        <v>-</v>
      </c>
      <c r="I28" s="165"/>
      <c r="J28" s="165"/>
    </row>
    <row r="29" spans="1:10" x14ac:dyDescent="0.2">
      <c r="A29" s="165"/>
      <c r="B29" s="165"/>
      <c r="C29" s="169" t="str">
        <f>IF(A29&lt;&gt;"",IF(B29="","XXX",VLOOKUP(D29*10+B29,'06停留所'!$B$2:$B$9999,1,FALSE)),"-")</f>
        <v>-</v>
      </c>
      <c r="D29" s="169" t="str">
        <f>IF(A29&lt;&gt;"",INT(VLOOKUPLEFT(A29,'06停留所'!$B$2:$C$9999,'06停留所'!$C$2:$C$9999,1)/10),"-")</f>
        <v>-</v>
      </c>
      <c r="E29" s="165"/>
      <c r="F29" s="165"/>
      <c r="G29" s="169" t="str">
        <f>IF(E29&lt;&gt;"",IF(F29="","XXX",VLOOKUP(H29*10+F29,'06停留所'!$B$2:$B$9999,1,FALSE)),"-")</f>
        <v>-</v>
      </c>
      <c r="H29" s="169" t="str">
        <f>IF(E29&lt;&gt;"",INT(VLOOKUPLEFT(E29,'06停留所'!$B$2:$C$9999,'06停留所'!$C$2:$C$9999,1)/10),"-")</f>
        <v>-</v>
      </c>
      <c r="I29" s="165"/>
      <c r="J29" s="165"/>
    </row>
    <row r="30" spans="1:10" x14ac:dyDescent="0.2">
      <c r="A30" s="165"/>
      <c r="B30" s="165"/>
      <c r="C30" s="169" t="str">
        <f>IF(A30&lt;&gt;"",IF(B30="","XXX",VLOOKUP(D30*10+B30,'06停留所'!$B$2:$B$9999,1,FALSE)),"-")</f>
        <v>-</v>
      </c>
      <c r="D30" s="169" t="str">
        <f>IF(A30&lt;&gt;"",INT(VLOOKUPLEFT(A30,'06停留所'!$B$2:$C$9999,'06停留所'!$C$2:$C$9999,1)/10),"-")</f>
        <v>-</v>
      </c>
      <c r="E30" s="165"/>
      <c r="F30" s="165"/>
      <c r="G30" s="169" t="str">
        <f>IF(E30&lt;&gt;"",IF(F30="","XXX",VLOOKUP(H30*10+F30,'06停留所'!$B$2:$B$9999,1,FALSE)),"-")</f>
        <v>-</v>
      </c>
      <c r="H30" s="169" t="str">
        <f>IF(E30&lt;&gt;"",INT(VLOOKUPLEFT(E30,'06停留所'!$B$2:$C$9999,'06停留所'!$C$2:$C$9999,1)/10),"-")</f>
        <v>-</v>
      </c>
      <c r="I30" s="165"/>
      <c r="J30" s="165"/>
    </row>
    <row r="31" spans="1:10" x14ac:dyDescent="0.2">
      <c r="A31" s="165"/>
      <c r="B31" s="165"/>
      <c r="C31" s="169" t="str">
        <f>IF(A31&lt;&gt;"",IF(B31="","XXX",VLOOKUP(D31*10+B31,'06停留所'!$B$2:$B$9999,1,FALSE)),"-")</f>
        <v>-</v>
      </c>
      <c r="D31" s="169" t="str">
        <f>IF(A31&lt;&gt;"",INT(VLOOKUPLEFT(A31,'06停留所'!$B$2:$C$9999,'06停留所'!$C$2:$C$9999,1)/10),"-")</f>
        <v>-</v>
      </c>
      <c r="E31" s="165"/>
      <c r="F31" s="165"/>
      <c r="G31" s="169" t="str">
        <f>IF(E31&lt;&gt;"",IF(F31="","XXX",VLOOKUP(H31*10+F31,'06停留所'!$B$2:$B$9999,1,FALSE)),"-")</f>
        <v>-</v>
      </c>
      <c r="H31" s="169" t="str">
        <f>IF(E31&lt;&gt;"",INT(VLOOKUPLEFT(E31,'06停留所'!$B$2:$C$9999,'06停留所'!$C$2:$C$9999,1)/10),"-")</f>
        <v>-</v>
      </c>
      <c r="I31" s="165"/>
      <c r="J31" s="165"/>
    </row>
    <row r="32" spans="1:10" x14ac:dyDescent="0.2">
      <c r="A32" s="165"/>
      <c r="B32" s="165"/>
      <c r="C32" s="169" t="str">
        <f>IF(A32&lt;&gt;"",IF(B32="","XXX",VLOOKUP(D32*10+B32,'06停留所'!$B$2:$B$9999,1,FALSE)),"-")</f>
        <v>-</v>
      </c>
      <c r="D32" s="169" t="str">
        <f>IF(A32&lt;&gt;"",INT(VLOOKUPLEFT(A32,'06停留所'!$B$2:$C$9999,'06停留所'!$C$2:$C$9999,1)/10),"-")</f>
        <v>-</v>
      </c>
      <c r="E32" s="165"/>
      <c r="F32" s="165"/>
      <c r="G32" s="169" t="str">
        <f>IF(E32&lt;&gt;"",IF(F32="","XXX",VLOOKUP(H32*10+F32,'06停留所'!$B$2:$B$9999,1,FALSE)),"-")</f>
        <v>-</v>
      </c>
      <c r="H32" s="169" t="str">
        <f>IF(E32&lt;&gt;"",INT(VLOOKUPLEFT(E32,'06停留所'!$B$2:$C$9999,'06停留所'!$C$2:$C$9999,1)/10),"-")</f>
        <v>-</v>
      </c>
      <c r="I32" s="165"/>
      <c r="J32" s="165"/>
    </row>
    <row r="33" spans="1:10" x14ac:dyDescent="0.2">
      <c r="A33" s="165"/>
      <c r="B33" s="165"/>
      <c r="C33" s="169" t="str">
        <f>IF(A33&lt;&gt;"",IF(B33="","XXX",VLOOKUP(D33*10+B33,'06停留所'!$B$2:$B$9999,1,FALSE)),"-")</f>
        <v>-</v>
      </c>
      <c r="D33" s="169" t="str">
        <f>IF(A33&lt;&gt;"",INT(VLOOKUPLEFT(A33,'06停留所'!$B$2:$C$9999,'06停留所'!$C$2:$C$9999,1)/10),"-")</f>
        <v>-</v>
      </c>
      <c r="E33" s="165"/>
      <c r="F33" s="165"/>
      <c r="G33" s="169" t="str">
        <f>IF(E33&lt;&gt;"",IF(F33="","XXX",VLOOKUP(H33*10+F33,'06停留所'!$B$2:$B$9999,1,FALSE)),"-")</f>
        <v>-</v>
      </c>
      <c r="H33" s="169" t="str">
        <f>IF(E33&lt;&gt;"",INT(VLOOKUPLEFT(E33,'06停留所'!$B$2:$C$9999,'06停留所'!$C$2:$C$9999,1)/10),"-")</f>
        <v>-</v>
      </c>
      <c r="I33" s="165"/>
      <c r="J33" s="165"/>
    </row>
    <row r="34" spans="1:10" x14ac:dyDescent="0.2">
      <c r="A34" s="165"/>
      <c r="B34" s="165"/>
      <c r="C34" s="169" t="str">
        <f>IF(A34&lt;&gt;"",IF(B34="","XXX",VLOOKUP(D34*10+B34,'06停留所'!$B$2:$B$9999,1,FALSE)),"-")</f>
        <v>-</v>
      </c>
      <c r="D34" s="169" t="str">
        <f>IF(A34&lt;&gt;"",INT(VLOOKUPLEFT(A34,'06停留所'!$B$2:$C$9999,'06停留所'!$C$2:$C$9999,1)/10),"-")</f>
        <v>-</v>
      </c>
      <c r="E34" s="165"/>
      <c r="F34" s="165"/>
      <c r="G34" s="169" t="str">
        <f>IF(E34&lt;&gt;"",IF(F34="","XXX",VLOOKUP(H34*10+F34,'06停留所'!$B$2:$B$9999,1,FALSE)),"-")</f>
        <v>-</v>
      </c>
      <c r="H34" s="169" t="str">
        <f>IF(E34&lt;&gt;"",INT(VLOOKUPLEFT(E34,'06停留所'!$B$2:$C$9999,'06停留所'!$C$2:$C$9999,1)/10),"-")</f>
        <v>-</v>
      </c>
      <c r="I34" s="165"/>
      <c r="J34" s="165"/>
    </row>
    <row r="35" spans="1:10" x14ac:dyDescent="0.2">
      <c r="A35" s="165"/>
      <c r="B35" s="165"/>
      <c r="C35" s="169" t="str">
        <f>IF(A35&lt;&gt;"",IF(B35="","XXX",VLOOKUP(D35*10+B35,'06停留所'!$B$2:$B$9999,1,FALSE)),"-")</f>
        <v>-</v>
      </c>
      <c r="D35" s="169" t="str">
        <f>IF(A35&lt;&gt;"",INT(VLOOKUPLEFT(A35,'06停留所'!$B$2:$C$9999,'06停留所'!$C$2:$C$9999,1)/10),"-")</f>
        <v>-</v>
      </c>
      <c r="E35" s="165"/>
      <c r="F35" s="165"/>
      <c r="G35" s="169" t="str">
        <f>IF(E35&lt;&gt;"",IF(F35="","XXX",VLOOKUP(H35*10+F35,'06停留所'!$B$2:$B$9999,1,FALSE)),"-")</f>
        <v>-</v>
      </c>
      <c r="H35" s="169" t="str">
        <f>IF(E35&lt;&gt;"",INT(VLOOKUPLEFT(E35,'06停留所'!$B$2:$C$9999,'06停留所'!$C$2:$C$9999,1)/10),"-")</f>
        <v>-</v>
      </c>
      <c r="I35" s="165"/>
      <c r="J35" s="165"/>
    </row>
    <row r="36" spans="1:10" x14ac:dyDescent="0.2">
      <c r="A36" s="165"/>
      <c r="B36" s="165"/>
      <c r="C36" s="169" t="str">
        <f>IF(A36&lt;&gt;"",IF(B36="","XXX",VLOOKUP(D36*10+B36,'06停留所'!$B$2:$B$9999,1,FALSE)),"-")</f>
        <v>-</v>
      </c>
      <c r="D36" s="169" t="str">
        <f>IF(A36&lt;&gt;"",INT(VLOOKUPLEFT(A36,'06停留所'!$B$2:$C$9999,'06停留所'!$C$2:$C$9999,1)/10),"-")</f>
        <v>-</v>
      </c>
      <c r="E36" s="165"/>
      <c r="F36" s="165"/>
      <c r="G36" s="169" t="str">
        <f>IF(E36&lt;&gt;"",IF(F36="","XXX",VLOOKUP(H36*10+F36,'06停留所'!$B$2:$B$9999,1,FALSE)),"-")</f>
        <v>-</v>
      </c>
      <c r="H36" s="169" t="str">
        <f>IF(E36&lt;&gt;"",INT(VLOOKUPLEFT(E36,'06停留所'!$B$2:$C$9999,'06停留所'!$C$2:$C$9999,1)/10),"-")</f>
        <v>-</v>
      </c>
      <c r="I36" s="165"/>
      <c r="J36" s="165"/>
    </row>
    <row r="37" spans="1:10" x14ac:dyDescent="0.2">
      <c r="A37" s="165"/>
      <c r="B37" s="165"/>
      <c r="C37" s="169" t="str">
        <f>IF(A37&lt;&gt;"",IF(B37="","XXX",VLOOKUP(D37*10+B37,'06停留所'!$B$2:$B$9999,1,FALSE)),"-")</f>
        <v>-</v>
      </c>
      <c r="D37" s="169" t="str">
        <f>IF(A37&lt;&gt;"",INT(VLOOKUPLEFT(A37,'06停留所'!$B$2:$C$9999,'06停留所'!$C$2:$C$9999,1)/10),"-")</f>
        <v>-</v>
      </c>
      <c r="E37" s="165"/>
      <c r="F37" s="165"/>
      <c r="G37" s="169" t="str">
        <f>IF(E37&lt;&gt;"",IF(F37="","XXX",VLOOKUP(H37*10+F37,'06停留所'!$B$2:$B$9999,1,FALSE)),"-")</f>
        <v>-</v>
      </c>
      <c r="H37" s="169" t="str">
        <f>IF(E37&lt;&gt;"",INT(VLOOKUPLEFT(E37,'06停留所'!$B$2:$C$9999,'06停留所'!$C$2:$C$9999,1)/10),"-")</f>
        <v>-</v>
      </c>
      <c r="I37" s="165"/>
      <c r="J37" s="165"/>
    </row>
    <row r="38" spans="1:10" x14ac:dyDescent="0.2">
      <c r="A38" s="165"/>
      <c r="B38" s="165"/>
      <c r="C38" s="169" t="str">
        <f>IF(A38&lt;&gt;"",IF(B38="","XXX",VLOOKUP(D38*10+B38,'06停留所'!$B$2:$B$9999,1,FALSE)),"-")</f>
        <v>-</v>
      </c>
      <c r="D38" s="169" t="str">
        <f>IF(A38&lt;&gt;"",INT(VLOOKUPLEFT(A38,'06停留所'!$B$2:$C$9999,'06停留所'!$C$2:$C$9999,1)/10),"-")</f>
        <v>-</v>
      </c>
      <c r="E38" s="165"/>
      <c r="F38" s="165"/>
      <c r="G38" s="169" t="str">
        <f>IF(E38&lt;&gt;"",IF(F38="","XXX",VLOOKUP(H38*10+F38,'06停留所'!$B$2:$B$9999,1,FALSE)),"-")</f>
        <v>-</v>
      </c>
      <c r="H38" s="169" t="str">
        <f>IF(E38&lt;&gt;"",INT(VLOOKUPLEFT(E38,'06停留所'!$B$2:$C$9999,'06停留所'!$C$2:$C$9999,1)/10),"-")</f>
        <v>-</v>
      </c>
      <c r="I38" s="165"/>
      <c r="J38" s="165"/>
    </row>
    <row r="39" spans="1:10" x14ac:dyDescent="0.2">
      <c r="A39" s="165"/>
      <c r="B39" s="165"/>
      <c r="C39" s="169" t="str">
        <f>IF(A39&lt;&gt;"",IF(B39="","XXX",VLOOKUP(D39*10+B39,'06停留所'!$B$2:$B$9999,1,FALSE)),"-")</f>
        <v>-</v>
      </c>
      <c r="D39" s="169" t="str">
        <f>IF(A39&lt;&gt;"",INT(VLOOKUPLEFT(A39,'06停留所'!$B$2:$C$9999,'06停留所'!$C$2:$C$9999,1)/10),"-")</f>
        <v>-</v>
      </c>
      <c r="E39" s="165"/>
      <c r="F39" s="165"/>
      <c r="G39" s="169" t="str">
        <f>IF(E39&lt;&gt;"",IF(F39="","XXX",VLOOKUP(H39*10+F39,'06停留所'!$B$2:$B$9999,1,FALSE)),"-")</f>
        <v>-</v>
      </c>
      <c r="H39" s="169" t="str">
        <f>IF(E39&lt;&gt;"",INT(VLOOKUPLEFT(E39,'06停留所'!$B$2:$C$9999,'06停留所'!$C$2:$C$9999,1)/10),"-")</f>
        <v>-</v>
      </c>
      <c r="I39" s="165"/>
      <c r="J39" s="165"/>
    </row>
    <row r="40" spans="1:10" x14ac:dyDescent="0.2">
      <c r="A40" s="165"/>
      <c r="B40" s="165"/>
      <c r="C40" s="169" t="str">
        <f>IF(A40&lt;&gt;"",IF(B40="","XXX",VLOOKUP(D40*10+B40,'06停留所'!$B$2:$B$9999,1,FALSE)),"-")</f>
        <v>-</v>
      </c>
      <c r="D40" s="169" t="str">
        <f>IF(A40&lt;&gt;"",INT(VLOOKUPLEFT(A40,'06停留所'!$B$2:$C$9999,'06停留所'!$C$2:$C$9999,1)/10),"-")</f>
        <v>-</v>
      </c>
      <c r="E40" s="165"/>
      <c r="F40" s="165"/>
      <c r="G40" s="169" t="str">
        <f>IF(E40&lt;&gt;"",IF(F40="","XXX",VLOOKUP(H40*10+F40,'06停留所'!$B$2:$B$9999,1,FALSE)),"-")</f>
        <v>-</v>
      </c>
      <c r="H40" s="169" t="str">
        <f>IF(E40&lt;&gt;"",INT(VLOOKUPLEFT(E40,'06停留所'!$B$2:$C$9999,'06停留所'!$C$2:$C$9999,1)/10),"-")</f>
        <v>-</v>
      </c>
      <c r="I40" s="165"/>
      <c r="J40" s="165"/>
    </row>
    <row r="41" spans="1:10" x14ac:dyDescent="0.2">
      <c r="A41" s="165"/>
      <c r="B41" s="165"/>
      <c r="C41" s="169" t="str">
        <f>IF(A41&lt;&gt;"",IF(B41="","XXX",VLOOKUP(D41*10+B41,'06停留所'!$B$2:$B$9999,1,FALSE)),"-")</f>
        <v>-</v>
      </c>
      <c r="D41" s="169" t="str">
        <f>IF(A41&lt;&gt;"",INT(VLOOKUPLEFT(A41,'06停留所'!$B$2:$C$9999,'06停留所'!$C$2:$C$9999,1)/10),"-")</f>
        <v>-</v>
      </c>
      <c r="E41" s="165"/>
      <c r="F41" s="165"/>
      <c r="G41" s="169" t="str">
        <f>IF(E41&lt;&gt;"",IF(F41="","XXX",VLOOKUP(H41*10+F41,'06停留所'!$B$2:$B$9999,1,FALSE)),"-")</f>
        <v>-</v>
      </c>
      <c r="H41" s="169" t="str">
        <f>IF(E41&lt;&gt;"",INT(VLOOKUPLEFT(E41,'06停留所'!$B$2:$C$9999,'06停留所'!$C$2:$C$9999,1)/10),"-")</f>
        <v>-</v>
      </c>
      <c r="I41" s="165"/>
      <c r="J41" s="165"/>
    </row>
    <row r="42" spans="1:10" x14ac:dyDescent="0.2">
      <c r="A42" s="165"/>
      <c r="B42" s="165"/>
      <c r="C42" s="169" t="str">
        <f>IF(A42&lt;&gt;"",IF(B42="","XXX",VLOOKUP(D42*10+B42,'06停留所'!$B$2:$B$9999,1,FALSE)),"-")</f>
        <v>-</v>
      </c>
      <c r="D42" s="169" t="str">
        <f>IF(A42&lt;&gt;"",INT(VLOOKUPLEFT(A42,'06停留所'!$B$2:$C$9999,'06停留所'!$C$2:$C$9999,1)/10),"-")</f>
        <v>-</v>
      </c>
      <c r="E42" s="165"/>
      <c r="F42" s="165"/>
      <c r="G42" s="169" t="str">
        <f>IF(E42&lt;&gt;"",IF(F42="","XXX",VLOOKUP(H42*10+F42,'06停留所'!$B$2:$B$9999,1,FALSE)),"-")</f>
        <v>-</v>
      </c>
      <c r="H42" s="169" t="str">
        <f>IF(E42&lt;&gt;"",INT(VLOOKUPLEFT(E42,'06停留所'!$B$2:$C$9999,'06停留所'!$C$2:$C$9999,1)/10),"-")</f>
        <v>-</v>
      </c>
      <c r="I42" s="165"/>
      <c r="J42" s="165"/>
    </row>
    <row r="43" spans="1:10" x14ac:dyDescent="0.2">
      <c r="A43" s="165"/>
      <c r="B43" s="165"/>
      <c r="C43" s="169" t="str">
        <f>IF(A43&lt;&gt;"",IF(B43="","XXX",VLOOKUP(D43*10+B43,'06停留所'!$B$2:$B$9999,1,FALSE)),"-")</f>
        <v>-</v>
      </c>
      <c r="D43" s="169" t="str">
        <f>IF(A43&lt;&gt;"",INT(VLOOKUPLEFT(A43,'06停留所'!$B$2:$C$9999,'06停留所'!$C$2:$C$9999,1)/10),"-")</f>
        <v>-</v>
      </c>
      <c r="E43" s="165"/>
      <c r="F43" s="165"/>
      <c r="G43" s="169" t="str">
        <f>IF(E43&lt;&gt;"",IF(F43="","XXX",VLOOKUP(H43*10+F43,'06停留所'!$B$2:$B$9999,1,FALSE)),"-")</f>
        <v>-</v>
      </c>
      <c r="H43" s="169" t="str">
        <f>IF(E43&lt;&gt;"",INT(VLOOKUPLEFT(E43,'06停留所'!$B$2:$C$9999,'06停留所'!$C$2:$C$9999,1)/10),"-")</f>
        <v>-</v>
      </c>
      <c r="I43" s="165"/>
      <c r="J43" s="165"/>
    </row>
    <row r="44" spans="1:10" x14ac:dyDescent="0.2">
      <c r="A44" s="165"/>
      <c r="B44" s="165"/>
      <c r="C44" s="169" t="str">
        <f>IF(A44&lt;&gt;"",IF(B44="","XXX",VLOOKUP(D44*10+B44,'06停留所'!$B$2:$B$9999,1,FALSE)),"-")</f>
        <v>-</v>
      </c>
      <c r="D44" s="169" t="str">
        <f>IF(A44&lt;&gt;"",INT(VLOOKUPLEFT(A44,'06停留所'!$B$2:$C$9999,'06停留所'!$C$2:$C$9999,1)/10),"-")</f>
        <v>-</v>
      </c>
      <c r="E44" s="165"/>
      <c r="F44" s="165"/>
      <c r="G44" s="169" t="str">
        <f>IF(E44&lt;&gt;"",IF(F44="","XXX",VLOOKUP(H44*10+F44,'06停留所'!$B$2:$B$9999,1,FALSE)),"-")</f>
        <v>-</v>
      </c>
      <c r="H44" s="169" t="str">
        <f>IF(E44&lt;&gt;"",INT(VLOOKUPLEFT(E44,'06停留所'!$B$2:$C$9999,'06停留所'!$C$2:$C$9999,1)/10),"-")</f>
        <v>-</v>
      </c>
      <c r="I44" s="165"/>
      <c r="J44" s="165"/>
    </row>
    <row r="45" spans="1:10" x14ac:dyDescent="0.2">
      <c r="A45" s="165"/>
      <c r="B45" s="165"/>
      <c r="C45" s="169" t="str">
        <f>IF(A45&lt;&gt;"",IF(B45="","XXX",VLOOKUP(D45*10+B45,'06停留所'!$B$2:$B$9999,1,FALSE)),"-")</f>
        <v>-</v>
      </c>
      <c r="D45" s="169" t="str">
        <f>IF(A45&lt;&gt;"",INT(VLOOKUPLEFT(A45,'06停留所'!$B$2:$C$9999,'06停留所'!$C$2:$C$9999,1)/10),"-")</f>
        <v>-</v>
      </c>
      <c r="E45" s="165"/>
      <c r="F45" s="165"/>
      <c r="G45" s="169" t="str">
        <f>IF(E45&lt;&gt;"",IF(F45="","XXX",VLOOKUP(H45*10+F45,'06停留所'!$B$2:$B$9999,1,FALSE)),"-")</f>
        <v>-</v>
      </c>
      <c r="H45" s="169" t="str">
        <f>IF(E45&lt;&gt;"",INT(VLOOKUPLEFT(E45,'06停留所'!$B$2:$C$9999,'06停留所'!$C$2:$C$9999,1)/10),"-")</f>
        <v>-</v>
      </c>
      <c r="I45" s="165"/>
      <c r="J45" s="165"/>
    </row>
    <row r="46" spans="1:10" x14ac:dyDescent="0.2">
      <c r="A46" s="165"/>
      <c r="B46" s="165"/>
      <c r="C46" s="169" t="str">
        <f>IF(A46&lt;&gt;"",IF(B46="","XXX",VLOOKUP(D46*10+B46,'06停留所'!$B$2:$B$9999,1,FALSE)),"-")</f>
        <v>-</v>
      </c>
      <c r="D46" s="169" t="str">
        <f>IF(A46&lt;&gt;"",INT(VLOOKUPLEFT(A46,'06停留所'!$B$2:$C$9999,'06停留所'!$C$2:$C$9999,1)/10),"-")</f>
        <v>-</v>
      </c>
      <c r="E46" s="165"/>
      <c r="F46" s="165"/>
      <c r="G46" s="169" t="str">
        <f>IF(E46&lt;&gt;"",IF(F46="","XXX",VLOOKUP(H46*10+F46,'06停留所'!$B$2:$B$9999,1,FALSE)),"-")</f>
        <v>-</v>
      </c>
      <c r="H46" s="169" t="str">
        <f>IF(E46&lt;&gt;"",INT(VLOOKUPLEFT(E46,'06停留所'!$B$2:$C$9999,'06停留所'!$C$2:$C$9999,1)/10),"-")</f>
        <v>-</v>
      </c>
      <c r="I46" s="165"/>
      <c r="J46" s="165"/>
    </row>
    <row r="47" spans="1:10" x14ac:dyDescent="0.2">
      <c r="A47" s="165"/>
      <c r="B47" s="165"/>
      <c r="C47" s="169" t="str">
        <f>IF(A47&lt;&gt;"",IF(B47="","XXX",VLOOKUP(D47*10+B47,'06停留所'!$B$2:$B$9999,1,FALSE)),"-")</f>
        <v>-</v>
      </c>
      <c r="D47" s="169" t="str">
        <f>IF(A47&lt;&gt;"",INT(VLOOKUPLEFT(A47,'06停留所'!$B$2:$C$9999,'06停留所'!$C$2:$C$9999,1)/10),"-")</f>
        <v>-</v>
      </c>
      <c r="E47" s="165"/>
      <c r="F47" s="165"/>
      <c r="G47" s="169" t="str">
        <f>IF(E47&lt;&gt;"",IF(F47="","XXX",VLOOKUP(H47*10+F47,'06停留所'!$B$2:$B$9999,1,FALSE)),"-")</f>
        <v>-</v>
      </c>
      <c r="H47" s="169" t="str">
        <f>IF(E47&lt;&gt;"",INT(VLOOKUPLEFT(E47,'06停留所'!$B$2:$C$9999,'06停留所'!$C$2:$C$9999,1)/10),"-")</f>
        <v>-</v>
      </c>
      <c r="I47" s="165"/>
      <c r="J47" s="165"/>
    </row>
    <row r="48" spans="1:10" x14ac:dyDescent="0.2">
      <c r="A48" s="165"/>
      <c r="B48" s="165"/>
      <c r="C48" s="169" t="str">
        <f>IF(A48&lt;&gt;"",IF(B48="","XXX",VLOOKUP(D48*10+B48,'06停留所'!$B$2:$B$9999,1,FALSE)),"-")</f>
        <v>-</v>
      </c>
      <c r="D48" s="169" t="str">
        <f>IF(A48&lt;&gt;"",INT(VLOOKUPLEFT(A48,'06停留所'!$B$2:$C$9999,'06停留所'!$C$2:$C$9999,1)/10),"-")</f>
        <v>-</v>
      </c>
      <c r="E48" s="165"/>
      <c r="F48" s="165"/>
      <c r="G48" s="169" t="str">
        <f>IF(E48&lt;&gt;"",IF(F48="","XXX",VLOOKUP(H48*10+F48,'06停留所'!$B$2:$B$9999,1,FALSE)),"-")</f>
        <v>-</v>
      </c>
      <c r="H48" s="169" t="str">
        <f>IF(E48&lt;&gt;"",INT(VLOOKUPLEFT(E48,'06停留所'!$B$2:$C$9999,'06停留所'!$C$2:$C$9999,1)/10),"-")</f>
        <v>-</v>
      </c>
      <c r="I48" s="165"/>
      <c r="J48" s="165"/>
    </row>
    <row r="49" spans="1:10" x14ac:dyDescent="0.2">
      <c r="A49" s="165"/>
      <c r="B49" s="165"/>
      <c r="C49" s="169" t="str">
        <f>IF(A49&lt;&gt;"",IF(B49="","XXX",VLOOKUP(D49*10+B49,'06停留所'!$B$2:$B$9999,1,FALSE)),"-")</f>
        <v>-</v>
      </c>
      <c r="D49" s="169" t="str">
        <f>IF(A49&lt;&gt;"",INT(VLOOKUPLEFT(A49,'06停留所'!$B$2:$C$9999,'06停留所'!$C$2:$C$9999,1)/10),"-")</f>
        <v>-</v>
      </c>
      <c r="E49" s="165"/>
      <c r="F49" s="165"/>
      <c r="G49" s="169" t="str">
        <f>IF(E49&lt;&gt;"",IF(F49="","XXX",VLOOKUP(H49*10+F49,'06停留所'!$B$2:$B$9999,1,FALSE)),"-")</f>
        <v>-</v>
      </c>
      <c r="H49" s="169" t="str">
        <f>IF(E49&lt;&gt;"",INT(VLOOKUPLEFT(E49,'06停留所'!$B$2:$C$9999,'06停留所'!$C$2:$C$9999,1)/10),"-")</f>
        <v>-</v>
      </c>
      <c r="I49" s="165"/>
      <c r="J49" s="165"/>
    </row>
    <row r="50" spans="1:10" x14ac:dyDescent="0.2">
      <c r="A50" s="165"/>
      <c r="B50" s="165"/>
      <c r="C50" s="169" t="str">
        <f>IF(A50&lt;&gt;"",IF(B50="","XXX",VLOOKUP(D50*10+B50,'06停留所'!$B$2:$B$9999,1,FALSE)),"-")</f>
        <v>-</v>
      </c>
      <c r="D50" s="169" t="str">
        <f>IF(A50&lt;&gt;"",INT(VLOOKUPLEFT(A50,'06停留所'!$B$2:$C$9999,'06停留所'!$C$2:$C$9999,1)/10),"-")</f>
        <v>-</v>
      </c>
      <c r="E50" s="165"/>
      <c r="F50" s="165"/>
      <c r="G50" s="169" t="str">
        <f>IF(E50&lt;&gt;"",IF(F50="","XXX",VLOOKUP(H50*10+F50,'06停留所'!$B$2:$B$9999,1,FALSE)),"-")</f>
        <v>-</v>
      </c>
      <c r="H50" s="169" t="str">
        <f>IF(E50&lt;&gt;"",INT(VLOOKUPLEFT(E50,'06停留所'!$B$2:$C$9999,'06停留所'!$C$2:$C$9999,1)/10),"-")</f>
        <v>-</v>
      </c>
      <c r="I50" s="165"/>
      <c r="J50" s="165"/>
    </row>
    <row r="51" spans="1:10" x14ac:dyDescent="0.2">
      <c r="A51" s="165"/>
      <c r="B51" s="165"/>
      <c r="C51" s="169" t="str">
        <f>IF(A51&lt;&gt;"",IF(B51="","XXX",VLOOKUP(D51*10+B51,'06停留所'!$B$2:$B$9999,1,FALSE)),"-")</f>
        <v>-</v>
      </c>
      <c r="D51" s="169" t="str">
        <f>IF(A51&lt;&gt;"",INT(VLOOKUPLEFT(A51,'06停留所'!$B$2:$C$9999,'06停留所'!$C$2:$C$9999,1)/10),"-")</f>
        <v>-</v>
      </c>
      <c r="E51" s="165"/>
      <c r="F51" s="165"/>
      <c r="G51" s="169" t="str">
        <f>IF(E51&lt;&gt;"",IF(F51="","XXX",VLOOKUP(H51*10+F51,'06停留所'!$B$2:$B$9999,1,FALSE)),"-")</f>
        <v>-</v>
      </c>
      <c r="H51" s="169" t="str">
        <f>IF(E51&lt;&gt;"",INT(VLOOKUPLEFT(E51,'06停留所'!$B$2:$C$9999,'06停留所'!$C$2:$C$9999,1)/10),"-")</f>
        <v>-</v>
      </c>
      <c r="I51" s="165"/>
      <c r="J51" s="165"/>
    </row>
    <row r="52" spans="1:10" x14ac:dyDescent="0.2">
      <c r="A52" s="165"/>
      <c r="B52" s="165"/>
      <c r="C52" s="169" t="str">
        <f>IF(A52&lt;&gt;"",IF(B52="","XXX",VLOOKUP(D52*10+B52,'06停留所'!$B$2:$B$9999,1,FALSE)),"-")</f>
        <v>-</v>
      </c>
      <c r="D52" s="169" t="str">
        <f>IF(A52&lt;&gt;"",INT(VLOOKUPLEFT(A52,'06停留所'!$B$2:$C$9999,'06停留所'!$C$2:$C$9999,1)/10),"-")</f>
        <v>-</v>
      </c>
      <c r="E52" s="165"/>
      <c r="F52" s="165"/>
      <c r="G52" s="169" t="str">
        <f>IF(E52&lt;&gt;"",IF(F52="","XXX",VLOOKUP(H52*10+F52,'06停留所'!$B$2:$B$9999,1,FALSE)),"-")</f>
        <v>-</v>
      </c>
      <c r="H52" s="169" t="str">
        <f>IF(E52&lt;&gt;"",INT(VLOOKUPLEFT(E52,'06停留所'!$B$2:$C$9999,'06停留所'!$C$2:$C$9999,1)/10),"-")</f>
        <v>-</v>
      </c>
      <c r="I52" s="165"/>
      <c r="J52" s="165"/>
    </row>
    <row r="53" spans="1:10" x14ac:dyDescent="0.2">
      <c r="A53" s="165"/>
      <c r="B53" s="165"/>
      <c r="C53" s="169" t="str">
        <f>IF(A53&lt;&gt;"",IF(B53="","XXX",VLOOKUP(D53*10+B53,'06停留所'!$B$2:$B$9999,1,FALSE)),"-")</f>
        <v>-</v>
      </c>
      <c r="D53" s="169" t="str">
        <f>IF(A53&lt;&gt;"",INT(VLOOKUPLEFT(A53,'06停留所'!$B$2:$C$9999,'06停留所'!$C$2:$C$9999,1)/10),"-")</f>
        <v>-</v>
      </c>
      <c r="E53" s="165"/>
      <c r="F53" s="165"/>
      <c r="G53" s="169" t="str">
        <f>IF(E53&lt;&gt;"",IF(F53="","XXX",VLOOKUP(H53*10+F53,'06停留所'!$B$2:$B$9999,1,FALSE)),"-")</f>
        <v>-</v>
      </c>
      <c r="H53" s="169" t="str">
        <f>IF(E53&lt;&gt;"",INT(VLOOKUPLEFT(E53,'06停留所'!$B$2:$C$9999,'06停留所'!$C$2:$C$9999,1)/10),"-")</f>
        <v>-</v>
      </c>
      <c r="I53" s="165"/>
      <c r="J53" s="165"/>
    </row>
    <row r="54" spans="1:10" x14ac:dyDescent="0.2">
      <c r="A54" s="165"/>
      <c r="B54" s="165"/>
      <c r="C54" s="169" t="str">
        <f>IF(A54&lt;&gt;"",IF(B54="","XXX",VLOOKUP(D54*10+B54,'06停留所'!$B$2:$B$9999,1,FALSE)),"-")</f>
        <v>-</v>
      </c>
      <c r="D54" s="169" t="str">
        <f>IF(A54&lt;&gt;"",INT(VLOOKUPLEFT(A54,'06停留所'!$B$2:$C$9999,'06停留所'!$C$2:$C$9999,1)/10),"-")</f>
        <v>-</v>
      </c>
      <c r="E54" s="165"/>
      <c r="F54" s="165"/>
      <c r="G54" s="169" t="str">
        <f>IF(E54&lt;&gt;"",IF(F54="","XXX",VLOOKUP(H54*10+F54,'06停留所'!$B$2:$B$9999,1,FALSE)),"-")</f>
        <v>-</v>
      </c>
      <c r="H54" s="169" t="str">
        <f>IF(E54&lt;&gt;"",INT(VLOOKUPLEFT(E54,'06停留所'!$B$2:$C$9999,'06停留所'!$C$2:$C$9999,1)/10),"-")</f>
        <v>-</v>
      </c>
      <c r="I54" s="165"/>
      <c r="J54" s="165"/>
    </row>
    <row r="55" spans="1:10" x14ac:dyDescent="0.2">
      <c r="A55" s="165"/>
      <c r="B55" s="165"/>
      <c r="C55" s="169" t="str">
        <f>IF(A55&lt;&gt;"",IF(B55="","XXX",VLOOKUP(D55*10+B55,'06停留所'!$B$2:$B$9999,1,FALSE)),"-")</f>
        <v>-</v>
      </c>
      <c r="D55" s="169" t="str">
        <f>IF(A55&lt;&gt;"",INT(VLOOKUPLEFT(A55,'06停留所'!$B$2:$C$9999,'06停留所'!$C$2:$C$9999,1)/10),"-")</f>
        <v>-</v>
      </c>
      <c r="E55" s="165"/>
      <c r="F55" s="165"/>
      <c r="G55" s="169" t="str">
        <f>IF(E55&lt;&gt;"",IF(F55="","XXX",VLOOKUP(H55*10+F55,'06停留所'!$B$2:$B$9999,1,FALSE)),"-")</f>
        <v>-</v>
      </c>
      <c r="H55" s="169" t="str">
        <f>IF(E55&lt;&gt;"",INT(VLOOKUPLEFT(E55,'06停留所'!$B$2:$C$9999,'06停留所'!$C$2:$C$9999,1)/10),"-")</f>
        <v>-</v>
      </c>
      <c r="I55" s="165"/>
      <c r="J55" s="165"/>
    </row>
    <row r="56" spans="1:10" x14ac:dyDescent="0.2">
      <c r="A56" s="165"/>
      <c r="B56" s="165"/>
      <c r="C56" s="169" t="str">
        <f>IF(A56&lt;&gt;"",IF(B56="","XXX",VLOOKUP(D56*10+B56,'06停留所'!$B$2:$B$9999,1,FALSE)),"-")</f>
        <v>-</v>
      </c>
      <c r="D56" s="169" t="str">
        <f>IF(A56&lt;&gt;"",INT(VLOOKUPLEFT(A56,'06停留所'!$B$2:$C$9999,'06停留所'!$C$2:$C$9999,1)/10),"-")</f>
        <v>-</v>
      </c>
      <c r="E56" s="165"/>
      <c r="F56" s="165"/>
      <c r="G56" s="169" t="str">
        <f>IF(E56&lt;&gt;"",IF(F56="","XXX",VLOOKUP(H56*10+F56,'06停留所'!$B$2:$B$9999,1,FALSE)),"-")</f>
        <v>-</v>
      </c>
      <c r="H56" s="169" t="str">
        <f>IF(E56&lt;&gt;"",INT(VLOOKUPLEFT(E56,'06停留所'!$B$2:$C$9999,'06停留所'!$C$2:$C$9999,1)/10),"-")</f>
        <v>-</v>
      </c>
      <c r="I56" s="165"/>
      <c r="J56" s="165"/>
    </row>
    <row r="57" spans="1:10" x14ac:dyDescent="0.2">
      <c r="A57" s="165"/>
      <c r="B57" s="165"/>
      <c r="C57" s="169" t="str">
        <f>IF(A57&lt;&gt;"",IF(B57="","XXX",VLOOKUP(D57*10+B57,'06停留所'!$B$2:$B$9999,1,FALSE)),"-")</f>
        <v>-</v>
      </c>
      <c r="D57" s="169" t="str">
        <f>IF(A57&lt;&gt;"",INT(VLOOKUPLEFT(A57,'06停留所'!$B$2:$C$9999,'06停留所'!$C$2:$C$9999,1)/10),"-")</f>
        <v>-</v>
      </c>
      <c r="E57" s="165"/>
      <c r="F57" s="165"/>
      <c r="G57" s="169" t="str">
        <f>IF(E57&lt;&gt;"",IF(F57="","XXX",VLOOKUP(H57*10+F57,'06停留所'!$B$2:$B$9999,1,FALSE)),"-")</f>
        <v>-</v>
      </c>
      <c r="H57" s="169" t="str">
        <f>IF(E57&lt;&gt;"",INT(VLOOKUPLEFT(E57,'06停留所'!$B$2:$C$9999,'06停留所'!$C$2:$C$9999,1)/10),"-")</f>
        <v>-</v>
      </c>
      <c r="I57" s="165"/>
      <c r="J57" s="165"/>
    </row>
    <row r="58" spans="1:10" x14ac:dyDescent="0.2">
      <c r="A58" s="165"/>
      <c r="B58" s="165"/>
      <c r="C58" s="169" t="str">
        <f>IF(A58&lt;&gt;"",IF(B58="","XXX",VLOOKUP(D58*10+B58,'06停留所'!$B$2:$B$9999,1,FALSE)),"-")</f>
        <v>-</v>
      </c>
      <c r="D58" s="169" t="str">
        <f>IF(A58&lt;&gt;"",INT(VLOOKUPLEFT(A58,'06停留所'!$B$2:$C$9999,'06停留所'!$C$2:$C$9999,1)/10),"-")</f>
        <v>-</v>
      </c>
      <c r="E58" s="165"/>
      <c r="F58" s="165"/>
      <c r="G58" s="169" t="str">
        <f>IF(E58&lt;&gt;"",IF(F58="","XXX",VLOOKUP(H58*10+F58,'06停留所'!$B$2:$B$9999,1,FALSE)),"-")</f>
        <v>-</v>
      </c>
      <c r="H58" s="169" t="str">
        <f>IF(E58&lt;&gt;"",INT(VLOOKUPLEFT(E58,'06停留所'!$B$2:$C$9999,'06停留所'!$C$2:$C$9999,1)/10),"-")</f>
        <v>-</v>
      </c>
      <c r="I58" s="165"/>
      <c r="J58" s="165"/>
    </row>
    <row r="59" spans="1:10" x14ac:dyDescent="0.2">
      <c r="A59" s="165"/>
      <c r="B59" s="165"/>
      <c r="C59" s="169" t="str">
        <f>IF(A59&lt;&gt;"",IF(B59="","XXX",VLOOKUP(D59*10+B59,'06停留所'!$B$2:$B$9999,1,FALSE)),"-")</f>
        <v>-</v>
      </c>
      <c r="D59" s="169" t="str">
        <f>IF(A59&lt;&gt;"",INT(VLOOKUPLEFT(A59,'06停留所'!$B$2:$C$9999,'06停留所'!$C$2:$C$9999,1)/10),"-")</f>
        <v>-</v>
      </c>
      <c r="E59" s="165"/>
      <c r="F59" s="165"/>
      <c r="G59" s="169" t="str">
        <f>IF(E59&lt;&gt;"",IF(F59="","XXX",VLOOKUP(H59*10+F59,'06停留所'!$B$2:$B$9999,1,FALSE)),"-")</f>
        <v>-</v>
      </c>
      <c r="H59" s="169" t="str">
        <f>IF(E59&lt;&gt;"",INT(VLOOKUPLEFT(E59,'06停留所'!$B$2:$C$9999,'06停留所'!$C$2:$C$9999,1)/10),"-")</f>
        <v>-</v>
      </c>
      <c r="I59" s="165"/>
      <c r="J59" s="165"/>
    </row>
    <row r="60" spans="1:10" x14ac:dyDescent="0.2">
      <c r="A60" s="165"/>
      <c r="B60" s="165"/>
      <c r="C60" s="169" t="str">
        <f>IF(A60&lt;&gt;"",IF(B60="","XXX",VLOOKUP(D60*10+B60,'06停留所'!$B$2:$B$9999,1,FALSE)),"-")</f>
        <v>-</v>
      </c>
      <c r="D60" s="169" t="str">
        <f>IF(A60&lt;&gt;"",INT(VLOOKUPLEFT(A60,'06停留所'!$B$2:$C$9999,'06停留所'!$C$2:$C$9999,1)/10),"-")</f>
        <v>-</v>
      </c>
      <c r="E60" s="165"/>
      <c r="F60" s="165"/>
      <c r="G60" s="169" t="str">
        <f>IF(E60&lt;&gt;"",IF(F60="","XXX",VLOOKUP(H60*10+F60,'06停留所'!$B$2:$B$9999,1,FALSE)),"-")</f>
        <v>-</v>
      </c>
      <c r="H60" s="169" t="str">
        <f>IF(E60&lt;&gt;"",INT(VLOOKUPLEFT(E60,'06停留所'!$B$2:$C$9999,'06停留所'!$C$2:$C$9999,1)/10),"-")</f>
        <v>-</v>
      </c>
      <c r="I60" s="165"/>
      <c r="J60" s="165"/>
    </row>
    <row r="61" spans="1:10" x14ac:dyDescent="0.2">
      <c r="A61" s="165"/>
      <c r="B61" s="165"/>
      <c r="C61" s="169" t="str">
        <f>IF(A61&lt;&gt;"",IF(B61="","XXX",VLOOKUP(D61*10+B61,'06停留所'!$B$2:$B$9999,1,FALSE)),"-")</f>
        <v>-</v>
      </c>
      <c r="D61" s="169" t="str">
        <f>IF(A61&lt;&gt;"",INT(VLOOKUPLEFT(A61,'06停留所'!$B$2:$C$9999,'06停留所'!$C$2:$C$9999,1)/10),"-")</f>
        <v>-</v>
      </c>
      <c r="E61" s="165"/>
      <c r="F61" s="165"/>
      <c r="G61" s="169" t="str">
        <f>IF(E61&lt;&gt;"",IF(F61="","XXX",VLOOKUP(H61*10+F61,'06停留所'!$B$2:$B$9999,1,FALSE)),"-")</f>
        <v>-</v>
      </c>
      <c r="H61" s="169" t="str">
        <f>IF(E61&lt;&gt;"",INT(VLOOKUPLEFT(E61,'06停留所'!$B$2:$C$9999,'06停留所'!$C$2:$C$9999,1)/10),"-")</f>
        <v>-</v>
      </c>
      <c r="I61" s="165"/>
      <c r="J61" s="165"/>
    </row>
    <row r="62" spans="1:10" x14ac:dyDescent="0.2">
      <c r="A62" s="165"/>
      <c r="B62" s="165"/>
      <c r="C62" s="169" t="str">
        <f>IF(A62&lt;&gt;"",IF(B62="","XXX",VLOOKUP(D62*10+B62,'06停留所'!$B$2:$B$9999,1,FALSE)),"-")</f>
        <v>-</v>
      </c>
      <c r="D62" s="169" t="str">
        <f>IF(A62&lt;&gt;"",INT(VLOOKUPLEFT(A62,'06停留所'!$B$2:$C$9999,'06停留所'!$C$2:$C$9999,1)/10),"-")</f>
        <v>-</v>
      </c>
      <c r="E62" s="165"/>
      <c r="F62" s="165"/>
      <c r="G62" s="169" t="str">
        <f>IF(E62&lt;&gt;"",IF(F62="","XXX",VLOOKUP(H62*10+F62,'06停留所'!$B$2:$B$9999,1,FALSE)),"-")</f>
        <v>-</v>
      </c>
      <c r="H62" s="169" t="str">
        <f>IF(E62&lt;&gt;"",INT(VLOOKUPLEFT(E62,'06停留所'!$B$2:$C$9999,'06停留所'!$C$2:$C$9999,1)/10),"-")</f>
        <v>-</v>
      </c>
      <c r="I62" s="165"/>
      <c r="J62" s="165"/>
    </row>
    <row r="63" spans="1:10" x14ac:dyDescent="0.2">
      <c r="A63" s="165"/>
      <c r="B63" s="165"/>
      <c r="C63" s="169" t="str">
        <f>IF(A63&lt;&gt;"",IF(B63="","XXX",VLOOKUP(D63*10+B63,'06停留所'!$B$2:$B$9999,1,FALSE)),"-")</f>
        <v>-</v>
      </c>
      <c r="D63" s="169" t="str">
        <f>IF(A63&lt;&gt;"",INT(VLOOKUPLEFT(A63,'06停留所'!$B$2:$C$9999,'06停留所'!$C$2:$C$9999,1)/10),"-")</f>
        <v>-</v>
      </c>
      <c r="E63" s="165"/>
      <c r="F63" s="165"/>
      <c r="G63" s="169" t="str">
        <f>IF(E63&lt;&gt;"",IF(F63="","XXX",VLOOKUP(H63*10+F63,'06停留所'!$B$2:$B$9999,1,FALSE)),"-")</f>
        <v>-</v>
      </c>
      <c r="H63" s="169" t="str">
        <f>IF(E63&lt;&gt;"",INT(VLOOKUPLEFT(E63,'06停留所'!$B$2:$C$9999,'06停留所'!$C$2:$C$9999,1)/10),"-")</f>
        <v>-</v>
      </c>
      <c r="I63" s="165"/>
      <c r="J63" s="165"/>
    </row>
    <row r="64" spans="1:10" x14ac:dyDescent="0.2">
      <c r="A64" s="165"/>
      <c r="B64" s="165"/>
      <c r="C64" s="169" t="str">
        <f>IF(A64&lt;&gt;"",IF(B64="","XXX",VLOOKUP(D64*10+B64,'06停留所'!$B$2:$B$9999,1,FALSE)),"-")</f>
        <v>-</v>
      </c>
      <c r="D64" s="169" t="str">
        <f>IF(A64&lt;&gt;"",INT(VLOOKUPLEFT(A64,'06停留所'!$B$2:$C$9999,'06停留所'!$C$2:$C$9999,1)/10),"-")</f>
        <v>-</v>
      </c>
      <c r="E64" s="165"/>
      <c r="F64" s="165"/>
      <c r="G64" s="169" t="str">
        <f>IF(E64&lt;&gt;"",IF(F64="","XXX",VLOOKUP(H64*10+F64,'06停留所'!$B$2:$B$9999,1,FALSE)),"-")</f>
        <v>-</v>
      </c>
      <c r="H64" s="169" t="str">
        <f>IF(E64&lt;&gt;"",INT(VLOOKUPLEFT(E64,'06停留所'!$B$2:$C$9999,'06停留所'!$C$2:$C$9999,1)/10),"-")</f>
        <v>-</v>
      </c>
      <c r="I64" s="165"/>
      <c r="J64" s="165"/>
    </row>
    <row r="65" spans="1:10" x14ac:dyDescent="0.2">
      <c r="A65" s="165"/>
      <c r="B65" s="165"/>
      <c r="C65" s="169" t="str">
        <f>IF(A65&lt;&gt;"",IF(B65="","XXX",VLOOKUP(D65*10+B65,'06停留所'!$B$2:$B$9999,1,FALSE)),"-")</f>
        <v>-</v>
      </c>
      <c r="D65" s="169" t="str">
        <f>IF(A65&lt;&gt;"",INT(VLOOKUPLEFT(A65,'06停留所'!$B$2:$C$9999,'06停留所'!$C$2:$C$9999,1)/10),"-")</f>
        <v>-</v>
      </c>
      <c r="E65" s="165"/>
      <c r="F65" s="165"/>
      <c r="G65" s="169" t="str">
        <f>IF(E65&lt;&gt;"",IF(F65="","XXX",VLOOKUP(H65*10+F65,'06停留所'!$B$2:$B$9999,1,FALSE)),"-")</f>
        <v>-</v>
      </c>
      <c r="H65" s="169" t="str">
        <f>IF(E65&lt;&gt;"",INT(VLOOKUPLEFT(E65,'06停留所'!$B$2:$C$9999,'06停留所'!$C$2:$C$9999,1)/10),"-")</f>
        <v>-</v>
      </c>
      <c r="I65" s="165"/>
      <c r="J65" s="165"/>
    </row>
    <row r="66" spans="1:10" x14ac:dyDescent="0.2">
      <c r="A66" s="165"/>
      <c r="B66" s="165"/>
      <c r="C66" s="169" t="str">
        <f>IF(A66&lt;&gt;"",IF(B66="","XXX",VLOOKUP(D66*10+B66,'06停留所'!$B$2:$B$9999,1,FALSE)),"-")</f>
        <v>-</v>
      </c>
      <c r="D66" s="169" t="str">
        <f>IF(A66&lt;&gt;"",INT(VLOOKUPLEFT(A66,'06停留所'!$B$2:$C$9999,'06停留所'!$C$2:$C$9999,1)/10),"-")</f>
        <v>-</v>
      </c>
      <c r="E66" s="165"/>
      <c r="F66" s="165"/>
      <c r="G66" s="169" t="str">
        <f>IF(E66&lt;&gt;"",IF(F66="","XXX",VLOOKUP(H66*10+F66,'06停留所'!$B$2:$B$9999,1,FALSE)),"-")</f>
        <v>-</v>
      </c>
      <c r="H66" s="169" t="str">
        <f>IF(E66&lt;&gt;"",INT(VLOOKUPLEFT(E66,'06停留所'!$B$2:$C$9999,'06停留所'!$C$2:$C$9999,1)/10),"-")</f>
        <v>-</v>
      </c>
      <c r="I66" s="165"/>
      <c r="J66" s="165"/>
    </row>
    <row r="67" spans="1:10" x14ac:dyDescent="0.2">
      <c r="A67" s="165"/>
      <c r="B67" s="165"/>
      <c r="C67" s="169" t="str">
        <f>IF(A67&lt;&gt;"",IF(B67="","XXX",VLOOKUP(D67*10+B67,'06停留所'!$B$2:$B$9999,1,FALSE)),"-")</f>
        <v>-</v>
      </c>
      <c r="D67" s="169" t="str">
        <f>IF(A67&lt;&gt;"",INT(VLOOKUPLEFT(A67,'06停留所'!$B$2:$C$9999,'06停留所'!$C$2:$C$9999,1)/10),"-")</f>
        <v>-</v>
      </c>
      <c r="E67" s="165"/>
      <c r="F67" s="165"/>
      <c r="G67" s="169" t="str">
        <f>IF(E67&lt;&gt;"",IF(F67="","XXX",VLOOKUP(H67*10+F67,'06停留所'!$B$2:$B$9999,1,FALSE)),"-")</f>
        <v>-</v>
      </c>
      <c r="H67" s="169" t="str">
        <f>IF(E67&lt;&gt;"",INT(VLOOKUPLEFT(E67,'06停留所'!$B$2:$C$9999,'06停留所'!$C$2:$C$9999,1)/10),"-")</f>
        <v>-</v>
      </c>
      <c r="I67" s="165"/>
      <c r="J67" s="165"/>
    </row>
    <row r="68" spans="1:10" x14ac:dyDescent="0.2">
      <c r="A68" s="165"/>
      <c r="B68" s="165"/>
      <c r="C68" s="169" t="str">
        <f>IF(A68&lt;&gt;"",IF(B68="","XXX",VLOOKUP(D68*10+B68,'06停留所'!$B$2:$B$9999,1,FALSE)),"-")</f>
        <v>-</v>
      </c>
      <c r="D68" s="169" t="str">
        <f>IF(A68&lt;&gt;"",INT(VLOOKUPLEFT(A68,'06停留所'!$B$2:$C$9999,'06停留所'!$C$2:$C$9999,1)/10),"-")</f>
        <v>-</v>
      </c>
      <c r="E68" s="165"/>
      <c r="F68" s="165"/>
      <c r="G68" s="169" t="str">
        <f>IF(E68&lt;&gt;"",IF(F68="","XXX",VLOOKUP(H68*10+F68,'06停留所'!$B$2:$B$9999,1,FALSE)),"-")</f>
        <v>-</v>
      </c>
      <c r="H68" s="169" t="str">
        <f>IF(E68&lt;&gt;"",INT(VLOOKUPLEFT(E68,'06停留所'!$B$2:$C$9999,'06停留所'!$C$2:$C$9999,1)/10),"-")</f>
        <v>-</v>
      </c>
      <c r="I68" s="165"/>
      <c r="J68" s="165"/>
    </row>
    <row r="69" spans="1:10" x14ac:dyDescent="0.2">
      <c r="A69" s="165"/>
      <c r="B69" s="165"/>
      <c r="C69" s="169" t="str">
        <f>IF(A69&lt;&gt;"",IF(B69="","XXX",VLOOKUP(D69*10+B69,'06停留所'!$B$2:$B$9999,1,FALSE)),"-")</f>
        <v>-</v>
      </c>
      <c r="D69" s="169" t="str">
        <f>IF(A69&lt;&gt;"",INT(VLOOKUPLEFT(A69,'06停留所'!$B$2:$C$9999,'06停留所'!$C$2:$C$9999,1)/10),"-")</f>
        <v>-</v>
      </c>
      <c r="E69" s="165"/>
      <c r="F69" s="165"/>
      <c r="G69" s="169" t="str">
        <f>IF(E69&lt;&gt;"",IF(F69="","XXX",VLOOKUP(H69*10+F69,'06停留所'!$B$2:$B$9999,1,FALSE)),"-")</f>
        <v>-</v>
      </c>
      <c r="H69" s="169" t="str">
        <f>IF(E69&lt;&gt;"",INT(VLOOKUPLEFT(E69,'06停留所'!$B$2:$C$9999,'06停留所'!$C$2:$C$9999,1)/10),"-")</f>
        <v>-</v>
      </c>
      <c r="I69" s="165"/>
      <c r="J69" s="165"/>
    </row>
    <row r="70" spans="1:10" x14ac:dyDescent="0.2">
      <c r="A70" s="165"/>
      <c r="B70" s="165"/>
      <c r="C70" s="169" t="str">
        <f>IF(A70&lt;&gt;"",IF(B70="","XXX",VLOOKUP(D70*10+B70,'06停留所'!$B$2:$B$9999,1,FALSE)),"-")</f>
        <v>-</v>
      </c>
      <c r="D70" s="169" t="str">
        <f>IF(A70&lt;&gt;"",INT(VLOOKUPLEFT(A70,'06停留所'!$B$2:$C$9999,'06停留所'!$C$2:$C$9999,1)/10),"-")</f>
        <v>-</v>
      </c>
      <c r="E70" s="165"/>
      <c r="F70" s="165"/>
      <c r="G70" s="169" t="str">
        <f>IF(E70&lt;&gt;"",IF(F70="","XXX",VLOOKUP(H70*10+F70,'06停留所'!$B$2:$B$9999,1,FALSE)),"-")</f>
        <v>-</v>
      </c>
      <c r="H70" s="169" t="str">
        <f>IF(E70&lt;&gt;"",INT(VLOOKUPLEFT(E70,'06停留所'!$B$2:$C$9999,'06停留所'!$C$2:$C$9999,1)/10),"-")</f>
        <v>-</v>
      </c>
      <c r="I70" s="165"/>
      <c r="J70" s="165"/>
    </row>
    <row r="71" spans="1:10" x14ac:dyDescent="0.2">
      <c r="A71" s="165"/>
      <c r="B71" s="165"/>
      <c r="C71" s="169" t="str">
        <f>IF(A71&lt;&gt;"",IF(B71="","XXX",VLOOKUP(D71*10+B71,'06停留所'!$B$2:$B$9999,1,FALSE)),"-")</f>
        <v>-</v>
      </c>
      <c r="D71" s="169" t="str">
        <f>IF(A71&lt;&gt;"",INT(VLOOKUPLEFT(A71,'06停留所'!$B$2:$C$9999,'06停留所'!$C$2:$C$9999,1)/10),"-")</f>
        <v>-</v>
      </c>
      <c r="E71" s="165"/>
      <c r="F71" s="165"/>
      <c r="G71" s="169" t="str">
        <f>IF(E71&lt;&gt;"",IF(F71="","XXX",VLOOKUP(H71*10+F71,'06停留所'!$B$2:$B$9999,1,FALSE)),"-")</f>
        <v>-</v>
      </c>
      <c r="H71" s="169" t="str">
        <f>IF(E71&lt;&gt;"",INT(VLOOKUPLEFT(E71,'06停留所'!$B$2:$C$9999,'06停留所'!$C$2:$C$9999,1)/10),"-")</f>
        <v>-</v>
      </c>
      <c r="I71" s="165"/>
      <c r="J71" s="165"/>
    </row>
    <row r="72" spans="1:10" x14ac:dyDescent="0.2">
      <c r="A72" s="165"/>
      <c r="B72" s="165"/>
      <c r="C72" s="169" t="str">
        <f>IF(A72&lt;&gt;"",IF(B72="","XXX",VLOOKUP(D72*10+B72,'06停留所'!$B$2:$B$9999,1,FALSE)),"-")</f>
        <v>-</v>
      </c>
      <c r="D72" s="169" t="str">
        <f>IF(A72&lt;&gt;"",INT(VLOOKUPLEFT(A72,'06停留所'!$B$2:$C$9999,'06停留所'!$C$2:$C$9999,1)/10),"-")</f>
        <v>-</v>
      </c>
      <c r="E72" s="165"/>
      <c r="F72" s="165"/>
      <c r="G72" s="169" t="str">
        <f>IF(E72&lt;&gt;"",IF(F72="","XXX",VLOOKUP(H72*10+F72,'06停留所'!$B$2:$B$9999,1,FALSE)),"-")</f>
        <v>-</v>
      </c>
      <c r="H72" s="169" t="str">
        <f>IF(E72&lt;&gt;"",INT(VLOOKUPLEFT(E72,'06停留所'!$B$2:$C$9999,'06停留所'!$C$2:$C$9999,1)/10),"-")</f>
        <v>-</v>
      </c>
      <c r="I72" s="165"/>
      <c r="J72" s="165"/>
    </row>
    <row r="73" spans="1:10" x14ac:dyDescent="0.2">
      <c r="A73" s="165"/>
      <c r="B73" s="165"/>
      <c r="C73" s="169" t="str">
        <f>IF(A73&lt;&gt;"",IF(B73="","XXX",VLOOKUP(D73*10+B73,'06停留所'!$B$2:$B$9999,1,FALSE)),"-")</f>
        <v>-</v>
      </c>
      <c r="D73" s="169" t="str">
        <f>IF(A73&lt;&gt;"",INT(VLOOKUPLEFT(A73,'06停留所'!$B$2:$C$9999,'06停留所'!$C$2:$C$9999,1)/10),"-")</f>
        <v>-</v>
      </c>
      <c r="E73" s="165"/>
      <c r="F73" s="165"/>
      <c r="G73" s="169" t="str">
        <f>IF(E73&lt;&gt;"",IF(F73="","XXX",VLOOKUP(H73*10+F73,'06停留所'!$B$2:$B$9999,1,FALSE)),"-")</f>
        <v>-</v>
      </c>
      <c r="H73" s="169" t="str">
        <f>IF(E73&lt;&gt;"",INT(VLOOKUPLEFT(E73,'06停留所'!$B$2:$C$9999,'06停留所'!$C$2:$C$9999,1)/10),"-")</f>
        <v>-</v>
      </c>
      <c r="I73" s="165"/>
      <c r="J73" s="165"/>
    </row>
    <row r="74" spans="1:10" x14ac:dyDescent="0.2">
      <c r="A74" s="165"/>
      <c r="B74" s="165"/>
      <c r="C74" s="169" t="str">
        <f>IF(A74&lt;&gt;"",IF(B74="","XXX",VLOOKUP(D74*10+B74,'06停留所'!$B$2:$B$9999,1,FALSE)),"-")</f>
        <v>-</v>
      </c>
      <c r="D74" s="169" t="str">
        <f>IF(A74&lt;&gt;"",INT(VLOOKUPLEFT(A74,'06停留所'!$B$2:$C$9999,'06停留所'!$C$2:$C$9999,1)/10),"-")</f>
        <v>-</v>
      </c>
      <c r="E74" s="165"/>
      <c r="F74" s="165"/>
      <c r="G74" s="169" t="str">
        <f>IF(E74&lt;&gt;"",IF(F74="","XXX",VLOOKUP(H74*10+F74,'06停留所'!$B$2:$B$9999,1,FALSE)),"-")</f>
        <v>-</v>
      </c>
      <c r="H74" s="169" t="str">
        <f>IF(E74&lt;&gt;"",INT(VLOOKUPLEFT(E74,'06停留所'!$B$2:$C$9999,'06停留所'!$C$2:$C$9999,1)/10),"-")</f>
        <v>-</v>
      </c>
      <c r="I74" s="165"/>
      <c r="J74" s="165"/>
    </row>
    <row r="75" spans="1:10" x14ac:dyDescent="0.2">
      <c r="A75" s="165"/>
      <c r="B75" s="165"/>
      <c r="C75" s="169" t="str">
        <f>IF(A75&lt;&gt;"",IF(B75="","XXX",VLOOKUP(D75*10+B75,'06停留所'!$B$2:$B$9999,1,FALSE)),"-")</f>
        <v>-</v>
      </c>
      <c r="D75" s="169" t="str">
        <f>IF(A75&lt;&gt;"",INT(VLOOKUPLEFT(A75,'06停留所'!$B$2:$C$9999,'06停留所'!$C$2:$C$9999,1)/10),"-")</f>
        <v>-</v>
      </c>
      <c r="E75" s="165"/>
      <c r="F75" s="165"/>
      <c r="G75" s="169" t="str">
        <f>IF(E75&lt;&gt;"",IF(F75="","XXX",VLOOKUP(H75*10+F75,'06停留所'!$B$2:$B$9999,1,FALSE)),"-")</f>
        <v>-</v>
      </c>
      <c r="H75" s="169" t="str">
        <f>IF(E75&lt;&gt;"",INT(VLOOKUPLEFT(E75,'06停留所'!$B$2:$C$9999,'06停留所'!$C$2:$C$9999,1)/10),"-")</f>
        <v>-</v>
      </c>
      <c r="I75" s="165"/>
      <c r="J75" s="165"/>
    </row>
    <row r="76" spans="1:10" x14ac:dyDescent="0.2">
      <c r="A76" s="165"/>
      <c r="B76" s="165"/>
      <c r="C76" s="169" t="str">
        <f>IF(A76&lt;&gt;"",IF(B76="","XXX",VLOOKUP(D76*10+B76,'06停留所'!$B$2:$B$9999,1,FALSE)),"-")</f>
        <v>-</v>
      </c>
      <c r="D76" s="169" t="str">
        <f>IF(A76&lt;&gt;"",INT(VLOOKUPLEFT(A76,'06停留所'!$B$2:$C$9999,'06停留所'!$C$2:$C$9999,1)/10),"-")</f>
        <v>-</v>
      </c>
      <c r="E76" s="165"/>
      <c r="F76" s="165"/>
      <c r="G76" s="169" t="str">
        <f>IF(E76&lt;&gt;"",IF(F76="","XXX",VLOOKUP(H76*10+F76,'06停留所'!$B$2:$B$9999,1,FALSE)),"-")</f>
        <v>-</v>
      </c>
      <c r="H76" s="169" t="str">
        <f>IF(E76&lt;&gt;"",INT(VLOOKUPLEFT(E76,'06停留所'!$B$2:$C$9999,'06停留所'!$C$2:$C$9999,1)/10),"-")</f>
        <v>-</v>
      </c>
      <c r="I76" s="165"/>
      <c r="J76" s="165"/>
    </row>
    <row r="77" spans="1:10" x14ac:dyDescent="0.2">
      <c r="A77" s="165"/>
      <c r="B77" s="165"/>
      <c r="C77" s="169" t="str">
        <f>IF(A77&lt;&gt;"",IF(B77="","XXX",VLOOKUP(D77*10+B77,'06停留所'!$B$2:$B$9999,1,FALSE)),"-")</f>
        <v>-</v>
      </c>
      <c r="D77" s="169" t="str">
        <f>IF(A77&lt;&gt;"",INT(VLOOKUPLEFT(A77,'06停留所'!$B$2:$C$9999,'06停留所'!$C$2:$C$9999,1)/10),"-")</f>
        <v>-</v>
      </c>
      <c r="E77" s="165"/>
      <c r="F77" s="165"/>
      <c r="G77" s="169" t="str">
        <f>IF(E77&lt;&gt;"",IF(F77="","XXX",VLOOKUP(H77*10+F77,'06停留所'!$B$2:$B$9999,1,FALSE)),"-")</f>
        <v>-</v>
      </c>
      <c r="H77" s="169" t="str">
        <f>IF(E77&lt;&gt;"",INT(VLOOKUPLEFT(E77,'06停留所'!$B$2:$C$9999,'06停留所'!$C$2:$C$9999,1)/10),"-")</f>
        <v>-</v>
      </c>
      <c r="I77" s="165"/>
      <c r="J77" s="165"/>
    </row>
    <row r="78" spans="1:10" x14ac:dyDescent="0.2">
      <c r="A78" s="165"/>
      <c r="B78" s="165"/>
      <c r="C78" s="169" t="str">
        <f>IF(A78&lt;&gt;"",IF(B78="","XXX",VLOOKUP(D78*10+B78,'06停留所'!$B$2:$B$9999,1,FALSE)),"-")</f>
        <v>-</v>
      </c>
      <c r="D78" s="169" t="str">
        <f>IF(A78&lt;&gt;"",INT(VLOOKUPLEFT(A78,'06停留所'!$B$2:$C$9999,'06停留所'!$C$2:$C$9999,1)/10),"-")</f>
        <v>-</v>
      </c>
      <c r="E78" s="165"/>
      <c r="F78" s="165"/>
      <c r="G78" s="169" t="str">
        <f>IF(E78&lt;&gt;"",IF(F78="","XXX",VLOOKUP(H78*10+F78,'06停留所'!$B$2:$B$9999,1,FALSE)),"-")</f>
        <v>-</v>
      </c>
      <c r="H78" s="169" t="str">
        <f>IF(E78&lt;&gt;"",INT(VLOOKUPLEFT(E78,'06停留所'!$B$2:$C$9999,'06停留所'!$C$2:$C$9999,1)/10),"-")</f>
        <v>-</v>
      </c>
      <c r="I78" s="165"/>
      <c r="J78" s="165"/>
    </row>
    <row r="79" spans="1:10" x14ac:dyDescent="0.2">
      <c r="A79" s="165"/>
      <c r="B79" s="165"/>
      <c r="C79" s="169" t="str">
        <f>IF(A79&lt;&gt;"",IF(B79="","XXX",VLOOKUP(D79*10+B79,'06停留所'!$B$2:$B$9999,1,FALSE)),"-")</f>
        <v>-</v>
      </c>
      <c r="D79" s="169" t="str">
        <f>IF(A79&lt;&gt;"",INT(VLOOKUPLEFT(A79,'06停留所'!$B$2:$C$9999,'06停留所'!$C$2:$C$9999,1)/10),"-")</f>
        <v>-</v>
      </c>
      <c r="E79" s="165"/>
      <c r="F79" s="165"/>
      <c r="G79" s="169" t="str">
        <f>IF(E79&lt;&gt;"",IF(F79="","XXX",VLOOKUP(H79*10+F79,'06停留所'!$B$2:$B$9999,1,FALSE)),"-")</f>
        <v>-</v>
      </c>
      <c r="H79" s="169" t="str">
        <f>IF(E79&lt;&gt;"",INT(VLOOKUPLEFT(E79,'06停留所'!$B$2:$C$9999,'06停留所'!$C$2:$C$9999,1)/10),"-")</f>
        <v>-</v>
      </c>
      <c r="I79" s="165"/>
      <c r="J79" s="165"/>
    </row>
    <row r="80" spans="1:10" x14ac:dyDescent="0.2">
      <c r="A80" s="165"/>
      <c r="B80" s="165"/>
      <c r="C80" s="169" t="str">
        <f>IF(A80&lt;&gt;"",IF(B80="","XXX",VLOOKUP(D80*10+B80,'06停留所'!$B$2:$B$9999,1,FALSE)),"-")</f>
        <v>-</v>
      </c>
      <c r="D80" s="169" t="str">
        <f>IF(A80&lt;&gt;"",INT(VLOOKUPLEFT(A80,'06停留所'!$B$2:$C$9999,'06停留所'!$C$2:$C$9999,1)/10),"-")</f>
        <v>-</v>
      </c>
      <c r="E80" s="165"/>
      <c r="F80" s="165"/>
      <c r="G80" s="169" t="str">
        <f>IF(E80&lt;&gt;"",IF(F80="","XXX",VLOOKUP(H80*10+F80,'06停留所'!$B$2:$B$9999,1,FALSE)),"-")</f>
        <v>-</v>
      </c>
      <c r="H80" s="169" t="str">
        <f>IF(E80&lt;&gt;"",INT(VLOOKUPLEFT(E80,'06停留所'!$B$2:$C$9999,'06停留所'!$C$2:$C$9999,1)/10),"-")</f>
        <v>-</v>
      </c>
      <c r="I80" s="165"/>
      <c r="J80" s="165"/>
    </row>
    <row r="81" spans="1:10" x14ac:dyDescent="0.2">
      <c r="A81" s="165"/>
      <c r="B81" s="165"/>
      <c r="C81" s="169" t="str">
        <f>IF(A81&lt;&gt;"",IF(B81="","XXX",VLOOKUP(D81*10+B81,'06停留所'!$B$2:$B$9999,1,FALSE)),"-")</f>
        <v>-</v>
      </c>
      <c r="D81" s="169" t="str">
        <f>IF(A81&lt;&gt;"",INT(VLOOKUPLEFT(A81,'06停留所'!$B$2:$C$9999,'06停留所'!$C$2:$C$9999,1)/10),"-")</f>
        <v>-</v>
      </c>
      <c r="E81" s="165"/>
      <c r="F81" s="165"/>
      <c r="G81" s="169" t="str">
        <f>IF(E81&lt;&gt;"",IF(F81="","XXX",VLOOKUP(H81*10+F81,'06停留所'!$B$2:$B$9999,1,FALSE)),"-")</f>
        <v>-</v>
      </c>
      <c r="H81" s="169" t="str">
        <f>IF(E81&lt;&gt;"",INT(VLOOKUPLEFT(E81,'06停留所'!$B$2:$C$9999,'06停留所'!$C$2:$C$9999,1)/10),"-")</f>
        <v>-</v>
      </c>
      <c r="I81" s="165"/>
      <c r="J81" s="165"/>
    </row>
    <row r="82" spans="1:10" x14ac:dyDescent="0.2">
      <c r="A82" s="165"/>
      <c r="B82" s="165"/>
      <c r="C82" s="169" t="str">
        <f>IF(A82&lt;&gt;"",IF(B82="","XXX",VLOOKUP(D82*10+B82,'06停留所'!$B$2:$B$9999,1,FALSE)),"-")</f>
        <v>-</v>
      </c>
      <c r="D82" s="169" t="str">
        <f>IF(A82&lt;&gt;"",INT(VLOOKUPLEFT(A82,'06停留所'!$B$2:$C$9999,'06停留所'!$C$2:$C$9999,1)/10),"-")</f>
        <v>-</v>
      </c>
      <c r="E82" s="165"/>
      <c r="F82" s="165"/>
      <c r="G82" s="169" t="str">
        <f>IF(E82&lt;&gt;"",IF(F82="","XXX",VLOOKUP(H82*10+F82,'06停留所'!$B$2:$B$9999,1,FALSE)),"-")</f>
        <v>-</v>
      </c>
      <c r="H82" s="169" t="str">
        <f>IF(E82&lt;&gt;"",INT(VLOOKUPLEFT(E82,'06停留所'!$B$2:$C$9999,'06停留所'!$C$2:$C$9999,1)/10),"-")</f>
        <v>-</v>
      </c>
      <c r="I82" s="165"/>
      <c r="J82" s="165"/>
    </row>
    <row r="83" spans="1:10" x14ac:dyDescent="0.2">
      <c r="A83" s="165"/>
      <c r="B83" s="165"/>
      <c r="C83" s="169" t="str">
        <f>IF(A83&lt;&gt;"",IF(B83="","XXX",VLOOKUP(D83*10+B83,'06停留所'!$B$2:$B$9999,1,FALSE)),"-")</f>
        <v>-</v>
      </c>
      <c r="D83" s="169" t="str">
        <f>IF(A83&lt;&gt;"",INT(VLOOKUPLEFT(A83,'06停留所'!$B$2:$C$9999,'06停留所'!$C$2:$C$9999,1)/10),"-")</f>
        <v>-</v>
      </c>
      <c r="E83" s="165"/>
      <c r="F83" s="165"/>
      <c r="G83" s="169" t="str">
        <f>IF(E83&lt;&gt;"",IF(F83="","XXX",VLOOKUP(H83*10+F83,'06停留所'!$B$2:$B$9999,1,FALSE)),"-")</f>
        <v>-</v>
      </c>
      <c r="H83" s="169" t="str">
        <f>IF(E83&lt;&gt;"",INT(VLOOKUPLEFT(E83,'06停留所'!$B$2:$C$9999,'06停留所'!$C$2:$C$9999,1)/10),"-")</f>
        <v>-</v>
      </c>
      <c r="I83" s="165"/>
      <c r="J83" s="165"/>
    </row>
    <row r="84" spans="1:10" x14ac:dyDescent="0.2">
      <c r="A84" s="165"/>
      <c r="B84" s="165"/>
      <c r="C84" s="169" t="str">
        <f>IF(A84&lt;&gt;"",IF(B84="","XXX",VLOOKUP(D84*10+B84,'06停留所'!$B$2:$B$9999,1,FALSE)),"-")</f>
        <v>-</v>
      </c>
      <c r="D84" s="169" t="str">
        <f>IF(A84&lt;&gt;"",INT(VLOOKUPLEFT(A84,'06停留所'!$B$2:$C$9999,'06停留所'!$C$2:$C$9999,1)/10),"-")</f>
        <v>-</v>
      </c>
      <c r="E84" s="165"/>
      <c r="F84" s="165"/>
      <c r="G84" s="169" t="str">
        <f>IF(E84&lt;&gt;"",IF(F84="","XXX",VLOOKUP(H84*10+F84,'06停留所'!$B$2:$B$9999,1,FALSE)),"-")</f>
        <v>-</v>
      </c>
      <c r="H84" s="169" t="str">
        <f>IF(E84&lt;&gt;"",INT(VLOOKUPLEFT(E84,'06停留所'!$B$2:$C$9999,'06停留所'!$C$2:$C$9999,1)/10),"-")</f>
        <v>-</v>
      </c>
      <c r="I84" s="165"/>
      <c r="J84" s="165"/>
    </row>
    <row r="85" spans="1:10" x14ac:dyDescent="0.2">
      <c r="A85" s="165"/>
      <c r="B85" s="165"/>
      <c r="C85" s="169" t="str">
        <f>IF(A85&lt;&gt;"",IF(B85="","XXX",VLOOKUP(D85*10+B85,'06停留所'!$B$2:$B$9999,1,FALSE)),"-")</f>
        <v>-</v>
      </c>
      <c r="D85" s="169" t="str">
        <f>IF(A85&lt;&gt;"",INT(VLOOKUPLEFT(A85,'06停留所'!$B$2:$C$9999,'06停留所'!$C$2:$C$9999,1)/10),"-")</f>
        <v>-</v>
      </c>
      <c r="E85" s="165"/>
      <c r="F85" s="165"/>
      <c r="G85" s="169" t="str">
        <f>IF(E85&lt;&gt;"",IF(F85="","XXX",VLOOKUP(H85*10+F85,'06停留所'!$B$2:$B$9999,1,FALSE)),"-")</f>
        <v>-</v>
      </c>
      <c r="H85" s="169" t="str">
        <f>IF(E85&lt;&gt;"",INT(VLOOKUPLEFT(E85,'06停留所'!$B$2:$C$9999,'06停留所'!$C$2:$C$9999,1)/10),"-")</f>
        <v>-</v>
      </c>
      <c r="I85" s="165"/>
      <c r="J85" s="165"/>
    </row>
    <row r="86" spans="1:10" x14ac:dyDescent="0.2">
      <c r="A86" s="165"/>
      <c r="B86" s="165"/>
      <c r="C86" s="169" t="str">
        <f>IF(A86&lt;&gt;"",IF(B86="","XXX",VLOOKUP(D86*10+B86,'06停留所'!$B$2:$B$9999,1,FALSE)),"-")</f>
        <v>-</v>
      </c>
      <c r="D86" s="169" t="str">
        <f>IF(A86&lt;&gt;"",INT(VLOOKUPLEFT(A86,'06停留所'!$B$2:$C$9999,'06停留所'!$C$2:$C$9999,1)/10),"-")</f>
        <v>-</v>
      </c>
      <c r="E86" s="165"/>
      <c r="F86" s="165"/>
      <c r="G86" s="169" t="str">
        <f>IF(E86&lt;&gt;"",IF(F86="","XXX",VLOOKUP(H86*10+F86,'06停留所'!$B$2:$B$9999,1,FALSE)),"-")</f>
        <v>-</v>
      </c>
      <c r="H86" s="169" t="str">
        <f>IF(E86&lt;&gt;"",INT(VLOOKUPLEFT(E86,'06停留所'!$B$2:$C$9999,'06停留所'!$C$2:$C$9999,1)/10),"-")</f>
        <v>-</v>
      </c>
      <c r="I86" s="165"/>
      <c r="J86" s="165"/>
    </row>
    <row r="87" spans="1:10" x14ac:dyDescent="0.2">
      <c r="A87" s="165"/>
      <c r="B87" s="165"/>
      <c r="C87" s="169" t="str">
        <f>IF(A87&lt;&gt;"",IF(B87="","XXX",VLOOKUP(D87*10+B87,'06停留所'!$B$2:$B$9999,1,FALSE)),"-")</f>
        <v>-</v>
      </c>
      <c r="D87" s="169" t="str">
        <f>IF(A87&lt;&gt;"",INT(VLOOKUPLEFT(A87,'06停留所'!$B$2:$C$9999,'06停留所'!$C$2:$C$9999,1)/10),"-")</f>
        <v>-</v>
      </c>
      <c r="E87" s="165"/>
      <c r="F87" s="165"/>
      <c r="G87" s="169" t="str">
        <f>IF(E87&lt;&gt;"",IF(F87="","XXX",VLOOKUP(H87*10+F87,'06停留所'!$B$2:$B$9999,1,FALSE)),"-")</f>
        <v>-</v>
      </c>
      <c r="H87" s="169" t="str">
        <f>IF(E87&lt;&gt;"",INT(VLOOKUPLEFT(E87,'06停留所'!$B$2:$C$9999,'06停留所'!$C$2:$C$9999,1)/10),"-")</f>
        <v>-</v>
      </c>
      <c r="I87" s="165"/>
      <c r="J87" s="165"/>
    </row>
    <row r="88" spans="1:10" x14ac:dyDescent="0.2">
      <c r="A88" s="165"/>
      <c r="B88" s="165"/>
      <c r="C88" s="169" t="str">
        <f>IF(A88&lt;&gt;"",IF(B88="","XXX",VLOOKUP(D88*10+B88,'06停留所'!$B$2:$B$9999,1,FALSE)),"-")</f>
        <v>-</v>
      </c>
      <c r="D88" s="169" t="str">
        <f>IF(A88&lt;&gt;"",INT(VLOOKUPLEFT(A88,'06停留所'!$B$2:$C$9999,'06停留所'!$C$2:$C$9999,1)/10),"-")</f>
        <v>-</v>
      </c>
      <c r="E88" s="165"/>
      <c r="F88" s="165"/>
      <c r="G88" s="169" t="str">
        <f>IF(E88&lt;&gt;"",IF(F88="","XXX",VLOOKUP(H88*10+F88,'06停留所'!$B$2:$B$9999,1,FALSE)),"-")</f>
        <v>-</v>
      </c>
      <c r="H88" s="169" t="str">
        <f>IF(E88&lt;&gt;"",INT(VLOOKUPLEFT(E88,'06停留所'!$B$2:$C$9999,'06停留所'!$C$2:$C$9999,1)/10),"-")</f>
        <v>-</v>
      </c>
      <c r="I88" s="165"/>
      <c r="J88" s="165"/>
    </row>
    <row r="89" spans="1:10" x14ac:dyDescent="0.2">
      <c r="A89" s="165"/>
      <c r="B89" s="165"/>
      <c r="C89" s="169" t="str">
        <f>IF(A89&lt;&gt;"",IF(B89="","XXX",VLOOKUP(D89*10+B89,'06停留所'!$B$2:$B$9999,1,FALSE)),"-")</f>
        <v>-</v>
      </c>
      <c r="D89" s="169" t="str">
        <f>IF(A89&lt;&gt;"",INT(VLOOKUPLEFT(A89,'06停留所'!$B$2:$C$9999,'06停留所'!$C$2:$C$9999,1)/10),"-")</f>
        <v>-</v>
      </c>
      <c r="E89" s="165"/>
      <c r="F89" s="165"/>
      <c r="G89" s="169" t="str">
        <f>IF(E89&lt;&gt;"",IF(F89="","XXX",VLOOKUP(H89*10+F89,'06停留所'!$B$2:$B$9999,1,FALSE)),"-")</f>
        <v>-</v>
      </c>
      <c r="H89" s="169" t="str">
        <f>IF(E89&lt;&gt;"",INT(VLOOKUPLEFT(E89,'06停留所'!$B$2:$C$9999,'06停留所'!$C$2:$C$9999,1)/10),"-")</f>
        <v>-</v>
      </c>
      <c r="I89" s="165"/>
      <c r="J89" s="165"/>
    </row>
    <row r="90" spans="1:10" x14ac:dyDescent="0.2">
      <c r="A90" s="165"/>
      <c r="B90" s="165"/>
      <c r="C90" s="169" t="str">
        <f>IF(A90&lt;&gt;"",IF(B90="","XXX",VLOOKUP(D90*10+B90,'06停留所'!$B$2:$B$9999,1,FALSE)),"-")</f>
        <v>-</v>
      </c>
      <c r="D90" s="169" t="str">
        <f>IF(A90&lt;&gt;"",INT(VLOOKUPLEFT(A90,'06停留所'!$B$2:$C$9999,'06停留所'!$C$2:$C$9999,1)/10),"-")</f>
        <v>-</v>
      </c>
      <c r="E90" s="165"/>
      <c r="F90" s="165"/>
      <c r="G90" s="169" t="str">
        <f>IF(E90&lt;&gt;"",IF(F90="","XXX",VLOOKUP(H90*10+F90,'06停留所'!$B$2:$B$9999,1,FALSE)),"-")</f>
        <v>-</v>
      </c>
      <c r="H90" s="169" t="str">
        <f>IF(E90&lt;&gt;"",INT(VLOOKUPLEFT(E90,'06停留所'!$B$2:$C$9999,'06停留所'!$C$2:$C$9999,1)/10),"-")</f>
        <v>-</v>
      </c>
      <c r="I90" s="165"/>
      <c r="J90" s="165"/>
    </row>
    <row r="91" spans="1:10" x14ac:dyDescent="0.2">
      <c r="A91" s="165"/>
      <c r="B91" s="165"/>
      <c r="C91" s="169" t="str">
        <f>IF(A91&lt;&gt;"",IF(B91="","XXX",VLOOKUP(D91*10+B91,'06停留所'!$B$2:$B$9999,1,FALSE)),"-")</f>
        <v>-</v>
      </c>
      <c r="D91" s="169" t="str">
        <f>IF(A91&lt;&gt;"",INT(VLOOKUPLEFT(A91,'06停留所'!$B$2:$C$9999,'06停留所'!$C$2:$C$9999,1)/10),"-")</f>
        <v>-</v>
      </c>
      <c r="E91" s="165"/>
      <c r="F91" s="165"/>
      <c r="G91" s="169" t="str">
        <f>IF(E91&lt;&gt;"",IF(F91="","XXX",VLOOKUP(H91*10+F91,'06停留所'!$B$2:$B$9999,1,FALSE)),"-")</f>
        <v>-</v>
      </c>
      <c r="H91" s="169" t="str">
        <f>IF(E91&lt;&gt;"",INT(VLOOKUPLEFT(E91,'06停留所'!$B$2:$C$9999,'06停留所'!$C$2:$C$9999,1)/10),"-")</f>
        <v>-</v>
      </c>
      <c r="I91" s="165"/>
      <c r="J91" s="165"/>
    </row>
    <row r="92" spans="1:10" x14ac:dyDescent="0.2">
      <c r="A92" s="165"/>
      <c r="B92" s="165"/>
      <c r="C92" s="169" t="str">
        <f>IF(A92&lt;&gt;"",IF(B92="","XXX",VLOOKUP(D92*10+B92,'06停留所'!$B$2:$B$9999,1,FALSE)),"-")</f>
        <v>-</v>
      </c>
      <c r="D92" s="169" t="str">
        <f>IF(A92&lt;&gt;"",INT(VLOOKUPLEFT(A92,'06停留所'!$B$2:$C$9999,'06停留所'!$C$2:$C$9999,1)/10),"-")</f>
        <v>-</v>
      </c>
      <c r="E92" s="165"/>
      <c r="F92" s="165"/>
      <c r="G92" s="169" t="str">
        <f>IF(E92&lt;&gt;"",IF(F92="","XXX",VLOOKUP(H92*10+F92,'06停留所'!$B$2:$B$9999,1,FALSE)),"-")</f>
        <v>-</v>
      </c>
      <c r="H92" s="169" t="str">
        <f>IF(E92&lt;&gt;"",INT(VLOOKUPLEFT(E92,'06停留所'!$B$2:$C$9999,'06停留所'!$C$2:$C$9999,1)/10),"-")</f>
        <v>-</v>
      </c>
      <c r="I92" s="165"/>
      <c r="J92" s="165"/>
    </row>
    <row r="93" spans="1:10" x14ac:dyDescent="0.2">
      <c r="A93" s="165"/>
      <c r="B93" s="165"/>
      <c r="C93" s="169" t="str">
        <f>IF(A93&lt;&gt;"",IF(B93="","XXX",VLOOKUP(D93*10+B93,'06停留所'!$B$2:$B$9999,1,FALSE)),"-")</f>
        <v>-</v>
      </c>
      <c r="D93" s="169" t="str">
        <f>IF(A93&lt;&gt;"",INT(VLOOKUPLEFT(A93,'06停留所'!$B$2:$C$9999,'06停留所'!$C$2:$C$9999,1)/10),"-")</f>
        <v>-</v>
      </c>
      <c r="E93" s="165"/>
      <c r="F93" s="165"/>
      <c r="G93" s="169" t="str">
        <f>IF(E93&lt;&gt;"",IF(F93="","XXX",VLOOKUP(H93*10+F93,'06停留所'!$B$2:$B$9999,1,FALSE)),"-")</f>
        <v>-</v>
      </c>
      <c r="H93" s="169" t="str">
        <f>IF(E93&lt;&gt;"",INT(VLOOKUPLEFT(E93,'06停留所'!$B$2:$C$9999,'06停留所'!$C$2:$C$9999,1)/10),"-")</f>
        <v>-</v>
      </c>
      <c r="I93" s="165"/>
      <c r="J93" s="165"/>
    </row>
    <row r="94" spans="1:10" x14ac:dyDescent="0.2">
      <c r="A94" s="165"/>
      <c r="B94" s="165"/>
      <c r="C94" s="169" t="str">
        <f>IF(A94&lt;&gt;"",IF(B94="","XXX",VLOOKUP(D94*10+B94,'06停留所'!$B$2:$B$9999,1,FALSE)),"-")</f>
        <v>-</v>
      </c>
      <c r="D94" s="169" t="str">
        <f>IF(A94&lt;&gt;"",INT(VLOOKUPLEFT(A94,'06停留所'!$B$2:$C$9999,'06停留所'!$C$2:$C$9999,1)/10),"-")</f>
        <v>-</v>
      </c>
      <c r="E94" s="165"/>
      <c r="F94" s="165"/>
      <c r="G94" s="169" t="str">
        <f>IF(E94&lt;&gt;"",IF(F94="","XXX",VLOOKUP(H94*10+F94,'06停留所'!$B$2:$B$9999,1,FALSE)),"-")</f>
        <v>-</v>
      </c>
      <c r="H94" s="169" t="str">
        <f>IF(E94&lt;&gt;"",INT(VLOOKUPLEFT(E94,'06停留所'!$B$2:$C$9999,'06停留所'!$C$2:$C$9999,1)/10),"-")</f>
        <v>-</v>
      </c>
      <c r="I94" s="165"/>
      <c r="J94" s="165"/>
    </row>
    <row r="95" spans="1:10" x14ac:dyDescent="0.2">
      <c r="A95" s="165"/>
      <c r="B95" s="165"/>
      <c r="C95" s="169" t="str">
        <f>IF(A95&lt;&gt;"",IF(B95="","XXX",VLOOKUP(D95*10+B95,'06停留所'!$B$2:$B$9999,1,FALSE)),"-")</f>
        <v>-</v>
      </c>
      <c r="D95" s="169" t="str">
        <f>IF(A95&lt;&gt;"",INT(VLOOKUPLEFT(A95,'06停留所'!$B$2:$C$9999,'06停留所'!$C$2:$C$9999,1)/10),"-")</f>
        <v>-</v>
      </c>
      <c r="E95" s="165"/>
      <c r="F95" s="165"/>
      <c r="G95" s="169" t="str">
        <f>IF(E95&lt;&gt;"",IF(F95="","XXX",VLOOKUP(H95*10+F95,'06停留所'!$B$2:$B$9999,1,FALSE)),"-")</f>
        <v>-</v>
      </c>
      <c r="H95" s="169" t="str">
        <f>IF(E95&lt;&gt;"",INT(VLOOKUPLEFT(E95,'06停留所'!$B$2:$C$9999,'06停留所'!$C$2:$C$9999,1)/10),"-")</f>
        <v>-</v>
      </c>
      <c r="I95" s="165"/>
      <c r="J95" s="165"/>
    </row>
    <row r="96" spans="1:10" x14ac:dyDescent="0.2">
      <c r="A96" s="165"/>
      <c r="B96" s="165"/>
      <c r="C96" s="169" t="str">
        <f>IF(A96&lt;&gt;"",IF(B96="","XXX",VLOOKUP(D96*10+B96,'06停留所'!$B$2:$B$9999,1,FALSE)),"-")</f>
        <v>-</v>
      </c>
      <c r="D96" s="169" t="str">
        <f>IF(A96&lt;&gt;"",INT(VLOOKUPLEFT(A96,'06停留所'!$B$2:$C$9999,'06停留所'!$C$2:$C$9999,1)/10),"-")</f>
        <v>-</v>
      </c>
      <c r="E96" s="165"/>
      <c r="F96" s="165"/>
      <c r="G96" s="169" t="str">
        <f>IF(E96&lt;&gt;"",IF(F96="","XXX",VLOOKUP(H96*10+F96,'06停留所'!$B$2:$B$9999,1,FALSE)),"-")</f>
        <v>-</v>
      </c>
      <c r="H96" s="169" t="str">
        <f>IF(E96&lt;&gt;"",INT(VLOOKUPLEFT(E96,'06停留所'!$B$2:$C$9999,'06停留所'!$C$2:$C$9999,1)/10),"-")</f>
        <v>-</v>
      </c>
      <c r="I96" s="165"/>
      <c r="J96" s="165"/>
    </row>
    <row r="97" spans="1:10" x14ac:dyDescent="0.2">
      <c r="A97" s="165"/>
      <c r="B97" s="165"/>
      <c r="C97" s="169" t="str">
        <f>IF(A97&lt;&gt;"",IF(B97="","XXX",VLOOKUP(D97*10+B97,'06停留所'!$B$2:$B$9999,1,FALSE)),"-")</f>
        <v>-</v>
      </c>
      <c r="D97" s="169" t="str">
        <f>IF(A97&lt;&gt;"",INT(VLOOKUPLEFT(A97,'06停留所'!$B$2:$C$9999,'06停留所'!$C$2:$C$9999,1)/10),"-")</f>
        <v>-</v>
      </c>
      <c r="E97" s="165"/>
      <c r="F97" s="165"/>
      <c r="G97" s="169" t="str">
        <f>IF(E97&lt;&gt;"",IF(F97="","XXX",VLOOKUP(H97*10+F97,'06停留所'!$B$2:$B$9999,1,FALSE)),"-")</f>
        <v>-</v>
      </c>
      <c r="H97" s="169" t="str">
        <f>IF(E97&lt;&gt;"",INT(VLOOKUPLEFT(E97,'06停留所'!$B$2:$C$9999,'06停留所'!$C$2:$C$9999,1)/10),"-")</f>
        <v>-</v>
      </c>
      <c r="I97" s="165"/>
      <c r="J97" s="165"/>
    </row>
    <row r="98" spans="1:10" x14ac:dyDescent="0.2">
      <c r="A98" s="165"/>
      <c r="B98" s="165"/>
      <c r="C98" s="169" t="str">
        <f>IF(A98&lt;&gt;"",IF(B98="","XXX",VLOOKUP(D98*10+B98,'06停留所'!$B$2:$B$9999,1,FALSE)),"-")</f>
        <v>-</v>
      </c>
      <c r="D98" s="169" t="str">
        <f>IF(A98&lt;&gt;"",INT(VLOOKUPLEFT(A98,'06停留所'!$B$2:$C$9999,'06停留所'!$C$2:$C$9999,1)/10),"-")</f>
        <v>-</v>
      </c>
      <c r="E98" s="165"/>
      <c r="F98" s="165"/>
      <c r="G98" s="169" t="str">
        <f>IF(E98&lt;&gt;"",IF(F98="","XXX",VLOOKUP(H98*10+F98,'06停留所'!$B$2:$B$9999,1,FALSE)),"-")</f>
        <v>-</v>
      </c>
      <c r="H98" s="169" t="str">
        <f>IF(E98&lt;&gt;"",INT(VLOOKUPLEFT(E98,'06停留所'!$B$2:$C$9999,'06停留所'!$C$2:$C$9999,1)/10),"-")</f>
        <v>-</v>
      </c>
      <c r="I98" s="165"/>
      <c r="J98" s="165"/>
    </row>
    <row r="99" spans="1:10" x14ac:dyDescent="0.2">
      <c r="A99" s="165"/>
      <c r="B99" s="165"/>
      <c r="C99" s="169" t="str">
        <f>IF(A99&lt;&gt;"",IF(B99="","XXX",VLOOKUP(D99*10+B99,'06停留所'!$B$2:$B$9999,1,FALSE)),"-")</f>
        <v>-</v>
      </c>
      <c r="D99" s="169" t="str">
        <f>IF(A99&lt;&gt;"",INT(VLOOKUPLEFT(A99,'06停留所'!$B$2:$C$9999,'06停留所'!$C$2:$C$9999,1)/10),"-")</f>
        <v>-</v>
      </c>
      <c r="E99" s="165"/>
      <c r="F99" s="165"/>
      <c r="G99" s="169" t="str">
        <f>IF(E99&lt;&gt;"",IF(F99="","XXX",VLOOKUP(H99*10+F99,'06停留所'!$B$2:$B$9999,1,FALSE)),"-")</f>
        <v>-</v>
      </c>
      <c r="H99" s="169" t="str">
        <f>IF(E99&lt;&gt;"",INT(VLOOKUPLEFT(E99,'06停留所'!$B$2:$C$9999,'06停留所'!$C$2:$C$9999,1)/10),"-")</f>
        <v>-</v>
      </c>
      <c r="I99" s="165"/>
      <c r="J99" s="165"/>
    </row>
    <row r="100" spans="1:10" x14ac:dyDescent="0.2">
      <c r="A100" s="165"/>
      <c r="B100" s="165"/>
      <c r="C100" s="169" t="str">
        <f>IF(A100&lt;&gt;"",IF(B100="","XXX",VLOOKUP(D100*10+B100,'06停留所'!$B$2:$B$9999,1,FALSE)),"-")</f>
        <v>-</v>
      </c>
      <c r="D100" s="169" t="str">
        <f>IF(A100&lt;&gt;"",INT(VLOOKUPLEFT(A100,'06停留所'!$B$2:$C$9999,'06停留所'!$C$2:$C$9999,1)/10),"-")</f>
        <v>-</v>
      </c>
      <c r="E100" s="165"/>
      <c r="F100" s="165"/>
      <c r="G100" s="169" t="str">
        <f>IF(E100&lt;&gt;"",IF(F100="","XXX",VLOOKUP(H100*10+F100,'06停留所'!$B$2:$B$9999,1,FALSE)),"-")</f>
        <v>-</v>
      </c>
      <c r="H100" s="169" t="str">
        <f>IF(E100&lt;&gt;"",INT(VLOOKUPLEFT(E100,'06停留所'!$B$2:$C$9999,'06停留所'!$C$2:$C$9999,1)/10),"-")</f>
        <v>-</v>
      </c>
      <c r="I100" s="165"/>
      <c r="J100" s="165"/>
    </row>
  </sheetData>
  <sheetProtection sheet="1" objects="1" scenarios="1"/>
  <phoneticPr fontId="1"/>
  <dataValidations count="2">
    <dataValidation type="list" imeMode="hiragana" allowBlank="1" showInputMessage="1" showErrorMessage="1" sqref="I2:I2351" xr:uid="{7A2A5851-0790-43F5-A3B3-8016DCF6F88A}">
      <formula1>"0乗換推奨,1接続待ちあり,2乗換時間設定,3乗換非推奨"</formula1>
    </dataValidation>
    <dataValidation imeMode="hiragana" allowBlank="1" showInputMessage="1" showErrorMessage="1" sqref="J2:J2351" xr:uid="{BC958B12-D097-4CEF-8E2F-73A85FB6B396}"/>
  </dataValidation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B20A2-0773-4C2B-916A-C584E2F23038}">
  <sheetPr codeName="Sheet11"/>
  <dimension ref="A1:DR137"/>
  <sheetViews>
    <sheetView showGridLines="0" zoomScaleNormal="100" workbookViewId="0">
      <pane xSplit="2" topLeftCell="C1" activePane="topRight" state="frozen"/>
      <selection activeCell="F6" sqref="F6"/>
      <selection pane="topRight" activeCell="A2" sqref="A2"/>
    </sheetView>
  </sheetViews>
  <sheetFormatPr defaultColWidth="9" defaultRowHeight="13" x14ac:dyDescent="0.2"/>
  <cols>
    <col min="1" max="1" width="23" style="26" customWidth="1"/>
    <col min="2" max="2" width="5.08984375" style="96" customWidth="1"/>
    <col min="3" max="3" width="4.6328125" style="96" customWidth="1"/>
    <col min="4" max="4" width="5" style="96" customWidth="1"/>
    <col min="5" max="5" width="3.6328125" style="26" hidden="1" customWidth="1"/>
    <col min="6" max="8" width="5.08984375" style="26" bestFit="1" customWidth="1"/>
    <col min="9" max="9" width="5.08984375" style="26" customWidth="1"/>
    <col min="10" max="11" width="2" style="26" hidden="1" customWidth="1"/>
    <col min="12" max="12" width="5.7265625" customWidth="1"/>
    <col min="13" max="13" width="6.08984375" bestFit="1" customWidth="1"/>
    <col min="14" max="14" width="6.6328125" style="26" customWidth="1"/>
    <col min="15" max="94" width="6.90625" style="26" customWidth="1"/>
    <col min="95" max="96" width="9" style="26"/>
    <col min="97" max="122" width="14.6328125" style="183" customWidth="1"/>
    <col min="123" max="16384" width="9" style="26"/>
  </cols>
  <sheetData>
    <row r="1" spans="1:122" ht="16.5" x14ac:dyDescent="0.2">
      <c r="A1" s="19" t="s">
        <v>44</v>
      </c>
      <c r="B1" s="20"/>
      <c r="C1" s="20"/>
      <c r="D1" s="20"/>
      <c r="E1" s="21"/>
      <c r="F1" s="21"/>
      <c r="G1" s="21"/>
      <c r="H1" s="21"/>
      <c r="I1" s="21"/>
      <c r="J1" s="21"/>
      <c r="K1" s="21"/>
      <c r="L1" s="22"/>
      <c r="M1" s="22"/>
      <c r="N1" s="21"/>
      <c r="O1" s="23" t="s">
        <v>45</v>
      </c>
      <c r="P1" s="24"/>
      <c r="Q1" s="21"/>
      <c r="R1" s="21" t="s">
        <v>46</v>
      </c>
      <c r="S1" s="205"/>
      <c r="T1" s="206"/>
      <c r="U1" s="206"/>
      <c r="V1" s="206"/>
      <c r="W1" s="206"/>
      <c r="X1" s="206"/>
      <c r="Y1" s="207"/>
      <c r="Z1" s="21"/>
      <c r="AA1" s="25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21"/>
      <c r="BC1" s="21"/>
      <c r="BD1" s="21"/>
      <c r="BE1" s="21"/>
      <c r="BF1" s="21"/>
      <c r="BG1" s="21"/>
      <c r="BH1" s="21"/>
      <c r="BI1" s="21"/>
      <c r="BJ1" s="21"/>
      <c r="BK1" s="21"/>
      <c r="BL1" s="21"/>
      <c r="BM1" s="21"/>
      <c r="BN1" s="21"/>
      <c r="BO1" s="21"/>
      <c r="BP1" s="21"/>
      <c r="BQ1" s="21"/>
      <c r="BR1" s="21"/>
      <c r="BS1" s="21"/>
      <c r="BT1" s="21"/>
      <c r="BU1" s="21"/>
      <c r="BV1" s="21"/>
      <c r="BW1" s="21"/>
      <c r="BX1" s="21"/>
      <c r="BY1" s="21"/>
      <c r="BZ1" s="21"/>
      <c r="CA1" s="21"/>
      <c r="CB1" s="21"/>
      <c r="CC1" s="21"/>
      <c r="CD1" s="21"/>
      <c r="CE1" s="21"/>
      <c r="CF1" s="21"/>
      <c r="CG1" s="21"/>
      <c r="CH1" s="21"/>
      <c r="CI1" s="21"/>
      <c r="CJ1" s="21"/>
      <c r="CK1" s="21"/>
      <c r="CL1" s="21"/>
      <c r="CM1" s="21"/>
      <c r="CN1" s="21"/>
      <c r="CO1" s="21"/>
      <c r="CP1" s="21"/>
    </row>
    <row r="2" spans="1:122" x14ac:dyDescent="0.2">
      <c r="A2" s="27" t="s">
        <v>47</v>
      </c>
      <c r="B2" s="28"/>
      <c r="C2" s="28"/>
      <c r="D2" s="28"/>
      <c r="E2" s="29"/>
      <c r="F2" s="21"/>
      <c r="G2" s="21"/>
      <c r="H2" s="21"/>
      <c r="I2" s="21"/>
      <c r="J2" s="21"/>
      <c r="K2" s="21"/>
      <c r="L2" s="30"/>
      <c r="M2" s="30"/>
      <c r="N2" s="29"/>
      <c r="O2" s="29"/>
      <c r="P2" s="29"/>
      <c r="Q2" s="21"/>
      <c r="R2" s="29"/>
      <c r="S2" s="21"/>
      <c r="T2" s="21"/>
      <c r="U2" s="21"/>
      <c r="V2" s="21"/>
      <c r="W2" s="31" t="s">
        <v>48</v>
      </c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  <c r="BO2" s="21"/>
      <c r="BP2" s="21"/>
      <c r="BQ2" s="21"/>
      <c r="BR2" s="21"/>
      <c r="BS2" s="21"/>
      <c r="BT2" s="21"/>
      <c r="BU2" s="21"/>
      <c r="BV2" s="21"/>
      <c r="BW2" s="21"/>
      <c r="BX2" s="21"/>
      <c r="BY2" s="21"/>
      <c r="BZ2" s="21"/>
      <c r="CA2" s="21"/>
      <c r="CB2" s="21"/>
      <c r="CC2" s="21"/>
      <c r="CD2" s="21"/>
      <c r="CE2" s="21"/>
      <c r="CF2" s="21"/>
      <c r="CG2" s="21"/>
      <c r="CH2" s="21"/>
      <c r="CI2" s="21"/>
      <c r="CJ2" s="21"/>
      <c r="CK2" s="21"/>
      <c r="CL2" s="21"/>
      <c r="CM2" s="21"/>
      <c r="CN2" s="21"/>
      <c r="CO2" s="21"/>
      <c r="CP2" s="21"/>
    </row>
    <row r="3" spans="1:122" x14ac:dyDescent="0.2">
      <c r="A3" s="32" t="s">
        <v>49</v>
      </c>
      <c r="B3" s="20"/>
      <c r="C3" s="20"/>
      <c r="D3" s="20"/>
      <c r="E3" s="21"/>
      <c r="F3" s="21"/>
      <c r="G3" s="21"/>
      <c r="H3" s="21"/>
      <c r="I3" s="21"/>
      <c r="J3" s="21"/>
      <c r="K3" s="21"/>
      <c r="L3" s="22"/>
      <c r="M3" s="22"/>
      <c r="N3" s="33"/>
      <c r="O3" s="34" t="s">
        <v>50</v>
      </c>
      <c r="P3" s="21"/>
      <c r="Q3" s="21"/>
      <c r="R3" s="21"/>
      <c r="S3" s="21"/>
      <c r="T3" s="21"/>
      <c r="U3" s="21"/>
      <c r="V3" s="21"/>
      <c r="W3" s="35" t="s">
        <v>51</v>
      </c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1"/>
      <c r="BJ3" s="21"/>
      <c r="BK3" s="21"/>
      <c r="BL3" s="21"/>
      <c r="BM3" s="21"/>
      <c r="BN3" s="21"/>
      <c r="BO3" s="21"/>
      <c r="BP3" s="21"/>
      <c r="BQ3" s="21"/>
      <c r="BR3" s="21"/>
      <c r="BS3" s="21"/>
      <c r="BT3" s="21"/>
      <c r="BU3" s="21"/>
      <c r="BV3" s="21"/>
      <c r="BW3" s="21"/>
      <c r="BX3" s="21"/>
      <c r="BY3" s="21"/>
      <c r="BZ3" s="21"/>
      <c r="CA3" s="21"/>
      <c r="CB3" s="21"/>
      <c r="CC3" s="21"/>
      <c r="CD3" s="21"/>
      <c r="CE3" s="21"/>
      <c r="CF3" s="21"/>
      <c r="CG3" s="21"/>
      <c r="CH3" s="21"/>
      <c r="CI3" s="21"/>
      <c r="CJ3" s="21"/>
      <c r="CK3" s="21"/>
      <c r="CL3" s="21"/>
      <c r="CM3" s="21"/>
      <c r="CN3" s="21"/>
      <c r="CO3" s="21"/>
      <c r="CP3" s="21"/>
    </row>
    <row r="4" spans="1:122" x14ac:dyDescent="0.2">
      <c r="A4" s="36"/>
      <c r="B4" s="37"/>
      <c r="C4" s="37"/>
      <c r="D4" s="37"/>
      <c r="E4" s="38"/>
      <c r="F4" s="38"/>
      <c r="G4" s="38"/>
      <c r="H4" s="38"/>
      <c r="I4" s="38"/>
      <c r="J4" s="38"/>
      <c r="K4" s="38"/>
      <c r="L4" s="39"/>
      <c r="M4" s="39"/>
      <c r="N4" s="40"/>
      <c r="O4" s="41">
        <v>1</v>
      </c>
      <c r="P4" s="42">
        <v>2</v>
      </c>
      <c r="Q4" s="41">
        <v>3</v>
      </c>
      <c r="R4" s="42">
        <v>4</v>
      </c>
      <c r="S4" s="41">
        <v>5</v>
      </c>
      <c r="T4" s="42">
        <v>6</v>
      </c>
      <c r="U4" s="41">
        <v>7</v>
      </c>
      <c r="V4" s="42">
        <v>8</v>
      </c>
      <c r="W4" s="41">
        <v>9</v>
      </c>
      <c r="X4" s="42">
        <v>10</v>
      </c>
      <c r="Y4" s="41">
        <v>11</v>
      </c>
      <c r="Z4" s="42">
        <v>12</v>
      </c>
      <c r="AA4" s="41">
        <v>13</v>
      </c>
      <c r="AB4" s="42">
        <v>14</v>
      </c>
      <c r="AC4" s="41">
        <v>15</v>
      </c>
      <c r="AD4" s="42">
        <v>16</v>
      </c>
      <c r="AE4" s="41">
        <v>17</v>
      </c>
      <c r="AF4" s="42">
        <v>18</v>
      </c>
      <c r="AG4" s="41">
        <v>19</v>
      </c>
      <c r="AH4" s="42">
        <v>20</v>
      </c>
      <c r="AI4" s="41">
        <v>21</v>
      </c>
      <c r="AJ4" s="42">
        <v>22</v>
      </c>
      <c r="AK4" s="41">
        <v>23</v>
      </c>
      <c r="AL4" s="42">
        <v>24</v>
      </c>
      <c r="AM4" s="41">
        <v>25</v>
      </c>
      <c r="AN4" s="42">
        <v>26</v>
      </c>
      <c r="AO4" s="41">
        <v>27</v>
      </c>
      <c r="AP4" s="42">
        <v>28</v>
      </c>
      <c r="AQ4" s="41">
        <v>29</v>
      </c>
      <c r="AR4" s="42">
        <v>30</v>
      </c>
      <c r="AS4" s="41">
        <v>31</v>
      </c>
      <c r="AT4" s="42">
        <v>32</v>
      </c>
      <c r="AU4" s="41">
        <v>33</v>
      </c>
      <c r="AV4" s="42">
        <v>34</v>
      </c>
      <c r="AW4" s="41">
        <v>35</v>
      </c>
      <c r="AX4" s="42">
        <v>36</v>
      </c>
      <c r="AY4" s="41">
        <v>37</v>
      </c>
      <c r="AZ4" s="42">
        <v>38</v>
      </c>
      <c r="BA4" s="41">
        <v>39</v>
      </c>
      <c r="BB4" s="42">
        <v>40</v>
      </c>
      <c r="BC4" s="41">
        <v>41</v>
      </c>
      <c r="BD4" s="42">
        <v>42</v>
      </c>
      <c r="BE4" s="41">
        <v>43</v>
      </c>
      <c r="BF4" s="42">
        <v>44</v>
      </c>
      <c r="BG4" s="41">
        <v>45</v>
      </c>
      <c r="BH4" s="42">
        <v>46</v>
      </c>
      <c r="BI4" s="41">
        <v>47</v>
      </c>
      <c r="BJ4" s="42">
        <v>48</v>
      </c>
      <c r="BK4" s="41">
        <v>49</v>
      </c>
      <c r="BL4" s="42">
        <v>50</v>
      </c>
      <c r="BM4" s="41">
        <v>51</v>
      </c>
      <c r="BN4" s="42">
        <v>52</v>
      </c>
      <c r="BO4" s="41">
        <v>53</v>
      </c>
      <c r="BP4" s="42">
        <v>54</v>
      </c>
      <c r="BQ4" s="41">
        <v>55</v>
      </c>
      <c r="BR4" s="42">
        <v>56</v>
      </c>
      <c r="BS4" s="41">
        <v>57</v>
      </c>
      <c r="BT4" s="42">
        <v>58</v>
      </c>
      <c r="BU4" s="41">
        <v>59</v>
      </c>
      <c r="BV4" s="42">
        <v>60</v>
      </c>
      <c r="BW4" s="41">
        <v>61</v>
      </c>
      <c r="BX4" s="42">
        <v>62</v>
      </c>
      <c r="BY4" s="41">
        <v>63</v>
      </c>
      <c r="BZ4" s="42">
        <v>64</v>
      </c>
      <c r="CA4" s="41">
        <v>65</v>
      </c>
      <c r="CB4" s="42">
        <v>66</v>
      </c>
      <c r="CC4" s="41">
        <v>67</v>
      </c>
      <c r="CD4" s="42">
        <v>68</v>
      </c>
      <c r="CE4" s="41">
        <v>69</v>
      </c>
      <c r="CF4" s="42">
        <v>70</v>
      </c>
      <c r="CG4" s="41">
        <v>71</v>
      </c>
      <c r="CH4" s="42">
        <v>72</v>
      </c>
      <c r="CI4" s="41">
        <v>73</v>
      </c>
      <c r="CJ4" s="42">
        <v>74</v>
      </c>
      <c r="CK4" s="41">
        <v>75</v>
      </c>
      <c r="CL4" s="42">
        <v>76</v>
      </c>
      <c r="CM4" s="41">
        <v>77</v>
      </c>
      <c r="CN4" s="42">
        <v>78</v>
      </c>
      <c r="CO4" s="41">
        <v>79</v>
      </c>
      <c r="CP4" s="42">
        <v>80</v>
      </c>
      <c r="CR4" s="175" t="s">
        <v>168</v>
      </c>
      <c r="CS4" s="184" t="s">
        <v>169</v>
      </c>
      <c r="CT4" s="184" t="s">
        <v>170</v>
      </c>
      <c r="CU4" s="185" t="s">
        <v>169</v>
      </c>
      <c r="CV4" s="185" t="s">
        <v>170</v>
      </c>
      <c r="CW4" s="184" t="s">
        <v>169</v>
      </c>
      <c r="CX4" s="184" t="s">
        <v>170</v>
      </c>
      <c r="CY4" s="185" t="s">
        <v>169</v>
      </c>
      <c r="CZ4" s="185" t="s">
        <v>170</v>
      </c>
      <c r="DA4" s="184" t="s">
        <v>169</v>
      </c>
      <c r="DB4" s="184" t="s">
        <v>170</v>
      </c>
      <c r="DC4" s="185" t="s">
        <v>169</v>
      </c>
      <c r="DD4" s="185" t="s">
        <v>170</v>
      </c>
      <c r="DE4" s="184" t="s">
        <v>169</v>
      </c>
      <c r="DF4" s="184" t="s">
        <v>170</v>
      </c>
      <c r="DG4" s="185" t="s">
        <v>169</v>
      </c>
      <c r="DH4" s="185" t="s">
        <v>170</v>
      </c>
      <c r="DI4" s="184" t="s">
        <v>169</v>
      </c>
      <c r="DJ4" s="184" t="s">
        <v>170</v>
      </c>
      <c r="DK4" s="185" t="s">
        <v>169</v>
      </c>
      <c r="DL4" s="185" t="s">
        <v>170</v>
      </c>
      <c r="DM4" s="184" t="s">
        <v>169</v>
      </c>
      <c r="DN4" s="184" t="s">
        <v>170</v>
      </c>
      <c r="DO4" s="185" t="s">
        <v>169</v>
      </c>
      <c r="DP4" s="185" t="s">
        <v>170</v>
      </c>
      <c r="DQ4" s="184" t="s">
        <v>169</v>
      </c>
      <c r="DR4" s="184" t="s">
        <v>170</v>
      </c>
    </row>
    <row r="5" spans="1:122" x14ac:dyDescent="0.2">
      <c r="A5" s="43"/>
      <c r="B5" s="44"/>
      <c r="C5" s="44"/>
      <c r="D5" s="44"/>
      <c r="E5" s="45"/>
      <c r="F5" s="45"/>
      <c r="G5" s="45"/>
      <c r="H5" s="45"/>
      <c r="I5" s="45"/>
      <c r="J5" s="45"/>
      <c r="K5" s="45"/>
      <c r="L5" s="46"/>
      <c r="M5" s="46"/>
      <c r="N5" s="104" t="s">
        <v>80</v>
      </c>
      <c r="O5" s="102"/>
      <c r="P5" s="103"/>
      <c r="Q5" s="102"/>
      <c r="R5" s="103"/>
      <c r="S5" s="102"/>
      <c r="T5" s="103"/>
      <c r="U5" s="102"/>
      <c r="V5" s="103"/>
      <c r="W5" s="102"/>
      <c r="X5" s="103"/>
      <c r="Y5" s="102"/>
      <c r="Z5" s="103"/>
      <c r="AA5" s="102"/>
      <c r="AB5" s="103"/>
      <c r="AC5" s="102"/>
      <c r="AD5" s="103"/>
      <c r="AE5" s="102"/>
      <c r="AF5" s="103"/>
      <c r="AG5" s="102"/>
      <c r="AH5" s="103"/>
      <c r="AI5" s="102"/>
      <c r="AJ5" s="103"/>
      <c r="AK5" s="102"/>
      <c r="AL5" s="103"/>
      <c r="AM5" s="102"/>
      <c r="AN5" s="103"/>
      <c r="AO5" s="102"/>
      <c r="AP5" s="103"/>
      <c r="AQ5" s="102"/>
      <c r="AR5" s="102"/>
      <c r="AS5" s="102"/>
      <c r="AT5" s="102"/>
      <c r="AU5" s="102"/>
      <c r="AV5" s="102"/>
      <c r="AW5" s="102"/>
      <c r="AX5" s="102"/>
      <c r="AY5" s="102"/>
      <c r="AZ5" s="102"/>
      <c r="BA5" s="102"/>
      <c r="BB5" s="103"/>
      <c r="BC5" s="102"/>
      <c r="BD5" s="102"/>
      <c r="BE5" s="102"/>
      <c r="BF5" s="102"/>
      <c r="BG5" s="102"/>
      <c r="BH5" s="102"/>
      <c r="BI5" s="102"/>
      <c r="BJ5" s="102"/>
      <c r="BK5" s="102"/>
      <c r="BL5" s="102"/>
      <c r="BM5" s="102"/>
      <c r="BN5" s="102"/>
      <c r="BO5" s="102"/>
      <c r="BP5" s="102"/>
      <c r="BQ5" s="102"/>
      <c r="BR5" s="102"/>
      <c r="BS5" s="102"/>
      <c r="BT5" s="102"/>
      <c r="BU5" s="102"/>
      <c r="BV5" s="102"/>
      <c r="BW5" s="102"/>
      <c r="BX5" s="102"/>
      <c r="BY5" s="102"/>
      <c r="BZ5" s="102"/>
      <c r="CA5" s="102"/>
      <c r="CB5" s="102"/>
      <c r="CC5" s="102"/>
      <c r="CD5" s="102"/>
      <c r="CE5" s="102"/>
      <c r="CF5" s="102"/>
      <c r="CG5" s="102"/>
      <c r="CH5" s="103"/>
      <c r="CI5" s="102"/>
      <c r="CJ5" s="103"/>
      <c r="CK5" s="102"/>
      <c r="CL5" s="103"/>
      <c r="CM5" s="102"/>
      <c r="CN5" s="103"/>
      <c r="CO5" s="102"/>
      <c r="CP5" s="103"/>
    </row>
    <row r="6" spans="1:122" x14ac:dyDescent="0.2">
      <c r="A6" s="43"/>
      <c r="B6" s="44"/>
      <c r="C6" s="44"/>
      <c r="D6" s="44"/>
      <c r="E6" s="45"/>
      <c r="F6" s="45"/>
      <c r="G6" s="45"/>
      <c r="H6" s="45"/>
      <c r="I6" s="45"/>
      <c r="J6" s="45"/>
      <c r="K6" s="45"/>
      <c r="L6" s="46"/>
      <c r="M6" s="46"/>
      <c r="N6" s="104" t="s">
        <v>131</v>
      </c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47"/>
      <c r="BB6" s="47"/>
      <c r="BC6" s="47"/>
      <c r="BD6" s="47"/>
      <c r="BE6" s="47"/>
      <c r="BF6" s="47"/>
      <c r="BG6" s="47"/>
      <c r="BH6" s="47"/>
      <c r="BI6" s="47"/>
      <c r="BJ6" s="47"/>
      <c r="BK6" s="47"/>
      <c r="BL6" s="47"/>
      <c r="BM6" s="47"/>
      <c r="BN6" s="47"/>
      <c r="BO6" s="47"/>
      <c r="BP6" s="47"/>
      <c r="BQ6" s="47"/>
      <c r="BR6" s="47"/>
      <c r="BS6" s="47"/>
      <c r="BT6" s="47"/>
      <c r="BU6" s="47"/>
      <c r="BV6" s="47"/>
      <c r="BW6" s="47"/>
      <c r="BX6" s="47"/>
      <c r="BY6" s="47"/>
      <c r="BZ6" s="47"/>
      <c r="CA6" s="47"/>
      <c r="CB6" s="47"/>
      <c r="CC6" s="47"/>
      <c r="CD6" s="47"/>
      <c r="CE6" s="47"/>
      <c r="CF6" s="47"/>
      <c r="CG6" s="47"/>
      <c r="CH6" s="47"/>
      <c r="CI6" s="47"/>
      <c r="CJ6" s="47"/>
      <c r="CK6" s="47"/>
      <c r="CL6" s="47"/>
      <c r="CM6" s="47"/>
      <c r="CN6" s="47"/>
      <c r="CO6" s="47"/>
      <c r="CP6" s="47"/>
    </row>
    <row r="7" spans="1:122" x14ac:dyDescent="0.2">
      <c r="A7" s="43"/>
      <c r="B7" s="44"/>
      <c r="C7" s="44"/>
      <c r="D7" s="44"/>
      <c r="E7" s="45"/>
      <c r="F7" s="45"/>
      <c r="G7" s="45"/>
      <c r="H7" s="45"/>
      <c r="I7" s="45"/>
      <c r="J7" s="45"/>
      <c r="K7" s="45"/>
      <c r="L7" s="46"/>
      <c r="M7" s="46"/>
      <c r="N7" s="50" t="s">
        <v>52</v>
      </c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47"/>
      <c r="AK7" s="47"/>
      <c r="AL7" s="47"/>
      <c r="AM7" s="47"/>
      <c r="AN7" s="47"/>
      <c r="AO7" s="47"/>
      <c r="AP7" s="47"/>
      <c r="AQ7" s="47"/>
      <c r="AR7" s="47"/>
      <c r="AS7" s="47"/>
      <c r="AT7" s="47"/>
      <c r="AU7" s="47"/>
      <c r="AV7" s="47"/>
      <c r="AW7" s="47"/>
      <c r="AX7" s="47"/>
      <c r="AY7" s="47"/>
      <c r="AZ7" s="47"/>
      <c r="BA7" s="47"/>
      <c r="BB7" s="47"/>
      <c r="BC7" s="47"/>
      <c r="BD7" s="47"/>
      <c r="BE7" s="47"/>
      <c r="BF7" s="47"/>
      <c r="BG7" s="47"/>
      <c r="BH7" s="47"/>
      <c r="BI7" s="47"/>
      <c r="BJ7" s="47"/>
      <c r="BK7" s="47"/>
      <c r="BL7" s="47"/>
      <c r="BM7" s="47"/>
      <c r="BN7" s="47"/>
      <c r="BO7" s="47"/>
      <c r="BP7" s="47"/>
      <c r="BQ7" s="47"/>
      <c r="BR7" s="47"/>
      <c r="BS7" s="47"/>
      <c r="BT7" s="47"/>
      <c r="BU7" s="47"/>
      <c r="BV7" s="47"/>
      <c r="BW7" s="47"/>
      <c r="BX7" s="47"/>
      <c r="BY7" s="47"/>
      <c r="BZ7" s="47"/>
      <c r="CA7" s="47"/>
      <c r="CB7" s="47"/>
      <c r="CC7" s="47"/>
      <c r="CD7" s="47"/>
      <c r="CE7" s="47"/>
      <c r="CF7" s="47"/>
      <c r="CG7" s="47"/>
      <c r="CH7" s="47"/>
      <c r="CI7" s="47"/>
      <c r="CJ7" s="47"/>
      <c r="CK7" s="47"/>
      <c r="CL7" s="47"/>
      <c r="CM7" s="47"/>
      <c r="CN7" s="47"/>
      <c r="CO7" s="47"/>
      <c r="CP7" s="47"/>
    </row>
    <row r="8" spans="1:122" x14ac:dyDescent="0.2">
      <c r="A8" s="48"/>
      <c r="B8" s="49"/>
      <c r="C8" s="49"/>
      <c r="D8" s="49"/>
      <c r="E8" s="50"/>
      <c r="F8" s="50"/>
      <c r="G8" s="50"/>
      <c r="H8" s="50"/>
      <c r="I8" s="50"/>
      <c r="J8" s="50"/>
      <c r="K8" s="50"/>
      <c r="L8" s="51"/>
      <c r="M8" s="51"/>
      <c r="N8" s="50" t="s">
        <v>53</v>
      </c>
      <c r="O8" s="52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/>
      <c r="BA8" s="53"/>
      <c r="BB8" s="53"/>
      <c r="BC8" s="53"/>
      <c r="BD8" s="53"/>
      <c r="BE8" s="53"/>
      <c r="BF8" s="53"/>
      <c r="BG8" s="53"/>
      <c r="BH8" s="53"/>
      <c r="BI8" s="53"/>
      <c r="BJ8" s="53"/>
      <c r="BK8" s="53"/>
      <c r="BL8" s="53"/>
      <c r="BM8" s="53"/>
      <c r="BN8" s="53"/>
      <c r="BO8" s="53"/>
      <c r="BP8" s="53"/>
      <c r="BQ8" s="53"/>
      <c r="BR8" s="53"/>
      <c r="BS8" s="53"/>
      <c r="BT8" s="53"/>
      <c r="BU8" s="53"/>
      <c r="BV8" s="53"/>
      <c r="BW8" s="53"/>
      <c r="BX8" s="53"/>
      <c r="BY8" s="53"/>
      <c r="BZ8" s="53"/>
      <c r="CA8" s="53"/>
      <c r="CB8" s="53"/>
      <c r="CC8" s="53"/>
      <c r="CD8" s="53"/>
      <c r="CE8" s="53"/>
      <c r="CF8" s="53"/>
      <c r="CG8" s="53"/>
      <c r="CH8" s="53"/>
      <c r="CI8" s="53"/>
      <c r="CJ8" s="53"/>
      <c r="CK8" s="53"/>
      <c r="CL8" s="53"/>
      <c r="CM8" s="53"/>
      <c r="CN8" s="53"/>
      <c r="CO8" s="53"/>
      <c r="CP8" s="53"/>
      <c r="CR8" s="172" t="s">
        <v>171</v>
      </c>
      <c r="CS8" s="186"/>
      <c r="CT8" s="186"/>
      <c r="CU8" s="186"/>
      <c r="CV8" s="186"/>
      <c r="CW8" s="186"/>
      <c r="CX8" s="186"/>
      <c r="CY8" s="186"/>
      <c r="CZ8" s="186"/>
      <c r="DA8" s="186"/>
      <c r="DB8" s="186"/>
      <c r="DC8" s="186"/>
      <c r="DD8" s="186"/>
      <c r="DE8" s="186"/>
      <c r="DF8" s="186"/>
      <c r="DG8" s="186"/>
      <c r="DH8" s="186"/>
      <c r="DI8" s="186"/>
      <c r="DJ8" s="186"/>
      <c r="DK8" s="186"/>
      <c r="DL8" s="186"/>
      <c r="DM8" s="186"/>
      <c r="DN8" s="186"/>
      <c r="DO8" s="186"/>
      <c r="DP8" s="186"/>
      <c r="DQ8" s="186"/>
      <c r="DR8" s="186"/>
    </row>
    <row r="9" spans="1:122" ht="39" customHeight="1" x14ac:dyDescent="0.2">
      <c r="A9" s="54" t="s">
        <v>54</v>
      </c>
      <c r="B9" s="54" t="s">
        <v>55</v>
      </c>
      <c r="C9" s="54" t="s">
        <v>56</v>
      </c>
      <c r="D9" s="54" t="s">
        <v>57</v>
      </c>
      <c r="E9" s="54" t="s">
        <v>58</v>
      </c>
      <c r="F9" s="55" t="s">
        <v>59</v>
      </c>
      <c r="G9" s="55" t="s">
        <v>59</v>
      </c>
      <c r="H9" s="55" t="s">
        <v>59</v>
      </c>
      <c r="I9" s="55" t="s">
        <v>59</v>
      </c>
      <c r="J9" s="55" t="s">
        <v>59</v>
      </c>
      <c r="K9" s="55" t="s">
        <v>59</v>
      </c>
      <c r="L9" s="56" t="s">
        <v>2</v>
      </c>
      <c r="M9" s="56" t="s">
        <v>60</v>
      </c>
      <c r="N9" s="57" t="s">
        <v>61</v>
      </c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  <c r="AO9" s="58"/>
      <c r="AP9" s="58"/>
      <c r="AQ9" s="58"/>
      <c r="AR9" s="58"/>
      <c r="AS9" s="58"/>
      <c r="AT9" s="58"/>
      <c r="AU9" s="58"/>
      <c r="AV9" s="58"/>
      <c r="AW9" s="58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8"/>
      <c r="BL9" s="58"/>
      <c r="BM9" s="58"/>
      <c r="BN9" s="58"/>
      <c r="BO9" s="58"/>
      <c r="BP9" s="58"/>
      <c r="BQ9" s="58"/>
      <c r="BR9" s="58"/>
      <c r="BS9" s="58"/>
      <c r="BT9" s="58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8"/>
      <c r="CP9" s="58"/>
    </row>
    <row r="10" spans="1:122" x14ac:dyDescent="0.2">
      <c r="A10" s="59"/>
      <c r="B10" s="60"/>
      <c r="C10" s="60"/>
      <c r="D10" s="60"/>
      <c r="E10" s="61"/>
      <c r="F10" s="114"/>
      <c r="G10" s="114"/>
      <c r="H10" s="114"/>
      <c r="I10" s="114"/>
      <c r="J10" s="114"/>
      <c r="K10" s="114"/>
      <c r="L10" s="62"/>
      <c r="M10" s="63"/>
      <c r="N10" s="61"/>
      <c r="O10" s="64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65"/>
      <c r="AZ10" s="65"/>
      <c r="BA10" s="65"/>
      <c r="BB10" s="65"/>
      <c r="BC10" s="65"/>
      <c r="BD10" s="65"/>
      <c r="BE10" s="65"/>
      <c r="BF10" s="65"/>
      <c r="BG10" s="65"/>
      <c r="BH10" s="65"/>
      <c r="BI10" s="65"/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65"/>
      <c r="BV10" s="65"/>
      <c r="BW10" s="65"/>
      <c r="BX10" s="65"/>
      <c r="BY10" s="65"/>
      <c r="BZ10" s="65"/>
      <c r="CA10" s="65"/>
      <c r="CB10" s="65"/>
      <c r="CC10" s="65"/>
      <c r="CD10" s="65"/>
      <c r="CE10" s="65"/>
      <c r="CF10" s="65"/>
      <c r="CG10" s="65"/>
      <c r="CH10" s="65"/>
      <c r="CI10" s="65"/>
      <c r="CJ10" s="65"/>
      <c r="CK10" s="65"/>
      <c r="CL10" s="65"/>
      <c r="CM10" s="65"/>
      <c r="CN10" s="65"/>
      <c r="CO10" s="65"/>
      <c r="CP10" s="65"/>
      <c r="CR10" s="176" t="s">
        <v>172</v>
      </c>
    </row>
    <row r="11" spans="1:122" x14ac:dyDescent="0.2">
      <c r="A11" s="59"/>
      <c r="B11" s="66"/>
      <c r="C11" s="66"/>
      <c r="D11" s="66"/>
      <c r="E11" s="59"/>
      <c r="F11" s="59"/>
      <c r="G11" s="59"/>
      <c r="H11" s="59"/>
      <c r="I11" s="59"/>
      <c r="J11" s="59"/>
      <c r="K11" s="67"/>
      <c r="L11" s="68"/>
      <c r="M11" s="68"/>
      <c r="N11" s="59"/>
      <c r="O11" s="69"/>
      <c r="P11" s="70"/>
      <c r="Q11" s="70"/>
      <c r="R11" s="70"/>
      <c r="S11" s="70"/>
      <c r="T11" s="70"/>
      <c r="U11" s="70"/>
      <c r="V11" s="70"/>
      <c r="W11" s="70"/>
      <c r="X11" s="70"/>
      <c r="Y11" s="70"/>
      <c r="Z11" s="70"/>
      <c r="AA11" s="70"/>
      <c r="AB11" s="70"/>
      <c r="AC11" s="70"/>
      <c r="AD11" s="70"/>
      <c r="AE11" s="70"/>
      <c r="AF11" s="70"/>
      <c r="AG11" s="70"/>
      <c r="AH11" s="70"/>
      <c r="AI11" s="70"/>
      <c r="AJ11" s="70"/>
      <c r="AK11" s="70"/>
      <c r="AL11" s="70"/>
      <c r="AM11" s="70"/>
      <c r="AN11" s="70"/>
      <c r="AO11" s="70"/>
      <c r="AP11" s="70"/>
      <c r="AQ11" s="70"/>
      <c r="AR11" s="70"/>
      <c r="AS11" s="70"/>
      <c r="AT11" s="70"/>
      <c r="AU11" s="70"/>
      <c r="AV11" s="70"/>
      <c r="AW11" s="70"/>
      <c r="AX11" s="70"/>
      <c r="AY11" s="70"/>
      <c r="AZ11" s="70"/>
      <c r="BA11" s="70"/>
      <c r="BB11" s="70"/>
      <c r="BC11" s="70"/>
      <c r="BD11" s="70"/>
      <c r="BE11" s="70"/>
      <c r="BF11" s="70"/>
      <c r="BG11" s="70"/>
      <c r="BH11" s="70"/>
      <c r="BI11" s="70"/>
      <c r="BJ11" s="70"/>
      <c r="BK11" s="70"/>
      <c r="BL11" s="70"/>
      <c r="BM11" s="70"/>
      <c r="BN11" s="70"/>
      <c r="BO11" s="70"/>
      <c r="BP11" s="70"/>
      <c r="BQ11" s="70"/>
      <c r="BR11" s="70"/>
      <c r="BS11" s="70"/>
      <c r="BT11" s="70"/>
      <c r="BU11" s="70"/>
      <c r="BV11" s="70"/>
      <c r="BW11" s="70"/>
      <c r="BX11" s="70"/>
      <c r="BY11" s="70"/>
      <c r="BZ11" s="70"/>
      <c r="CA11" s="70"/>
      <c r="CB11" s="70"/>
      <c r="CC11" s="70"/>
      <c r="CD11" s="70"/>
      <c r="CE11" s="70"/>
      <c r="CF11" s="70"/>
      <c r="CG11" s="70"/>
      <c r="CH11" s="70"/>
      <c r="CI11" s="70"/>
      <c r="CJ11" s="70"/>
      <c r="CK11" s="70"/>
      <c r="CL11" s="70"/>
      <c r="CM11" s="70"/>
      <c r="CN11" s="70"/>
      <c r="CO11" s="70"/>
      <c r="CP11" s="70"/>
      <c r="CR11" s="173"/>
    </row>
    <row r="12" spans="1:122" x14ac:dyDescent="0.2">
      <c r="A12" s="59"/>
      <c r="B12" s="66"/>
      <c r="C12" s="66"/>
      <c r="D12" s="66"/>
      <c r="E12" s="59"/>
      <c r="F12" s="59"/>
      <c r="G12" s="59"/>
      <c r="H12" s="59"/>
      <c r="I12" s="59"/>
      <c r="J12" s="59"/>
      <c r="K12" s="71"/>
      <c r="L12" s="68"/>
      <c r="M12" s="68"/>
      <c r="N12" s="59"/>
      <c r="O12" s="69"/>
      <c r="P12" s="70"/>
      <c r="Q12" s="70"/>
      <c r="R12" s="70"/>
      <c r="S12" s="70"/>
      <c r="T12" s="70"/>
      <c r="U12" s="70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70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  <c r="BO12" s="70"/>
      <c r="BP12" s="70"/>
      <c r="BQ12" s="70"/>
      <c r="BR12" s="70"/>
      <c r="BS12" s="70"/>
      <c r="BT12" s="70"/>
      <c r="BU12" s="70"/>
      <c r="BV12" s="70"/>
      <c r="BW12" s="70"/>
      <c r="BX12" s="70"/>
      <c r="BY12" s="70"/>
      <c r="BZ12" s="70"/>
      <c r="CA12" s="70"/>
      <c r="CB12" s="70"/>
      <c r="CC12" s="70"/>
      <c r="CD12" s="70"/>
      <c r="CE12" s="70"/>
      <c r="CF12" s="70"/>
      <c r="CG12" s="70"/>
      <c r="CH12" s="70"/>
      <c r="CI12" s="70"/>
      <c r="CJ12" s="70"/>
      <c r="CK12" s="70"/>
      <c r="CL12" s="70"/>
      <c r="CM12" s="70"/>
      <c r="CN12" s="70"/>
      <c r="CO12" s="70"/>
      <c r="CP12" s="70"/>
      <c r="CR12" s="173"/>
    </row>
    <row r="13" spans="1:122" x14ac:dyDescent="0.2">
      <c r="A13" s="59"/>
      <c r="B13" s="66"/>
      <c r="C13" s="66"/>
      <c r="D13" s="66"/>
      <c r="E13" s="59"/>
      <c r="F13" s="59"/>
      <c r="G13" s="59"/>
      <c r="H13" s="59"/>
      <c r="I13" s="59"/>
      <c r="J13" s="59"/>
      <c r="K13" s="59"/>
      <c r="L13" s="68"/>
      <c r="M13" s="68"/>
      <c r="N13" s="59"/>
      <c r="O13" s="69"/>
      <c r="P13" s="70"/>
      <c r="Q13" s="70"/>
      <c r="R13" s="70"/>
      <c r="S13" s="70"/>
      <c r="T13" s="70"/>
      <c r="U13" s="70"/>
      <c r="V13" s="70"/>
      <c r="W13" s="70"/>
      <c r="X13" s="70"/>
      <c r="Y13" s="70"/>
      <c r="Z13" s="70"/>
      <c r="AA13" s="70"/>
      <c r="AB13" s="70"/>
      <c r="AC13" s="70"/>
      <c r="AD13" s="70"/>
      <c r="AE13" s="70"/>
      <c r="AF13" s="70"/>
      <c r="AG13" s="70"/>
      <c r="AH13" s="70"/>
      <c r="AI13" s="70"/>
      <c r="AJ13" s="70"/>
      <c r="AK13" s="70"/>
      <c r="AL13" s="70"/>
      <c r="AM13" s="70"/>
      <c r="AN13" s="70"/>
      <c r="AO13" s="70"/>
      <c r="AP13" s="70"/>
      <c r="AQ13" s="70"/>
      <c r="AR13" s="70"/>
      <c r="AS13" s="70"/>
      <c r="AT13" s="70"/>
      <c r="AU13" s="70"/>
      <c r="AV13" s="70"/>
      <c r="AW13" s="70"/>
      <c r="AX13" s="70"/>
      <c r="AY13" s="70"/>
      <c r="AZ13" s="70"/>
      <c r="BA13" s="70"/>
      <c r="BB13" s="70"/>
      <c r="BC13" s="70"/>
      <c r="BD13" s="70"/>
      <c r="BE13" s="70"/>
      <c r="BF13" s="70"/>
      <c r="BG13" s="70"/>
      <c r="BH13" s="70"/>
      <c r="BI13" s="70"/>
      <c r="BJ13" s="70"/>
      <c r="BK13" s="70"/>
      <c r="BL13" s="70"/>
      <c r="BM13" s="70"/>
      <c r="BN13" s="70"/>
      <c r="BO13" s="70"/>
      <c r="BP13" s="70"/>
      <c r="BQ13" s="70"/>
      <c r="BR13" s="70"/>
      <c r="BS13" s="70"/>
      <c r="BT13" s="70"/>
      <c r="BU13" s="70"/>
      <c r="BV13" s="70"/>
      <c r="BW13" s="70"/>
      <c r="BX13" s="70"/>
      <c r="BY13" s="70"/>
      <c r="BZ13" s="70"/>
      <c r="CA13" s="70"/>
      <c r="CB13" s="70"/>
      <c r="CC13" s="70"/>
      <c r="CD13" s="70"/>
      <c r="CE13" s="70"/>
      <c r="CF13" s="70"/>
      <c r="CG13" s="70"/>
      <c r="CH13" s="70"/>
      <c r="CI13" s="70"/>
      <c r="CJ13" s="70"/>
      <c r="CK13" s="70"/>
      <c r="CL13" s="70"/>
      <c r="CM13" s="70"/>
      <c r="CN13" s="70"/>
      <c r="CO13" s="70"/>
      <c r="CP13" s="70"/>
      <c r="CR13" s="173"/>
    </row>
    <row r="14" spans="1:122" x14ac:dyDescent="0.2">
      <c r="A14" s="59"/>
      <c r="B14" s="66"/>
      <c r="C14" s="66"/>
      <c r="D14" s="66"/>
      <c r="E14" s="59"/>
      <c r="F14" s="59"/>
      <c r="G14" s="59"/>
      <c r="H14" s="59"/>
      <c r="I14" s="59"/>
      <c r="J14" s="59"/>
      <c r="K14" s="59"/>
      <c r="L14" s="68"/>
      <c r="M14" s="68"/>
      <c r="N14" s="59"/>
      <c r="O14" s="69"/>
      <c r="P14" s="70"/>
      <c r="Q14" s="70"/>
      <c r="R14" s="70"/>
      <c r="S14" s="70"/>
      <c r="T14" s="70"/>
      <c r="U14" s="70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  <c r="BN14" s="70"/>
      <c r="BO14" s="70"/>
      <c r="BP14" s="70"/>
      <c r="BQ14" s="70"/>
      <c r="BR14" s="70"/>
      <c r="BS14" s="70"/>
      <c r="BT14" s="70"/>
      <c r="BU14" s="70"/>
      <c r="BV14" s="70"/>
      <c r="BW14" s="70"/>
      <c r="BX14" s="70"/>
      <c r="BY14" s="70"/>
      <c r="BZ14" s="70"/>
      <c r="CA14" s="70"/>
      <c r="CB14" s="70"/>
      <c r="CC14" s="70"/>
      <c r="CD14" s="70"/>
      <c r="CE14" s="70"/>
      <c r="CF14" s="70"/>
      <c r="CG14" s="70"/>
      <c r="CH14" s="70"/>
      <c r="CI14" s="70"/>
      <c r="CJ14" s="70"/>
      <c r="CK14" s="70"/>
      <c r="CL14" s="70"/>
      <c r="CM14" s="70"/>
      <c r="CN14" s="70"/>
      <c r="CO14" s="70"/>
      <c r="CP14" s="70"/>
      <c r="CR14" s="173"/>
    </row>
    <row r="15" spans="1:122" x14ac:dyDescent="0.2">
      <c r="A15" s="59"/>
      <c r="B15" s="66"/>
      <c r="C15" s="66"/>
      <c r="D15" s="66"/>
      <c r="E15" s="59"/>
      <c r="F15" s="59"/>
      <c r="G15" s="59"/>
      <c r="H15" s="59"/>
      <c r="I15" s="59"/>
      <c r="J15" s="59"/>
      <c r="K15" s="59"/>
      <c r="L15" s="68"/>
      <c r="M15" s="68"/>
      <c r="N15" s="59"/>
      <c r="O15" s="69"/>
      <c r="P15" s="70"/>
      <c r="Q15" s="70"/>
      <c r="R15" s="70"/>
      <c r="S15" s="70"/>
      <c r="T15" s="70"/>
      <c r="U15" s="70"/>
      <c r="V15" s="70"/>
      <c r="W15" s="70"/>
      <c r="X15" s="70"/>
      <c r="Y15" s="70"/>
      <c r="Z15" s="70"/>
      <c r="AA15" s="70"/>
      <c r="AB15" s="70"/>
      <c r="AC15" s="70"/>
      <c r="AD15" s="70"/>
      <c r="AE15" s="70"/>
      <c r="AF15" s="70"/>
      <c r="AG15" s="70"/>
      <c r="AH15" s="70"/>
      <c r="AI15" s="70"/>
      <c r="AJ15" s="70"/>
      <c r="AK15" s="70"/>
      <c r="AL15" s="70"/>
      <c r="AM15" s="70"/>
      <c r="AN15" s="70"/>
      <c r="AO15" s="70"/>
      <c r="AP15" s="70"/>
      <c r="AQ15" s="70"/>
      <c r="AR15" s="70"/>
      <c r="AS15" s="70"/>
      <c r="AT15" s="70"/>
      <c r="AU15" s="70"/>
      <c r="AV15" s="70"/>
      <c r="AW15" s="70"/>
      <c r="AX15" s="70"/>
      <c r="AY15" s="70"/>
      <c r="AZ15" s="70"/>
      <c r="BA15" s="70"/>
      <c r="BB15" s="70"/>
      <c r="BC15" s="70"/>
      <c r="BD15" s="70"/>
      <c r="BE15" s="70"/>
      <c r="BF15" s="70"/>
      <c r="BG15" s="70"/>
      <c r="BH15" s="70"/>
      <c r="BI15" s="70"/>
      <c r="BJ15" s="70"/>
      <c r="BK15" s="70"/>
      <c r="BL15" s="70"/>
      <c r="BM15" s="70"/>
      <c r="BN15" s="70"/>
      <c r="BO15" s="70"/>
      <c r="BP15" s="70"/>
      <c r="BQ15" s="70"/>
      <c r="BR15" s="70"/>
      <c r="BS15" s="70"/>
      <c r="BT15" s="70"/>
      <c r="BU15" s="70"/>
      <c r="BV15" s="70"/>
      <c r="BW15" s="70"/>
      <c r="BX15" s="70"/>
      <c r="BY15" s="70"/>
      <c r="BZ15" s="70"/>
      <c r="CA15" s="70"/>
      <c r="CB15" s="70"/>
      <c r="CC15" s="70"/>
      <c r="CD15" s="70"/>
      <c r="CE15" s="70"/>
      <c r="CF15" s="70"/>
      <c r="CG15" s="70"/>
      <c r="CH15" s="70"/>
      <c r="CI15" s="70"/>
      <c r="CJ15" s="70"/>
      <c r="CK15" s="70"/>
      <c r="CL15" s="70"/>
      <c r="CM15" s="70"/>
      <c r="CN15" s="70"/>
      <c r="CO15" s="70"/>
      <c r="CP15" s="70"/>
      <c r="CR15" s="173"/>
    </row>
    <row r="16" spans="1:122" x14ac:dyDescent="0.2">
      <c r="A16" s="59"/>
      <c r="B16" s="66"/>
      <c r="C16" s="66"/>
      <c r="D16" s="66"/>
      <c r="E16" s="59"/>
      <c r="F16" s="59"/>
      <c r="G16" s="59"/>
      <c r="H16" s="59"/>
      <c r="I16" s="59"/>
      <c r="J16" s="59"/>
      <c r="K16" s="59"/>
      <c r="L16" s="68"/>
      <c r="M16" s="68"/>
      <c r="N16" s="59"/>
      <c r="O16" s="69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70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  <c r="BN16" s="70"/>
      <c r="BO16" s="70"/>
      <c r="BP16" s="70"/>
      <c r="BQ16" s="70"/>
      <c r="BR16" s="70"/>
      <c r="BS16" s="70"/>
      <c r="BT16" s="70"/>
      <c r="BU16" s="70"/>
      <c r="BV16" s="70"/>
      <c r="BW16" s="70"/>
      <c r="BX16" s="70"/>
      <c r="BY16" s="70"/>
      <c r="BZ16" s="70"/>
      <c r="CA16" s="70"/>
      <c r="CB16" s="70"/>
      <c r="CC16" s="70"/>
      <c r="CD16" s="70"/>
      <c r="CE16" s="70"/>
      <c r="CF16" s="70"/>
      <c r="CG16" s="70"/>
      <c r="CH16" s="70"/>
      <c r="CI16" s="70"/>
      <c r="CJ16" s="70"/>
      <c r="CK16" s="70"/>
      <c r="CL16" s="70"/>
      <c r="CM16" s="70"/>
      <c r="CN16" s="70"/>
      <c r="CO16" s="70"/>
      <c r="CP16" s="70"/>
      <c r="CR16" s="173"/>
    </row>
    <row r="17" spans="1:96" x14ac:dyDescent="0.2">
      <c r="A17" s="59"/>
      <c r="B17" s="66"/>
      <c r="C17" s="66"/>
      <c r="D17" s="66"/>
      <c r="E17" s="59"/>
      <c r="F17" s="59"/>
      <c r="G17" s="59"/>
      <c r="H17" s="59"/>
      <c r="I17" s="59"/>
      <c r="J17" s="59"/>
      <c r="K17" s="59"/>
      <c r="L17" s="68"/>
      <c r="M17" s="63"/>
      <c r="N17" s="59"/>
      <c r="O17" s="69"/>
      <c r="P17" s="70"/>
      <c r="Q17" s="70"/>
      <c r="R17" s="70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70"/>
      <c r="AD17" s="70"/>
      <c r="AE17" s="70"/>
      <c r="AF17" s="70"/>
      <c r="AG17" s="70"/>
      <c r="AH17" s="70"/>
      <c r="AI17" s="70"/>
      <c r="AJ17" s="70"/>
      <c r="AK17" s="70"/>
      <c r="AL17" s="70"/>
      <c r="AM17" s="70"/>
      <c r="AN17" s="70"/>
      <c r="AO17" s="70"/>
      <c r="AP17" s="70"/>
      <c r="AQ17" s="70"/>
      <c r="AR17" s="70"/>
      <c r="AS17" s="70"/>
      <c r="AT17" s="70"/>
      <c r="AU17" s="70"/>
      <c r="AV17" s="70"/>
      <c r="AW17" s="70"/>
      <c r="AX17" s="70"/>
      <c r="AY17" s="70"/>
      <c r="AZ17" s="70"/>
      <c r="BA17" s="70"/>
      <c r="BB17" s="70"/>
      <c r="BC17" s="70"/>
      <c r="BD17" s="70"/>
      <c r="BE17" s="70"/>
      <c r="BF17" s="70"/>
      <c r="BG17" s="70"/>
      <c r="BH17" s="70"/>
      <c r="BI17" s="70"/>
      <c r="BJ17" s="70"/>
      <c r="BK17" s="70"/>
      <c r="BL17" s="70"/>
      <c r="BM17" s="70"/>
      <c r="BN17" s="70"/>
      <c r="BO17" s="70"/>
      <c r="BP17" s="70"/>
      <c r="BQ17" s="70"/>
      <c r="BR17" s="70"/>
      <c r="BS17" s="70"/>
      <c r="BT17" s="70"/>
      <c r="BU17" s="70"/>
      <c r="BV17" s="70"/>
      <c r="BW17" s="70"/>
      <c r="BX17" s="70"/>
      <c r="BY17" s="70"/>
      <c r="BZ17" s="70"/>
      <c r="CA17" s="70"/>
      <c r="CB17" s="70"/>
      <c r="CC17" s="70"/>
      <c r="CD17" s="70"/>
      <c r="CE17" s="70"/>
      <c r="CF17" s="70"/>
      <c r="CG17" s="70"/>
      <c r="CH17" s="70"/>
      <c r="CI17" s="70"/>
      <c r="CJ17" s="70"/>
      <c r="CK17" s="70"/>
      <c r="CL17" s="70"/>
      <c r="CM17" s="70"/>
      <c r="CN17" s="70"/>
      <c r="CO17" s="70"/>
      <c r="CP17" s="70"/>
      <c r="CR17" s="173"/>
    </row>
    <row r="18" spans="1:96" x14ac:dyDescent="0.2">
      <c r="A18" s="59"/>
      <c r="B18" s="66"/>
      <c r="C18" s="66"/>
      <c r="D18" s="66"/>
      <c r="E18" s="59"/>
      <c r="F18" s="59"/>
      <c r="G18" s="59"/>
      <c r="H18" s="59"/>
      <c r="I18" s="59"/>
      <c r="J18" s="59"/>
      <c r="K18" s="59"/>
      <c r="L18" s="68"/>
      <c r="M18" s="63"/>
      <c r="N18" s="59"/>
      <c r="O18" s="69"/>
      <c r="P18" s="70"/>
      <c r="Q18" s="70"/>
      <c r="R18" s="70"/>
      <c r="S18" s="70"/>
      <c r="T18" s="70"/>
      <c r="U18" s="70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70"/>
      <c r="BF18" s="70"/>
      <c r="BG18" s="70"/>
      <c r="BH18" s="70"/>
      <c r="BI18" s="70"/>
      <c r="BJ18" s="70"/>
      <c r="BK18" s="70"/>
      <c r="BL18" s="70"/>
      <c r="BM18" s="70"/>
      <c r="BN18" s="70"/>
      <c r="BO18" s="70"/>
      <c r="BP18" s="70"/>
      <c r="BQ18" s="70"/>
      <c r="BR18" s="70"/>
      <c r="BS18" s="70"/>
      <c r="BT18" s="70"/>
      <c r="BU18" s="70"/>
      <c r="BV18" s="70"/>
      <c r="BW18" s="70"/>
      <c r="BX18" s="70"/>
      <c r="BY18" s="70"/>
      <c r="BZ18" s="70"/>
      <c r="CA18" s="70"/>
      <c r="CB18" s="70"/>
      <c r="CC18" s="70"/>
      <c r="CD18" s="70"/>
      <c r="CE18" s="70"/>
      <c r="CF18" s="70"/>
      <c r="CG18" s="70"/>
      <c r="CH18" s="70"/>
      <c r="CI18" s="70"/>
      <c r="CJ18" s="70"/>
      <c r="CK18" s="70"/>
      <c r="CL18" s="70"/>
      <c r="CM18" s="70"/>
      <c r="CN18" s="70"/>
      <c r="CO18" s="70"/>
      <c r="CP18" s="70"/>
      <c r="CR18" s="173"/>
    </row>
    <row r="19" spans="1:96" x14ac:dyDescent="0.2">
      <c r="A19" s="59"/>
      <c r="B19" s="66"/>
      <c r="C19" s="66"/>
      <c r="D19" s="66"/>
      <c r="E19" s="59"/>
      <c r="F19" s="59"/>
      <c r="G19" s="59"/>
      <c r="H19" s="59"/>
      <c r="I19" s="59"/>
      <c r="J19" s="59"/>
      <c r="K19" s="59"/>
      <c r="L19" s="68"/>
      <c r="M19" s="63"/>
      <c r="N19" s="59"/>
      <c r="O19" s="69"/>
      <c r="P19" s="70"/>
      <c r="Q19" s="70"/>
      <c r="R19" s="70"/>
      <c r="S19" s="70"/>
      <c r="T19" s="70"/>
      <c r="U19" s="70"/>
      <c r="V19" s="70"/>
      <c r="W19" s="70"/>
      <c r="X19" s="70"/>
      <c r="Y19" s="70"/>
      <c r="Z19" s="70"/>
      <c r="AA19" s="70"/>
      <c r="AB19" s="70"/>
      <c r="AC19" s="70"/>
      <c r="AD19" s="70"/>
      <c r="AE19" s="70"/>
      <c r="AF19" s="70"/>
      <c r="AG19" s="70"/>
      <c r="AH19" s="70"/>
      <c r="AI19" s="70"/>
      <c r="AJ19" s="70"/>
      <c r="AK19" s="70"/>
      <c r="AL19" s="70"/>
      <c r="AM19" s="70"/>
      <c r="AN19" s="70"/>
      <c r="AO19" s="70"/>
      <c r="AP19" s="70"/>
      <c r="AQ19" s="70"/>
      <c r="AR19" s="70"/>
      <c r="AS19" s="70"/>
      <c r="AT19" s="70"/>
      <c r="AU19" s="70"/>
      <c r="AV19" s="70"/>
      <c r="AW19" s="70"/>
      <c r="AX19" s="70"/>
      <c r="AY19" s="70"/>
      <c r="AZ19" s="70"/>
      <c r="BA19" s="70"/>
      <c r="BB19" s="70"/>
      <c r="BC19" s="70"/>
      <c r="BD19" s="70"/>
      <c r="BE19" s="70"/>
      <c r="BF19" s="70"/>
      <c r="BG19" s="70"/>
      <c r="BH19" s="70"/>
      <c r="BI19" s="70"/>
      <c r="BJ19" s="70"/>
      <c r="BK19" s="70"/>
      <c r="BL19" s="70"/>
      <c r="BM19" s="70"/>
      <c r="BN19" s="70"/>
      <c r="BO19" s="70"/>
      <c r="BP19" s="70"/>
      <c r="BQ19" s="70"/>
      <c r="BR19" s="70"/>
      <c r="BS19" s="70"/>
      <c r="BT19" s="70"/>
      <c r="BU19" s="70"/>
      <c r="BV19" s="70"/>
      <c r="BW19" s="70"/>
      <c r="BX19" s="70"/>
      <c r="BY19" s="70"/>
      <c r="BZ19" s="70"/>
      <c r="CA19" s="70"/>
      <c r="CB19" s="70"/>
      <c r="CC19" s="70"/>
      <c r="CD19" s="70"/>
      <c r="CE19" s="70"/>
      <c r="CF19" s="70"/>
      <c r="CG19" s="70"/>
      <c r="CH19" s="70"/>
      <c r="CI19" s="70"/>
      <c r="CJ19" s="70"/>
      <c r="CK19" s="70"/>
      <c r="CL19" s="70"/>
      <c r="CM19" s="70"/>
      <c r="CN19" s="70"/>
      <c r="CO19" s="70"/>
      <c r="CP19" s="70"/>
      <c r="CR19" s="173"/>
    </row>
    <row r="20" spans="1:96" x14ac:dyDescent="0.2">
      <c r="A20" s="59"/>
      <c r="B20" s="66"/>
      <c r="C20" s="66"/>
      <c r="D20" s="66"/>
      <c r="E20" s="59"/>
      <c r="F20" s="59"/>
      <c r="G20" s="59"/>
      <c r="H20" s="59"/>
      <c r="I20" s="59"/>
      <c r="J20" s="59"/>
      <c r="K20" s="59"/>
      <c r="L20" s="68"/>
      <c r="M20" s="63"/>
      <c r="N20" s="59"/>
      <c r="O20" s="69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70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70"/>
      <c r="BF20" s="70"/>
      <c r="BG20" s="70"/>
      <c r="BH20" s="70"/>
      <c r="BI20" s="70"/>
      <c r="BJ20" s="70"/>
      <c r="BK20" s="70"/>
      <c r="BL20" s="70"/>
      <c r="BM20" s="70"/>
      <c r="BN20" s="70"/>
      <c r="BO20" s="70"/>
      <c r="BP20" s="70"/>
      <c r="BQ20" s="70"/>
      <c r="BR20" s="70"/>
      <c r="BS20" s="70"/>
      <c r="BT20" s="70"/>
      <c r="BU20" s="70"/>
      <c r="BV20" s="70"/>
      <c r="BW20" s="70"/>
      <c r="BX20" s="70"/>
      <c r="BY20" s="70"/>
      <c r="BZ20" s="70"/>
      <c r="CA20" s="70"/>
      <c r="CB20" s="70"/>
      <c r="CC20" s="70"/>
      <c r="CD20" s="70"/>
      <c r="CE20" s="70"/>
      <c r="CF20" s="70"/>
      <c r="CG20" s="70"/>
      <c r="CH20" s="70"/>
      <c r="CI20" s="70"/>
      <c r="CJ20" s="70"/>
      <c r="CK20" s="70"/>
      <c r="CL20" s="70"/>
      <c r="CM20" s="70"/>
      <c r="CN20" s="70"/>
      <c r="CO20" s="70"/>
      <c r="CP20" s="70"/>
      <c r="CR20" s="173"/>
    </row>
    <row r="21" spans="1:96" x14ac:dyDescent="0.2">
      <c r="A21" s="59"/>
      <c r="B21" s="66"/>
      <c r="C21" s="66"/>
      <c r="D21" s="66"/>
      <c r="E21" s="59"/>
      <c r="F21" s="59"/>
      <c r="G21" s="59"/>
      <c r="H21" s="59"/>
      <c r="I21" s="59"/>
      <c r="J21" s="59"/>
      <c r="K21" s="59"/>
      <c r="L21" s="68"/>
      <c r="M21" s="63"/>
      <c r="N21" s="59"/>
      <c r="O21" s="69"/>
      <c r="P21" s="70"/>
      <c r="Q21" s="70"/>
      <c r="R21" s="70"/>
      <c r="S21" s="70"/>
      <c r="T21" s="70"/>
      <c r="U21" s="70"/>
      <c r="V21" s="70"/>
      <c r="W21" s="70"/>
      <c r="X21" s="70"/>
      <c r="Y21" s="70"/>
      <c r="Z21" s="70"/>
      <c r="AA21" s="70"/>
      <c r="AB21" s="70"/>
      <c r="AC21" s="70"/>
      <c r="AD21" s="70"/>
      <c r="AE21" s="70"/>
      <c r="AF21" s="70"/>
      <c r="AG21" s="70"/>
      <c r="AH21" s="70"/>
      <c r="AI21" s="70"/>
      <c r="AJ21" s="70"/>
      <c r="AK21" s="70"/>
      <c r="AL21" s="70"/>
      <c r="AM21" s="70"/>
      <c r="AN21" s="70"/>
      <c r="AO21" s="70"/>
      <c r="AP21" s="70"/>
      <c r="AQ21" s="70"/>
      <c r="AR21" s="70"/>
      <c r="AS21" s="70"/>
      <c r="AT21" s="70"/>
      <c r="AU21" s="70"/>
      <c r="AV21" s="70"/>
      <c r="AW21" s="70"/>
      <c r="AX21" s="70"/>
      <c r="AY21" s="70"/>
      <c r="AZ21" s="70"/>
      <c r="BA21" s="70"/>
      <c r="BB21" s="70"/>
      <c r="BC21" s="70"/>
      <c r="BD21" s="70"/>
      <c r="BE21" s="70"/>
      <c r="BF21" s="70"/>
      <c r="BG21" s="70"/>
      <c r="BH21" s="70"/>
      <c r="BI21" s="70"/>
      <c r="BJ21" s="70"/>
      <c r="BK21" s="70"/>
      <c r="BL21" s="70"/>
      <c r="BM21" s="70"/>
      <c r="BN21" s="70"/>
      <c r="BO21" s="70"/>
      <c r="BP21" s="70"/>
      <c r="BQ21" s="70"/>
      <c r="BR21" s="70"/>
      <c r="BS21" s="70"/>
      <c r="BT21" s="70"/>
      <c r="BU21" s="70"/>
      <c r="BV21" s="70"/>
      <c r="BW21" s="70"/>
      <c r="BX21" s="70"/>
      <c r="BY21" s="70"/>
      <c r="BZ21" s="70"/>
      <c r="CA21" s="70"/>
      <c r="CB21" s="70"/>
      <c r="CC21" s="70"/>
      <c r="CD21" s="70"/>
      <c r="CE21" s="70"/>
      <c r="CF21" s="70"/>
      <c r="CG21" s="70"/>
      <c r="CH21" s="70"/>
      <c r="CI21" s="70"/>
      <c r="CJ21" s="70"/>
      <c r="CK21" s="70"/>
      <c r="CL21" s="70"/>
      <c r="CM21" s="70"/>
      <c r="CN21" s="70"/>
      <c r="CO21" s="70"/>
      <c r="CP21" s="70"/>
      <c r="CR21" s="173"/>
    </row>
    <row r="22" spans="1:96" x14ac:dyDescent="0.2">
      <c r="A22" s="59"/>
      <c r="B22" s="66"/>
      <c r="C22" s="66"/>
      <c r="D22" s="66"/>
      <c r="E22" s="59"/>
      <c r="F22" s="59"/>
      <c r="G22" s="59"/>
      <c r="H22" s="59"/>
      <c r="I22" s="59"/>
      <c r="J22" s="59"/>
      <c r="K22" s="59"/>
      <c r="L22" s="68"/>
      <c r="M22" s="63"/>
      <c r="N22" s="59"/>
      <c r="O22" s="69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  <c r="BN22" s="70"/>
      <c r="BO22" s="70"/>
      <c r="BP22" s="70"/>
      <c r="BQ22" s="70"/>
      <c r="BR22" s="70"/>
      <c r="BS22" s="70"/>
      <c r="BT22" s="70"/>
      <c r="BU22" s="70"/>
      <c r="BV22" s="70"/>
      <c r="BW22" s="70"/>
      <c r="BX22" s="70"/>
      <c r="BY22" s="70"/>
      <c r="BZ22" s="70"/>
      <c r="CA22" s="70"/>
      <c r="CB22" s="70"/>
      <c r="CC22" s="70"/>
      <c r="CD22" s="70"/>
      <c r="CE22" s="70"/>
      <c r="CF22" s="70"/>
      <c r="CG22" s="70"/>
      <c r="CH22" s="70"/>
      <c r="CI22" s="70"/>
      <c r="CJ22" s="70"/>
      <c r="CK22" s="70"/>
      <c r="CL22" s="70"/>
      <c r="CM22" s="70"/>
      <c r="CN22" s="70"/>
      <c r="CO22" s="70"/>
      <c r="CP22" s="70"/>
      <c r="CR22" s="173"/>
    </row>
    <row r="23" spans="1:96" x14ac:dyDescent="0.2">
      <c r="A23" s="59"/>
      <c r="B23" s="66"/>
      <c r="C23" s="66"/>
      <c r="D23" s="66"/>
      <c r="E23" s="59"/>
      <c r="F23" s="59"/>
      <c r="G23" s="59"/>
      <c r="H23" s="59"/>
      <c r="I23" s="59"/>
      <c r="J23" s="59"/>
      <c r="K23" s="59"/>
      <c r="L23" s="68"/>
      <c r="M23" s="63"/>
      <c r="N23" s="59"/>
      <c r="O23" s="69"/>
      <c r="P23" s="70"/>
      <c r="Q23" s="70"/>
      <c r="R23" s="70"/>
      <c r="S23" s="70"/>
      <c r="T23" s="70"/>
      <c r="U23" s="70"/>
      <c r="V23" s="70"/>
      <c r="W23" s="70"/>
      <c r="X23" s="70"/>
      <c r="Y23" s="70"/>
      <c r="Z23" s="70"/>
      <c r="AA23" s="70"/>
      <c r="AB23" s="70"/>
      <c r="AC23" s="70"/>
      <c r="AD23" s="70"/>
      <c r="AE23" s="70"/>
      <c r="AF23" s="70"/>
      <c r="AG23" s="70"/>
      <c r="AH23" s="70"/>
      <c r="AI23" s="70"/>
      <c r="AJ23" s="70"/>
      <c r="AK23" s="70"/>
      <c r="AL23" s="70"/>
      <c r="AM23" s="70"/>
      <c r="AN23" s="70"/>
      <c r="AO23" s="70"/>
      <c r="AP23" s="70"/>
      <c r="AQ23" s="70"/>
      <c r="AR23" s="70"/>
      <c r="AS23" s="70"/>
      <c r="AT23" s="70"/>
      <c r="AU23" s="70"/>
      <c r="AV23" s="70"/>
      <c r="AW23" s="70"/>
      <c r="AX23" s="70"/>
      <c r="AY23" s="70"/>
      <c r="AZ23" s="70"/>
      <c r="BA23" s="70"/>
      <c r="BB23" s="70"/>
      <c r="BC23" s="70"/>
      <c r="BD23" s="70"/>
      <c r="BE23" s="70"/>
      <c r="BF23" s="70"/>
      <c r="BG23" s="70"/>
      <c r="BH23" s="70"/>
      <c r="BI23" s="70"/>
      <c r="BJ23" s="70"/>
      <c r="BK23" s="70"/>
      <c r="BL23" s="70"/>
      <c r="BM23" s="70"/>
      <c r="BN23" s="70"/>
      <c r="BO23" s="70"/>
      <c r="BP23" s="70"/>
      <c r="BQ23" s="70"/>
      <c r="BR23" s="70"/>
      <c r="BS23" s="70"/>
      <c r="BT23" s="70"/>
      <c r="BU23" s="70"/>
      <c r="BV23" s="70"/>
      <c r="BW23" s="70"/>
      <c r="BX23" s="70"/>
      <c r="BY23" s="70"/>
      <c r="BZ23" s="70"/>
      <c r="CA23" s="70"/>
      <c r="CB23" s="70"/>
      <c r="CC23" s="70"/>
      <c r="CD23" s="70"/>
      <c r="CE23" s="70"/>
      <c r="CF23" s="70"/>
      <c r="CG23" s="70"/>
      <c r="CH23" s="70"/>
      <c r="CI23" s="70"/>
      <c r="CJ23" s="70"/>
      <c r="CK23" s="70"/>
      <c r="CL23" s="70"/>
      <c r="CM23" s="70"/>
      <c r="CN23" s="70"/>
      <c r="CO23" s="70"/>
      <c r="CP23" s="70"/>
      <c r="CR23" s="173"/>
    </row>
    <row r="24" spans="1:96" x14ac:dyDescent="0.2">
      <c r="A24" s="59"/>
      <c r="B24" s="66"/>
      <c r="C24" s="66"/>
      <c r="D24" s="66"/>
      <c r="E24" s="59"/>
      <c r="F24" s="59"/>
      <c r="G24" s="59"/>
      <c r="H24" s="59"/>
      <c r="I24" s="59"/>
      <c r="J24" s="59"/>
      <c r="K24" s="59"/>
      <c r="L24" s="68"/>
      <c r="M24" s="63"/>
      <c r="N24" s="59"/>
      <c r="O24" s="69"/>
      <c r="P24" s="70"/>
      <c r="Q24" s="70"/>
      <c r="R24" s="70"/>
      <c r="S24" s="70"/>
      <c r="T24" s="70"/>
      <c r="U24" s="70"/>
      <c r="V24" s="70"/>
      <c r="W24" s="70"/>
      <c r="X24" s="70"/>
      <c r="Y24" s="70"/>
      <c r="Z24" s="70"/>
      <c r="AA24" s="70"/>
      <c r="AB24" s="70"/>
      <c r="AC24" s="70"/>
      <c r="AD24" s="70"/>
      <c r="AE24" s="70"/>
      <c r="AF24" s="70"/>
      <c r="AG24" s="70"/>
      <c r="AH24" s="70"/>
      <c r="AI24" s="70"/>
      <c r="AJ24" s="70"/>
      <c r="AK24" s="70"/>
      <c r="AL24" s="70"/>
      <c r="AM24" s="70"/>
      <c r="AN24" s="70"/>
      <c r="AO24" s="70"/>
      <c r="AP24" s="70"/>
      <c r="AQ24" s="70"/>
      <c r="AR24" s="70"/>
      <c r="AS24" s="70"/>
      <c r="AT24" s="70"/>
      <c r="AU24" s="70"/>
      <c r="AV24" s="70"/>
      <c r="AW24" s="70"/>
      <c r="AX24" s="70"/>
      <c r="AY24" s="70"/>
      <c r="AZ24" s="70"/>
      <c r="BA24" s="70"/>
      <c r="BB24" s="70"/>
      <c r="BC24" s="70"/>
      <c r="BD24" s="70"/>
      <c r="BE24" s="70"/>
      <c r="BF24" s="70"/>
      <c r="BG24" s="70"/>
      <c r="BH24" s="70"/>
      <c r="BI24" s="70"/>
      <c r="BJ24" s="70"/>
      <c r="BK24" s="70"/>
      <c r="BL24" s="70"/>
      <c r="BM24" s="70"/>
      <c r="BN24" s="70"/>
      <c r="BO24" s="70"/>
      <c r="BP24" s="70"/>
      <c r="BQ24" s="70"/>
      <c r="BR24" s="70"/>
      <c r="BS24" s="70"/>
      <c r="BT24" s="70"/>
      <c r="BU24" s="70"/>
      <c r="BV24" s="70"/>
      <c r="BW24" s="70"/>
      <c r="BX24" s="70"/>
      <c r="BY24" s="70"/>
      <c r="BZ24" s="70"/>
      <c r="CA24" s="70"/>
      <c r="CB24" s="70"/>
      <c r="CC24" s="70"/>
      <c r="CD24" s="70"/>
      <c r="CE24" s="70"/>
      <c r="CF24" s="70"/>
      <c r="CG24" s="70"/>
      <c r="CH24" s="70"/>
      <c r="CI24" s="70"/>
      <c r="CJ24" s="70"/>
      <c r="CK24" s="70"/>
      <c r="CL24" s="70"/>
      <c r="CM24" s="70"/>
      <c r="CN24" s="70"/>
      <c r="CO24" s="70"/>
      <c r="CP24" s="70"/>
      <c r="CR24" s="173"/>
    </row>
    <row r="25" spans="1:96" x14ac:dyDescent="0.2">
      <c r="A25" s="59"/>
      <c r="B25" s="66"/>
      <c r="C25" s="66"/>
      <c r="D25" s="66"/>
      <c r="E25" s="59"/>
      <c r="F25" s="59"/>
      <c r="G25" s="59"/>
      <c r="H25" s="59"/>
      <c r="I25" s="59"/>
      <c r="J25" s="59"/>
      <c r="K25" s="59"/>
      <c r="L25" s="68"/>
      <c r="M25" s="63"/>
      <c r="N25" s="59"/>
      <c r="O25" s="69"/>
      <c r="P25" s="70"/>
      <c r="Q25" s="70"/>
      <c r="R25" s="70"/>
      <c r="S25" s="70"/>
      <c r="T25" s="70"/>
      <c r="U25" s="70"/>
      <c r="V25" s="70"/>
      <c r="W25" s="70"/>
      <c r="X25" s="70"/>
      <c r="Y25" s="70"/>
      <c r="Z25" s="70"/>
      <c r="AA25" s="70"/>
      <c r="AB25" s="70"/>
      <c r="AC25" s="70"/>
      <c r="AD25" s="70"/>
      <c r="AE25" s="70"/>
      <c r="AF25" s="70"/>
      <c r="AG25" s="70"/>
      <c r="AH25" s="70"/>
      <c r="AI25" s="70"/>
      <c r="AJ25" s="70"/>
      <c r="AK25" s="70"/>
      <c r="AL25" s="70"/>
      <c r="AM25" s="70"/>
      <c r="AN25" s="70"/>
      <c r="AO25" s="70"/>
      <c r="AP25" s="70"/>
      <c r="AQ25" s="70"/>
      <c r="AR25" s="70"/>
      <c r="AS25" s="70"/>
      <c r="AT25" s="70"/>
      <c r="AU25" s="70"/>
      <c r="AV25" s="70"/>
      <c r="AW25" s="70"/>
      <c r="AX25" s="70"/>
      <c r="AY25" s="70"/>
      <c r="AZ25" s="70"/>
      <c r="BA25" s="70"/>
      <c r="BB25" s="70"/>
      <c r="BC25" s="70"/>
      <c r="BD25" s="70"/>
      <c r="BE25" s="70"/>
      <c r="BF25" s="70"/>
      <c r="BG25" s="70"/>
      <c r="BH25" s="70"/>
      <c r="BI25" s="70"/>
      <c r="BJ25" s="70"/>
      <c r="BK25" s="70"/>
      <c r="BL25" s="70"/>
      <c r="BM25" s="70"/>
      <c r="BN25" s="70"/>
      <c r="BO25" s="70"/>
      <c r="BP25" s="70"/>
      <c r="BQ25" s="70"/>
      <c r="BR25" s="70"/>
      <c r="BS25" s="70"/>
      <c r="BT25" s="70"/>
      <c r="BU25" s="70"/>
      <c r="BV25" s="70"/>
      <c r="BW25" s="70"/>
      <c r="BX25" s="70"/>
      <c r="BY25" s="70"/>
      <c r="BZ25" s="70"/>
      <c r="CA25" s="70"/>
      <c r="CB25" s="70"/>
      <c r="CC25" s="70"/>
      <c r="CD25" s="70"/>
      <c r="CE25" s="70"/>
      <c r="CF25" s="70"/>
      <c r="CG25" s="70"/>
      <c r="CH25" s="70"/>
      <c r="CI25" s="70"/>
      <c r="CJ25" s="70"/>
      <c r="CK25" s="70"/>
      <c r="CL25" s="70"/>
      <c r="CM25" s="70"/>
      <c r="CN25" s="70"/>
      <c r="CO25" s="70"/>
      <c r="CP25" s="70"/>
      <c r="CR25" s="173"/>
    </row>
    <row r="26" spans="1:96" x14ac:dyDescent="0.2">
      <c r="A26" s="59"/>
      <c r="B26" s="66"/>
      <c r="C26" s="66"/>
      <c r="D26" s="66"/>
      <c r="E26" s="59"/>
      <c r="F26" s="59"/>
      <c r="G26" s="59"/>
      <c r="H26" s="59"/>
      <c r="I26" s="59"/>
      <c r="J26" s="59"/>
      <c r="K26" s="59"/>
      <c r="L26" s="68"/>
      <c r="M26" s="63"/>
      <c r="N26" s="59"/>
      <c r="O26" s="69"/>
      <c r="P26" s="70"/>
      <c r="Q26" s="70"/>
      <c r="R26" s="70"/>
      <c r="S26" s="70"/>
      <c r="T26" s="70"/>
      <c r="U26" s="70"/>
      <c r="V26" s="70"/>
      <c r="W26" s="70"/>
      <c r="X26" s="70"/>
      <c r="Y26" s="70"/>
      <c r="Z26" s="70"/>
      <c r="AA26" s="70"/>
      <c r="AB26" s="70"/>
      <c r="AC26" s="70"/>
      <c r="AD26" s="70"/>
      <c r="AE26" s="70"/>
      <c r="AF26" s="70"/>
      <c r="AG26" s="70"/>
      <c r="AH26" s="70"/>
      <c r="AI26" s="70"/>
      <c r="AJ26" s="70"/>
      <c r="AK26" s="70"/>
      <c r="AL26" s="70"/>
      <c r="AM26" s="70"/>
      <c r="AN26" s="70"/>
      <c r="AO26" s="70"/>
      <c r="AP26" s="70"/>
      <c r="AQ26" s="70"/>
      <c r="AR26" s="70"/>
      <c r="AS26" s="70"/>
      <c r="AT26" s="70"/>
      <c r="AU26" s="70"/>
      <c r="AV26" s="70"/>
      <c r="AW26" s="70"/>
      <c r="AX26" s="70"/>
      <c r="AY26" s="70"/>
      <c r="AZ26" s="70"/>
      <c r="BA26" s="70"/>
      <c r="BB26" s="70"/>
      <c r="BC26" s="70"/>
      <c r="BD26" s="70"/>
      <c r="BE26" s="70"/>
      <c r="BF26" s="70"/>
      <c r="BG26" s="70"/>
      <c r="BH26" s="70"/>
      <c r="BI26" s="70"/>
      <c r="BJ26" s="70"/>
      <c r="BK26" s="70"/>
      <c r="BL26" s="70"/>
      <c r="BM26" s="70"/>
      <c r="BN26" s="70"/>
      <c r="BO26" s="70"/>
      <c r="BP26" s="70"/>
      <c r="BQ26" s="70"/>
      <c r="BR26" s="70"/>
      <c r="BS26" s="70"/>
      <c r="BT26" s="70"/>
      <c r="BU26" s="70"/>
      <c r="BV26" s="70"/>
      <c r="BW26" s="70"/>
      <c r="BX26" s="70"/>
      <c r="BY26" s="70"/>
      <c r="BZ26" s="70"/>
      <c r="CA26" s="70"/>
      <c r="CB26" s="70"/>
      <c r="CC26" s="70"/>
      <c r="CD26" s="70"/>
      <c r="CE26" s="70"/>
      <c r="CF26" s="70"/>
      <c r="CG26" s="70"/>
      <c r="CH26" s="70"/>
      <c r="CI26" s="70"/>
      <c r="CJ26" s="70"/>
      <c r="CK26" s="70"/>
      <c r="CL26" s="70"/>
      <c r="CM26" s="70"/>
      <c r="CN26" s="70"/>
      <c r="CO26" s="70"/>
      <c r="CP26" s="70"/>
      <c r="CR26" s="173"/>
    </row>
    <row r="27" spans="1:96" x14ac:dyDescent="0.2">
      <c r="A27" s="59"/>
      <c r="B27" s="66"/>
      <c r="C27" s="66"/>
      <c r="D27" s="66"/>
      <c r="E27" s="59"/>
      <c r="F27" s="59"/>
      <c r="G27" s="59"/>
      <c r="H27" s="59"/>
      <c r="I27" s="59"/>
      <c r="J27" s="59"/>
      <c r="K27" s="59"/>
      <c r="L27" s="68"/>
      <c r="M27" s="63"/>
      <c r="N27" s="59"/>
      <c r="O27" s="69"/>
      <c r="P27" s="70"/>
      <c r="Q27" s="70"/>
      <c r="R27" s="70"/>
      <c r="S27" s="70"/>
      <c r="T27" s="70"/>
      <c r="U27" s="70"/>
      <c r="V27" s="70"/>
      <c r="W27" s="70"/>
      <c r="X27" s="70"/>
      <c r="Y27" s="70"/>
      <c r="Z27" s="70"/>
      <c r="AA27" s="70"/>
      <c r="AB27" s="70"/>
      <c r="AC27" s="70"/>
      <c r="AD27" s="70"/>
      <c r="AE27" s="70"/>
      <c r="AF27" s="70"/>
      <c r="AG27" s="70"/>
      <c r="AH27" s="70"/>
      <c r="AI27" s="70"/>
      <c r="AJ27" s="70"/>
      <c r="AK27" s="70"/>
      <c r="AL27" s="70"/>
      <c r="AM27" s="70"/>
      <c r="AN27" s="70"/>
      <c r="AO27" s="70"/>
      <c r="AP27" s="70"/>
      <c r="AQ27" s="70"/>
      <c r="AR27" s="70"/>
      <c r="AS27" s="70"/>
      <c r="AT27" s="70"/>
      <c r="AU27" s="70"/>
      <c r="AV27" s="70"/>
      <c r="AW27" s="70"/>
      <c r="AX27" s="70"/>
      <c r="AY27" s="70"/>
      <c r="AZ27" s="70"/>
      <c r="BA27" s="70"/>
      <c r="BB27" s="70"/>
      <c r="BC27" s="70"/>
      <c r="BD27" s="70"/>
      <c r="BE27" s="70"/>
      <c r="BF27" s="70"/>
      <c r="BG27" s="70"/>
      <c r="BH27" s="70"/>
      <c r="BI27" s="70"/>
      <c r="BJ27" s="70"/>
      <c r="BK27" s="70"/>
      <c r="BL27" s="70"/>
      <c r="BM27" s="70"/>
      <c r="BN27" s="70"/>
      <c r="BO27" s="70"/>
      <c r="BP27" s="70"/>
      <c r="BQ27" s="70"/>
      <c r="BR27" s="70"/>
      <c r="BS27" s="70"/>
      <c r="BT27" s="70"/>
      <c r="BU27" s="70"/>
      <c r="BV27" s="70"/>
      <c r="BW27" s="70"/>
      <c r="BX27" s="70"/>
      <c r="BY27" s="70"/>
      <c r="BZ27" s="70"/>
      <c r="CA27" s="70"/>
      <c r="CB27" s="70"/>
      <c r="CC27" s="70"/>
      <c r="CD27" s="70"/>
      <c r="CE27" s="70"/>
      <c r="CF27" s="70"/>
      <c r="CG27" s="70"/>
      <c r="CH27" s="70"/>
      <c r="CI27" s="70"/>
      <c r="CJ27" s="70"/>
      <c r="CK27" s="70"/>
      <c r="CL27" s="70"/>
      <c r="CM27" s="70"/>
      <c r="CN27" s="70"/>
      <c r="CO27" s="70"/>
      <c r="CP27" s="70"/>
      <c r="CR27" s="173"/>
    </row>
    <row r="28" spans="1:96" x14ac:dyDescent="0.2">
      <c r="A28" s="59"/>
      <c r="B28" s="66"/>
      <c r="C28" s="66"/>
      <c r="D28" s="66"/>
      <c r="E28" s="59"/>
      <c r="F28" s="59"/>
      <c r="G28" s="59"/>
      <c r="H28" s="59"/>
      <c r="I28" s="59"/>
      <c r="J28" s="59"/>
      <c r="K28" s="59"/>
      <c r="L28" s="68"/>
      <c r="M28" s="63"/>
      <c r="N28" s="59"/>
      <c r="O28" s="69"/>
      <c r="P28" s="70"/>
      <c r="Q28" s="70"/>
      <c r="R28" s="70"/>
      <c r="S28" s="70"/>
      <c r="T28" s="70"/>
      <c r="U28" s="70"/>
      <c r="V28" s="70"/>
      <c r="W28" s="70"/>
      <c r="X28" s="70"/>
      <c r="Y28" s="70"/>
      <c r="Z28" s="70"/>
      <c r="AA28" s="70"/>
      <c r="AB28" s="70"/>
      <c r="AC28" s="70"/>
      <c r="AD28" s="70"/>
      <c r="AE28" s="70"/>
      <c r="AF28" s="70"/>
      <c r="AG28" s="70"/>
      <c r="AH28" s="70"/>
      <c r="AI28" s="70"/>
      <c r="AJ28" s="70"/>
      <c r="AK28" s="70"/>
      <c r="AL28" s="70"/>
      <c r="AM28" s="70"/>
      <c r="AN28" s="70"/>
      <c r="AO28" s="70"/>
      <c r="AP28" s="70"/>
      <c r="AQ28" s="70"/>
      <c r="AR28" s="70"/>
      <c r="AS28" s="70"/>
      <c r="AT28" s="70"/>
      <c r="AU28" s="70"/>
      <c r="AV28" s="70"/>
      <c r="AW28" s="70"/>
      <c r="AX28" s="70"/>
      <c r="AY28" s="70"/>
      <c r="AZ28" s="70"/>
      <c r="BA28" s="70"/>
      <c r="BB28" s="70"/>
      <c r="BC28" s="70"/>
      <c r="BD28" s="70"/>
      <c r="BE28" s="70"/>
      <c r="BF28" s="70"/>
      <c r="BG28" s="70"/>
      <c r="BH28" s="70"/>
      <c r="BI28" s="70"/>
      <c r="BJ28" s="70"/>
      <c r="BK28" s="70"/>
      <c r="BL28" s="70"/>
      <c r="BM28" s="70"/>
      <c r="BN28" s="70"/>
      <c r="BO28" s="70"/>
      <c r="BP28" s="70"/>
      <c r="BQ28" s="70"/>
      <c r="BR28" s="70"/>
      <c r="BS28" s="70"/>
      <c r="BT28" s="70"/>
      <c r="BU28" s="70"/>
      <c r="BV28" s="70"/>
      <c r="BW28" s="70"/>
      <c r="BX28" s="70"/>
      <c r="BY28" s="70"/>
      <c r="BZ28" s="70"/>
      <c r="CA28" s="70"/>
      <c r="CB28" s="70"/>
      <c r="CC28" s="70"/>
      <c r="CD28" s="70"/>
      <c r="CE28" s="70"/>
      <c r="CF28" s="70"/>
      <c r="CG28" s="70"/>
      <c r="CH28" s="70"/>
      <c r="CI28" s="70"/>
      <c r="CJ28" s="70"/>
      <c r="CK28" s="70"/>
      <c r="CL28" s="70"/>
      <c r="CM28" s="70"/>
      <c r="CN28" s="70"/>
      <c r="CO28" s="70"/>
      <c r="CP28" s="70"/>
      <c r="CR28" s="173"/>
    </row>
    <row r="29" spans="1:96" x14ac:dyDescent="0.2">
      <c r="A29" s="59"/>
      <c r="B29" s="66"/>
      <c r="C29" s="66"/>
      <c r="D29" s="66"/>
      <c r="E29" s="59"/>
      <c r="F29" s="59"/>
      <c r="G29" s="59"/>
      <c r="H29" s="59"/>
      <c r="I29" s="59"/>
      <c r="J29" s="59"/>
      <c r="K29" s="59"/>
      <c r="L29" s="68"/>
      <c r="M29" s="63"/>
      <c r="N29" s="59"/>
      <c r="O29" s="69"/>
      <c r="P29" s="70"/>
      <c r="Q29" s="70"/>
      <c r="R29" s="70"/>
      <c r="S29" s="70"/>
      <c r="T29" s="70"/>
      <c r="U29" s="70"/>
      <c r="V29" s="70"/>
      <c r="W29" s="70"/>
      <c r="X29" s="70"/>
      <c r="Y29" s="70"/>
      <c r="Z29" s="70"/>
      <c r="AA29" s="70"/>
      <c r="AB29" s="70"/>
      <c r="AC29" s="70"/>
      <c r="AD29" s="70"/>
      <c r="AE29" s="70"/>
      <c r="AF29" s="70"/>
      <c r="AG29" s="70"/>
      <c r="AH29" s="70"/>
      <c r="AI29" s="70"/>
      <c r="AJ29" s="70"/>
      <c r="AK29" s="70"/>
      <c r="AL29" s="70"/>
      <c r="AM29" s="70"/>
      <c r="AN29" s="70"/>
      <c r="AO29" s="70"/>
      <c r="AP29" s="70"/>
      <c r="AQ29" s="70"/>
      <c r="AR29" s="70"/>
      <c r="AS29" s="70"/>
      <c r="AT29" s="70"/>
      <c r="AU29" s="70"/>
      <c r="AV29" s="70"/>
      <c r="AW29" s="70"/>
      <c r="AX29" s="70"/>
      <c r="AY29" s="70"/>
      <c r="AZ29" s="70"/>
      <c r="BA29" s="70"/>
      <c r="BB29" s="70"/>
      <c r="BC29" s="70"/>
      <c r="BD29" s="70"/>
      <c r="BE29" s="70"/>
      <c r="BF29" s="70"/>
      <c r="BG29" s="70"/>
      <c r="BH29" s="70"/>
      <c r="BI29" s="70"/>
      <c r="BJ29" s="70"/>
      <c r="BK29" s="70"/>
      <c r="BL29" s="70"/>
      <c r="BM29" s="70"/>
      <c r="BN29" s="70"/>
      <c r="BO29" s="70"/>
      <c r="BP29" s="70"/>
      <c r="BQ29" s="70"/>
      <c r="BR29" s="70"/>
      <c r="BS29" s="70"/>
      <c r="BT29" s="70"/>
      <c r="BU29" s="70"/>
      <c r="BV29" s="70"/>
      <c r="BW29" s="70"/>
      <c r="BX29" s="70"/>
      <c r="BY29" s="70"/>
      <c r="BZ29" s="70"/>
      <c r="CA29" s="70"/>
      <c r="CB29" s="70"/>
      <c r="CC29" s="70"/>
      <c r="CD29" s="70"/>
      <c r="CE29" s="70"/>
      <c r="CF29" s="70"/>
      <c r="CG29" s="70"/>
      <c r="CH29" s="70"/>
      <c r="CI29" s="70"/>
      <c r="CJ29" s="70"/>
      <c r="CK29" s="70"/>
      <c r="CL29" s="70"/>
      <c r="CM29" s="70"/>
      <c r="CN29" s="70"/>
      <c r="CO29" s="70"/>
      <c r="CP29" s="70"/>
      <c r="CR29" s="173"/>
    </row>
    <row r="30" spans="1:96" x14ac:dyDescent="0.2">
      <c r="A30" s="59"/>
      <c r="B30" s="66"/>
      <c r="C30" s="66"/>
      <c r="D30" s="66"/>
      <c r="E30" s="59"/>
      <c r="F30" s="59"/>
      <c r="G30" s="59"/>
      <c r="H30" s="59"/>
      <c r="I30" s="59"/>
      <c r="J30" s="59"/>
      <c r="K30" s="59"/>
      <c r="L30" s="68"/>
      <c r="M30" s="63"/>
      <c r="N30" s="59"/>
      <c r="O30" s="69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0"/>
      <c r="AC30" s="70"/>
      <c r="AD30" s="70"/>
      <c r="AE30" s="70"/>
      <c r="AF30" s="70"/>
      <c r="AG30" s="70"/>
      <c r="AH30" s="70"/>
      <c r="AI30" s="70"/>
      <c r="AJ30" s="70"/>
      <c r="AK30" s="70"/>
      <c r="AL30" s="70"/>
      <c r="AM30" s="70"/>
      <c r="AN30" s="70"/>
      <c r="AO30" s="70"/>
      <c r="AP30" s="70"/>
      <c r="AQ30" s="70"/>
      <c r="AR30" s="70"/>
      <c r="AS30" s="70"/>
      <c r="AT30" s="70"/>
      <c r="AU30" s="70"/>
      <c r="AV30" s="70"/>
      <c r="AW30" s="70"/>
      <c r="AX30" s="70"/>
      <c r="AY30" s="70"/>
      <c r="AZ30" s="70"/>
      <c r="BA30" s="70"/>
      <c r="BB30" s="70"/>
      <c r="BC30" s="70"/>
      <c r="BD30" s="70"/>
      <c r="BE30" s="70"/>
      <c r="BF30" s="70"/>
      <c r="BG30" s="70"/>
      <c r="BH30" s="70"/>
      <c r="BI30" s="70"/>
      <c r="BJ30" s="70"/>
      <c r="BK30" s="70"/>
      <c r="BL30" s="70"/>
      <c r="BM30" s="70"/>
      <c r="BN30" s="70"/>
      <c r="BO30" s="70"/>
      <c r="BP30" s="70"/>
      <c r="BQ30" s="70"/>
      <c r="BR30" s="70"/>
      <c r="BS30" s="70"/>
      <c r="BT30" s="70"/>
      <c r="BU30" s="70"/>
      <c r="BV30" s="70"/>
      <c r="BW30" s="70"/>
      <c r="BX30" s="70"/>
      <c r="BY30" s="70"/>
      <c r="BZ30" s="70"/>
      <c r="CA30" s="70"/>
      <c r="CB30" s="70"/>
      <c r="CC30" s="70"/>
      <c r="CD30" s="70"/>
      <c r="CE30" s="70"/>
      <c r="CF30" s="70"/>
      <c r="CG30" s="70"/>
      <c r="CH30" s="70"/>
      <c r="CI30" s="70"/>
      <c r="CJ30" s="70"/>
      <c r="CK30" s="70"/>
      <c r="CL30" s="70"/>
      <c r="CM30" s="70"/>
      <c r="CN30" s="70"/>
      <c r="CO30" s="70"/>
      <c r="CP30" s="70"/>
      <c r="CR30" s="173"/>
    </row>
    <row r="31" spans="1:96" x14ac:dyDescent="0.2">
      <c r="A31" s="59"/>
      <c r="B31" s="66"/>
      <c r="C31" s="66"/>
      <c r="D31" s="66"/>
      <c r="E31" s="59"/>
      <c r="F31" s="59"/>
      <c r="G31" s="59"/>
      <c r="H31" s="59"/>
      <c r="I31" s="59"/>
      <c r="J31" s="59"/>
      <c r="K31" s="59"/>
      <c r="L31" s="68"/>
      <c r="M31" s="63"/>
      <c r="N31" s="59"/>
      <c r="O31" s="69"/>
      <c r="P31" s="70"/>
      <c r="Q31" s="70"/>
      <c r="R31" s="70"/>
      <c r="S31" s="70"/>
      <c r="T31" s="70"/>
      <c r="U31" s="70"/>
      <c r="V31" s="70"/>
      <c r="W31" s="70"/>
      <c r="X31" s="70"/>
      <c r="Y31" s="70"/>
      <c r="Z31" s="70"/>
      <c r="AA31" s="70"/>
      <c r="AB31" s="70"/>
      <c r="AC31" s="70"/>
      <c r="AD31" s="70"/>
      <c r="AE31" s="70"/>
      <c r="AF31" s="70"/>
      <c r="AG31" s="70"/>
      <c r="AH31" s="70"/>
      <c r="AI31" s="70"/>
      <c r="AJ31" s="70"/>
      <c r="AK31" s="70"/>
      <c r="AL31" s="70"/>
      <c r="AM31" s="70"/>
      <c r="AN31" s="70"/>
      <c r="AO31" s="70"/>
      <c r="AP31" s="70"/>
      <c r="AQ31" s="70"/>
      <c r="AR31" s="70"/>
      <c r="AS31" s="70"/>
      <c r="AT31" s="70"/>
      <c r="AU31" s="70"/>
      <c r="AV31" s="70"/>
      <c r="AW31" s="70"/>
      <c r="AX31" s="70"/>
      <c r="AY31" s="70"/>
      <c r="AZ31" s="70"/>
      <c r="BA31" s="70"/>
      <c r="BB31" s="70"/>
      <c r="BC31" s="70"/>
      <c r="BD31" s="70"/>
      <c r="BE31" s="70"/>
      <c r="BF31" s="70"/>
      <c r="BG31" s="70"/>
      <c r="BH31" s="70"/>
      <c r="BI31" s="70"/>
      <c r="BJ31" s="70"/>
      <c r="BK31" s="70"/>
      <c r="BL31" s="70"/>
      <c r="BM31" s="70"/>
      <c r="BN31" s="70"/>
      <c r="BO31" s="70"/>
      <c r="BP31" s="70"/>
      <c r="BQ31" s="70"/>
      <c r="BR31" s="70"/>
      <c r="BS31" s="70"/>
      <c r="BT31" s="70"/>
      <c r="BU31" s="70"/>
      <c r="BV31" s="70"/>
      <c r="BW31" s="70"/>
      <c r="BX31" s="70"/>
      <c r="BY31" s="70"/>
      <c r="BZ31" s="70"/>
      <c r="CA31" s="70"/>
      <c r="CB31" s="70"/>
      <c r="CC31" s="70"/>
      <c r="CD31" s="70"/>
      <c r="CE31" s="70"/>
      <c r="CF31" s="70"/>
      <c r="CG31" s="70"/>
      <c r="CH31" s="70"/>
      <c r="CI31" s="70"/>
      <c r="CJ31" s="70"/>
      <c r="CK31" s="70"/>
      <c r="CL31" s="70"/>
      <c r="CM31" s="70"/>
      <c r="CN31" s="70"/>
      <c r="CO31" s="70"/>
      <c r="CP31" s="70"/>
      <c r="CR31" s="173"/>
    </row>
    <row r="32" spans="1:96" x14ac:dyDescent="0.2">
      <c r="A32" s="59"/>
      <c r="B32" s="66"/>
      <c r="C32" s="66"/>
      <c r="D32" s="66"/>
      <c r="E32" s="59"/>
      <c r="F32" s="59"/>
      <c r="G32" s="59"/>
      <c r="H32" s="59"/>
      <c r="I32" s="59"/>
      <c r="J32" s="59"/>
      <c r="K32" s="59"/>
      <c r="L32" s="68"/>
      <c r="M32" s="63"/>
      <c r="N32" s="59"/>
      <c r="O32" s="69"/>
      <c r="P32" s="70"/>
      <c r="Q32" s="70"/>
      <c r="R32" s="70"/>
      <c r="S32" s="70"/>
      <c r="T32" s="70"/>
      <c r="U32" s="70"/>
      <c r="V32" s="70"/>
      <c r="W32" s="70"/>
      <c r="X32" s="70"/>
      <c r="Y32" s="70"/>
      <c r="Z32" s="70"/>
      <c r="AA32" s="70"/>
      <c r="AB32" s="70"/>
      <c r="AC32" s="70"/>
      <c r="AD32" s="70"/>
      <c r="AE32" s="70"/>
      <c r="AF32" s="70"/>
      <c r="AG32" s="70"/>
      <c r="AH32" s="70"/>
      <c r="AI32" s="70"/>
      <c r="AJ32" s="70"/>
      <c r="AK32" s="70"/>
      <c r="AL32" s="70"/>
      <c r="AM32" s="70"/>
      <c r="AN32" s="70"/>
      <c r="AO32" s="70"/>
      <c r="AP32" s="70"/>
      <c r="AQ32" s="70"/>
      <c r="AR32" s="70"/>
      <c r="AS32" s="70"/>
      <c r="AT32" s="70"/>
      <c r="AU32" s="70"/>
      <c r="AV32" s="70"/>
      <c r="AW32" s="70"/>
      <c r="AX32" s="70"/>
      <c r="AY32" s="70"/>
      <c r="AZ32" s="70"/>
      <c r="BA32" s="70"/>
      <c r="BB32" s="70"/>
      <c r="BC32" s="70"/>
      <c r="BD32" s="70"/>
      <c r="BE32" s="70"/>
      <c r="BF32" s="70"/>
      <c r="BG32" s="70"/>
      <c r="BH32" s="70"/>
      <c r="BI32" s="70"/>
      <c r="BJ32" s="70"/>
      <c r="BK32" s="70"/>
      <c r="BL32" s="70"/>
      <c r="BM32" s="70"/>
      <c r="BN32" s="70"/>
      <c r="BO32" s="70"/>
      <c r="BP32" s="70"/>
      <c r="BQ32" s="70"/>
      <c r="BR32" s="70"/>
      <c r="BS32" s="70"/>
      <c r="BT32" s="70"/>
      <c r="BU32" s="70"/>
      <c r="BV32" s="70"/>
      <c r="BW32" s="70"/>
      <c r="BX32" s="70"/>
      <c r="BY32" s="70"/>
      <c r="BZ32" s="70"/>
      <c r="CA32" s="70"/>
      <c r="CB32" s="70"/>
      <c r="CC32" s="70"/>
      <c r="CD32" s="70"/>
      <c r="CE32" s="70"/>
      <c r="CF32" s="70"/>
      <c r="CG32" s="70"/>
      <c r="CH32" s="70"/>
      <c r="CI32" s="70"/>
      <c r="CJ32" s="70"/>
      <c r="CK32" s="70"/>
      <c r="CL32" s="70"/>
      <c r="CM32" s="70"/>
      <c r="CN32" s="70"/>
      <c r="CO32" s="70"/>
      <c r="CP32" s="70"/>
      <c r="CR32" s="173"/>
    </row>
    <row r="33" spans="1:96" x14ac:dyDescent="0.2">
      <c r="A33" s="59"/>
      <c r="B33" s="66"/>
      <c r="C33" s="66"/>
      <c r="D33" s="66"/>
      <c r="E33" s="59"/>
      <c r="F33" s="59"/>
      <c r="G33" s="59"/>
      <c r="H33" s="59"/>
      <c r="I33" s="59"/>
      <c r="J33" s="59"/>
      <c r="K33" s="59"/>
      <c r="L33" s="68"/>
      <c r="M33" s="63"/>
      <c r="N33" s="59"/>
      <c r="O33" s="69"/>
      <c r="P33" s="70"/>
      <c r="Q33" s="70"/>
      <c r="R33" s="70"/>
      <c r="S33" s="70"/>
      <c r="T33" s="70"/>
      <c r="U33" s="70"/>
      <c r="V33" s="70"/>
      <c r="W33" s="70"/>
      <c r="X33" s="70"/>
      <c r="Y33" s="70"/>
      <c r="Z33" s="70"/>
      <c r="AA33" s="70"/>
      <c r="AB33" s="70"/>
      <c r="AC33" s="70"/>
      <c r="AD33" s="70"/>
      <c r="AE33" s="70"/>
      <c r="AF33" s="70"/>
      <c r="AG33" s="70"/>
      <c r="AH33" s="70"/>
      <c r="AI33" s="70"/>
      <c r="AJ33" s="70"/>
      <c r="AK33" s="70"/>
      <c r="AL33" s="70"/>
      <c r="AM33" s="70"/>
      <c r="AN33" s="70"/>
      <c r="AO33" s="70"/>
      <c r="AP33" s="70"/>
      <c r="AQ33" s="70"/>
      <c r="AR33" s="70"/>
      <c r="AS33" s="70"/>
      <c r="AT33" s="70"/>
      <c r="AU33" s="70"/>
      <c r="AV33" s="70"/>
      <c r="AW33" s="70"/>
      <c r="AX33" s="70"/>
      <c r="AY33" s="70"/>
      <c r="AZ33" s="70"/>
      <c r="BA33" s="70"/>
      <c r="BB33" s="70"/>
      <c r="BC33" s="70"/>
      <c r="BD33" s="70"/>
      <c r="BE33" s="70"/>
      <c r="BF33" s="70"/>
      <c r="BG33" s="70"/>
      <c r="BH33" s="70"/>
      <c r="BI33" s="70"/>
      <c r="BJ33" s="70"/>
      <c r="BK33" s="70"/>
      <c r="BL33" s="70"/>
      <c r="BM33" s="70"/>
      <c r="BN33" s="70"/>
      <c r="BO33" s="70"/>
      <c r="BP33" s="70"/>
      <c r="BQ33" s="70"/>
      <c r="BR33" s="70"/>
      <c r="BS33" s="70"/>
      <c r="BT33" s="70"/>
      <c r="BU33" s="70"/>
      <c r="BV33" s="70"/>
      <c r="BW33" s="70"/>
      <c r="BX33" s="70"/>
      <c r="BY33" s="70"/>
      <c r="BZ33" s="70"/>
      <c r="CA33" s="70"/>
      <c r="CB33" s="70"/>
      <c r="CC33" s="70"/>
      <c r="CD33" s="70"/>
      <c r="CE33" s="70"/>
      <c r="CF33" s="70"/>
      <c r="CG33" s="70"/>
      <c r="CH33" s="70"/>
      <c r="CI33" s="70"/>
      <c r="CJ33" s="70"/>
      <c r="CK33" s="70"/>
      <c r="CL33" s="70"/>
      <c r="CM33" s="70"/>
      <c r="CN33" s="70"/>
      <c r="CO33" s="70"/>
      <c r="CP33" s="70"/>
      <c r="CR33" s="173"/>
    </row>
    <row r="34" spans="1:96" x14ac:dyDescent="0.2">
      <c r="A34" s="59"/>
      <c r="B34" s="66"/>
      <c r="C34" s="66"/>
      <c r="D34" s="66"/>
      <c r="E34" s="59"/>
      <c r="F34" s="59"/>
      <c r="G34" s="59"/>
      <c r="H34" s="59"/>
      <c r="I34" s="59"/>
      <c r="J34" s="59"/>
      <c r="K34" s="59"/>
      <c r="L34" s="68"/>
      <c r="M34" s="63"/>
      <c r="N34" s="59"/>
      <c r="O34" s="69"/>
      <c r="P34" s="70"/>
      <c r="Q34" s="70"/>
      <c r="R34" s="70"/>
      <c r="S34" s="70"/>
      <c r="T34" s="70"/>
      <c r="U34" s="70"/>
      <c r="V34" s="70"/>
      <c r="W34" s="70"/>
      <c r="X34" s="70"/>
      <c r="Y34" s="70"/>
      <c r="Z34" s="70"/>
      <c r="AA34" s="70"/>
      <c r="AB34" s="70"/>
      <c r="AC34" s="70"/>
      <c r="AD34" s="70"/>
      <c r="AE34" s="70"/>
      <c r="AF34" s="70"/>
      <c r="AG34" s="70"/>
      <c r="AH34" s="70"/>
      <c r="AI34" s="70"/>
      <c r="AJ34" s="70"/>
      <c r="AK34" s="70"/>
      <c r="AL34" s="70"/>
      <c r="AM34" s="70"/>
      <c r="AN34" s="70"/>
      <c r="AO34" s="70"/>
      <c r="AP34" s="70"/>
      <c r="AQ34" s="70"/>
      <c r="AR34" s="70"/>
      <c r="AS34" s="70"/>
      <c r="AT34" s="70"/>
      <c r="AU34" s="70"/>
      <c r="AV34" s="70"/>
      <c r="AW34" s="70"/>
      <c r="AX34" s="70"/>
      <c r="AY34" s="70"/>
      <c r="AZ34" s="70"/>
      <c r="BA34" s="70"/>
      <c r="BB34" s="70"/>
      <c r="BC34" s="70"/>
      <c r="BD34" s="70"/>
      <c r="BE34" s="70"/>
      <c r="BF34" s="70"/>
      <c r="BG34" s="70"/>
      <c r="BH34" s="70"/>
      <c r="BI34" s="70"/>
      <c r="BJ34" s="70"/>
      <c r="BK34" s="70"/>
      <c r="BL34" s="70"/>
      <c r="BM34" s="70"/>
      <c r="BN34" s="70"/>
      <c r="BO34" s="70"/>
      <c r="BP34" s="70"/>
      <c r="BQ34" s="70"/>
      <c r="BR34" s="70"/>
      <c r="BS34" s="70"/>
      <c r="BT34" s="70"/>
      <c r="BU34" s="70"/>
      <c r="BV34" s="70"/>
      <c r="BW34" s="70"/>
      <c r="BX34" s="70"/>
      <c r="BY34" s="70"/>
      <c r="BZ34" s="70"/>
      <c r="CA34" s="70"/>
      <c r="CB34" s="70"/>
      <c r="CC34" s="70"/>
      <c r="CD34" s="70"/>
      <c r="CE34" s="70"/>
      <c r="CF34" s="70"/>
      <c r="CG34" s="70"/>
      <c r="CH34" s="70"/>
      <c r="CI34" s="70"/>
      <c r="CJ34" s="70"/>
      <c r="CK34" s="70"/>
      <c r="CL34" s="70"/>
      <c r="CM34" s="70"/>
      <c r="CN34" s="70"/>
      <c r="CO34" s="70"/>
      <c r="CP34" s="70"/>
      <c r="CR34" s="173"/>
    </row>
    <row r="35" spans="1:96" x14ac:dyDescent="0.2">
      <c r="A35" s="59"/>
      <c r="B35" s="66"/>
      <c r="C35" s="66"/>
      <c r="D35" s="66"/>
      <c r="E35" s="59"/>
      <c r="F35" s="59"/>
      <c r="G35" s="59"/>
      <c r="H35" s="59"/>
      <c r="I35" s="59"/>
      <c r="J35" s="59"/>
      <c r="K35" s="59"/>
      <c r="L35" s="68"/>
      <c r="M35" s="63"/>
      <c r="N35" s="59"/>
      <c r="O35" s="69"/>
      <c r="P35" s="70"/>
      <c r="Q35" s="70"/>
      <c r="R35" s="70"/>
      <c r="S35" s="70"/>
      <c r="T35" s="70"/>
      <c r="U35" s="70"/>
      <c r="V35" s="70"/>
      <c r="W35" s="70"/>
      <c r="X35" s="70"/>
      <c r="Y35" s="70"/>
      <c r="Z35" s="70"/>
      <c r="AA35" s="70"/>
      <c r="AB35" s="70"/>
      <c r="AC35" s="70"/>
      <c r="AD35" s="70"/>
      <c r="AE35" s="70"/>
      <c r="AF35" s="70"/>
      <c r="AG35" s="70"/>
      <c r="AH35" s="70"/>
      <c r="AI35" s="70"/>
      <c r="AJ35" s="70"/>
      <c r="AK35" s="70"/>
      <c r="AL35" s="70"/>
      <c r="AM35" s="70"/>
      <c r="AN35" s="70"/>
      <c r="AO35" s="70"/>
      <c r="AP35" s="70"/>
      <c r="AQ35" s="70"/>
      <c r="AR35" s="70"/>
      <c r="AS35" s="70"/>
      <c r="AT35" s="70"/>
      <c r="AU35" s="70"/>
      <c r="AV35" s="70"/>
      <c r="AW35" s="70"/>
      <c r="AX35" s="70"/>
      <c r="AY35" s="70"/>
      <c r="AZ35" s="70"/>
      <c r="BA35" s="70"/>
      <c r="BB35" s="70"/>
      <c r="BC35" s="70"/>
      <c r="BD35" s="70"/>
      <c r="BE35" s="70"/>
      <c r="BF35" s="70"/>
      <c r="BG35" s="70"/>
      <c r="BH35" s="70"/>
      <c r="BI35" s="70"/>
      <c r="BJ35" s="70"/>
      <c r="BK35" s="70"/>
      <c r="BL35" s="70"/>
      <c r="BM35" s="70"/>
      <c r="BN35" s="70"/>
      <c r="BO35" s="70"/>
      <c r="BP35" s="70"/>
      <c r="BQ35" s="70"/>
      <c r="BR35" s="70"/>
      <c r="BS35" s="70"/>
      <c r="BT35" s="70"/>
      <c r="BU35" s="70"/>
      <c r="BV35" s="70"/>
      <c r="BW35" s="70"/>
      <c r="BX35" s="70"/>
      <c r="BY35" s="70"/>
      <c r="BZ35" s="70"/>
      <c r="CA35" s="70"/>
      <c r="CB35" s="70"/>
      <c r="CC35" s="70"/>
      <c r="CD35" s="70"/>
      <c r="CE35" s="70"/>
      <c r="CF35" s="70"/>
      <c r="CG35" s="70"/>
      <c r="CH35" s="70"/>
      <c r="CI35" s="70"/>
      <c r="CJ35" s="70"/>
      <c r="CK35" s="70"/>
      <c r="CL35" s="70"/>
      <c r="CM35" s="70"/>
      <c r="CN35" s="70"/>
      <c r="CO35" s="70"/>
      <c r="CP35" s="70"/>
      <c r="CR35" s="173"/>
    </row>
    <row r="36" spans="1:96" x14ac:dyDescent="0.2">
      <c r="A36" s="59"/>
      <c r="B36" s="66"/>
      <c r="C36" s="66"/>
      <c r="D36" s="66"/>
      <c r="E36" s="59"/>
      <c r="F36" s="59"/>
      <c r="G36" s="59"/>
      <c r="H36" s="59"/>
      <c r="I36" s="59"/>
      <c r="J36" s="59"/>
      <c r="K36" s="59"/>
      <c r="L36" s="68"/>
      <c r="M36" s="63"/>
      <c r="N36" s="59"/>
      <c r="O36" s="69"/>
      <c r="P36" s="70"/>
      <c r="Q36" s="70"/>
      <c r="R36" s="70"/>
      <c r="S36" s="70"/>
      <c r="T36" s="70"/>
      <c r="U36" s="70"/>
      <c r="V36" s="70"/>
      <c r="W36" s="70"/>
      <c r="X36" s="70"/>
      <c r="Y36" s="70"/>
      <c r="Z36" s="70"/>
      <c r="AA36" s="70"/>
      <c r="AB36" s="70"/>
      <c r="AC36" s="70"/>
      <c r="AD36" s="70"/>
      <c r="AE36" s="70"/>
      <c r="AF36" s="70"/>
      <c r="AG36" s="70"/>
      <c r="AH36" s="70"/>
      <c r="AI36" s="70"/>
      <c r="AJ36" s="70"/>
      <c r="AK36" s="70"/>
      <c r="AL36" s="70"/>
      <c r="AM36" s="70"/>
      <c r="AN36" s="70"/>
      <c r="AO36" s="70"/>
      <c r="AP36" s="70"/>
      <c r="AQ36" s="70"/>
      <c r="AR36" s="70"/>
      <c r="AS36" s="70"/>
      <c r="AT36" s="70"/>
      <c r="AU36" s="70"/>
      <c r="AV36" s="70"/>
      <c r="AW36" s="70"/>
      <c r="AX36" s="70"/>
      <c r="AY36" s="70"/>
      <c r="AZ36" s="70"/>
      <c r="BA36" s="70"/>
      <c r="BB36" s="70"/>
      <c r="BC36" s="70"/>
      <c r="BD36" s="70"/>
      <c r="BE36" s="70"/>
      <c r="BF36" s="70"/>
      <c r="BG36" s="70"/>
      <c r="BH36" s="70"/>
      <c r="BI36" s="70"/>
      <c r="BJ36" s="70"/>
      <c r="BK36" s="70"/>
      <c r="BL36" s="70"/>
      <c r="BM36" s="70"/>
      <c r="BN36" s="70"/>
      <c r="BO36" s="70"/>
      <c r="BP36" s="70"/>
      <c r="BQ36" s="70"/>
      <c r="BR36" s="70"/>
      <c r="BS36" s="70"/>
      <c r="BT36" s="70"/>
      <c r="BU36" s="70"/>
      <c r="BV36" s="70"/>
      <c r="BW36" s="70"/>
      <c r="BX36" s="70"/>
      <c r="BY36" s="70"/>
      <c r="BZ36" s="70"/>
      <c r="CA36" s="70"/>
      <c r="CB36" s="70"/>
      <c r="CC36" s="70"/>
      <c r="CD36" s="70"/>
      <c r="CE36" s="70"/>
      <c r="CF36" s="70"/>
      <c r="CG36" s="70"/>
      <c r="CH36" s="70"/>
      <c r="CI36" s="70"/>
      <c r="CJ36" s="70"/>
      <c r="CK36" s="70"/>
      <c r="CL36" s="70"/>
      <c r="CM36" s="70"/>
      <c r="CN36" s="70"/>
      <c r="CO36" s="70"/>
      <c r="CP36" s="70"/>
      <c r="CR36" s="173"/>
    </row>
    <row r="37" spans="1:96" x14ac:dyDescent="0.2">
      <c r="A37" s="59"/>
      <c r="B37" s="66"/>
      <c r="C37" s="66"/>
      <c r="D37" s="66"/>
      <c r="E37" s="59"/>
      <c r="F37" s="59"/>
      <c r="G37" s="59"/>
      <c r="H37" s="59"/>
      <c r="I37" s="59"/>
      <c r="J37" s="59"/>
      <c r="K37" s="59"/>
      <c r="L37" s="68"/>
      <c r="M37" s="63"/>
      <c r="N37" s="59"/>
      <c r="O37" s="69"/>
      <c r="P37" s="70"/>
      <c r="Q37" s="70"/>
      <c r="R37" s="70"/>
      <c r="S37" s="70"/>
      <c r="T37" s="70"/>
      <c r="U37" s="70"/>
      <c r="V37" s="70"/>
      <c r="W37" s="70"/>
      <c r="X37" s="70"/>
      <c r="Y37" s="70"/>
      <c r="Z37" s="70"/>
      <c r="AA37" s="70"/>
      <c r="AB37" s="70"/>
      <c r="AC37" s="70"/>
      <c r="AD37" s="70"/>
      <c r="AE37" s="70"/>
      <c r="AF37" s="70"/>
      <c r="AG37" s="70"/>
      <c r="AH37" s="70"/>
      <c r="AI37" s="70"/>
      <c r="AJ37" s="70"/>
      <c r="AK37" s="70"/>
      <c r="AL37" s="70"/>
      <c r="AM37" s="70"/>
      <c r="AN37" s="70"/>
      <c r="AO37" s="70"/>
      <c r="AP37" s="70"/>
      <c r="AQ37" s="70"/>
      <c r="AR37" s="70"/>
      <c r="AS37" s="70"/>
      <c r="AT37" s="70"/>
      <c r="AU37" s="70"/>
      <c r="AV37" s="70"/>
      <c r="AW37" s="70"/>
      <c r="AX37" s="70"/>
      <c r="AY37" s="70"/>
      <c r="AZ37" s="70"/>
      <c r="BA37" s="70"/>
      <c r="BB37" s="70"/>
      <c r="BC37" s="70"/>
      <c r="BD37" s="70"/>
      <c r="BE37" s="70"/>
      <c r="BF37" s="70"/>
      <c r="BG37" s="70"/>
      <c r="BH37" s="70"/>
      <c r="BI37" s="70"/>
      <c r="BJ37" s="70"/>
      <c r="BK37" s="70"/>
      <c r="BL37" s="70"/>
      <c r="BM37" s="70"/>
      <c r="BN37" s="70"/>
      <c r="BO37" s="70"/>
      <c r="BP37" s="70"/>
      <c r="BQ37" s="70"/>
      <c r="BR37" s="70"/>
      <c r="BS37" s="70"/>
      <c r="BT37" s="70"/>
      <c r="BU37" s="70"/>
      <c r="BV37" s="70"/>
      <c r="BW37" s="70"/>
      <c r="BX37" s="70"/>
      <c r="BY37" s="70"/>
      <c r="BZ37" s="70"/>
      <c r="CA37" s="70"/>
      <c r="CB37" s="70"/>
      <c r="CC37" s="70"/>
      <c r="CD37" s="70"/>
      <c r="CE37" s="70"/>
      <c r="CF37" s="70"/>
      <c r="CG37" s="70"/>
      <c r="CH37" s="70"/>
      <c r="CI37" s="70"/>
      <c r="CJ37" s="70"/>
      <c r="CK37" s="70"/>
      <c r="CL37" s="70"/>
      <c r="CM37" s="70"/>
      <c r="CN37" s="70"/>
      <c r="CO37" s="70"/>
      <c r="CP37" s="70"/>
      <c r="CR37" s="173"/>
    </row>
    <row r="38" spans="1:96" x14ac:dyDescent="0.2">
      <c r="A38" s="59"/>
      <c r="B38" s="66"/>
      <c r="C38" s="66"/>
      <c r="D38" s="66"/>
      <c r="E38" s="59"/>
      <c r="F38" s="59"/>
      <c r="G38" s="59"/>
      <c r="H38" s="59"/>
      <c r="I38" s="59"/>
      <c r="J38" s="59"/>
      <c r="K38" s="59"/>
      <c r="L38" s="68"/>
      <c r="M38" s="63"/>
      <c r="N38" s="59"/>
      <c r="O38" s="69"/>
      <c r="P38" s="70"/>
      <c r="Q38" s="70"/>
      <c r="R38" s="70"/>
      <c r="S38" s="70"/>
      <c r="T38" s="70"/>
      <c r="U38" s="70"/>
      <c r="V38" s="70"/>
      <c r="W38" s="70"/>
      <c r="X38" s="70"/>
      <c r="Y38" s="70"/>
      <c r="Z38" s="70"/>
      <c r="AA38" s="70"/>
      <c r="AB38" s="70"/>
      <c r="AC38" s="70"/>
      <c r="AD38" s="70"/>
      <c r="AE38" s="70"/>
      <c r="AF38" s="70"/>
      <c r="AG38" s="70"/>
      <c r="AH38" s="70"/>
      <c r="AI38" s="70"/>
      <c r="AJ38" s="70"/>
      <c r="AK38" s="70"/>
      <c r="AL38" s="70"/>
      <c r="AM38" s="70"/>
      <c r="AN38" s="70"/>
      <c r="AO38" s="70"/>
      <c r="AP38" s="70"/>
      <c r="AQ38" s="70"/>
      <c r="AR38" s="70"/>
      <c r="AS38" s="70"/>
      <c r="AT38" s="70"/>
      <c r="AU38" s="70"/>
      <c r="AV38" s="70"/>
      <c r="AW38" s="70"/>
      <c r="AX38" s="70"/>
      <c r="AY38" s="70"/>
      <c r="AZ38" s="70"/>
      <c r="BA38" s="70"/>
      <c r="BB38" s="70"/>
      <c r="BC38" s="70"/>
      <c r="BD38" s="70"/>
      <c r="BE38" s="70"/>
      <c r="BF38" s="70"/>
      <c r="BG38" s="70"/>
      <c r="BH38" s="70"/>
      <c r="BI38" s="70"/>
      <c r="BJ38" s="70"/>
      <c r="BK38" s="70"/>
      <c r="BL38" s="70"/>
      <c r="BM38" s="70"/>
      <c r="BN38" s="70"/>
      <c r="BO38" s="70"/>
      <c r="BP38" s="70"/>
      <c r="BQ38" s="70"/>
      <c r="BR38" s="70"/>
      <c r="BS38" s="70"/>
      <c r="BT38" s="70"/>
      <c r="BU38" s="70"/>
      <c r="BV38" s="70"/>
      <c r="BW38" s="70"/>
      <c r="BX38" s="70"/>
      <c r="BY38" s="70"/>
      <c r="BZ38" s="70"/>
      <c r="CA38" s="70"/>
      <c r="CB38" s="70"/>
      <c r="CC38" s="70"/>
      <c r="CD38" s="70"/>
      <c r="CE38" s="70"/>
      <c r="CF38" s="70"/>
      <c r="CG38" s="70"/>
      <c r="CH38" s="70"/>
      <c r="CI38" s="70"/>
      <c r="CJ38" s="70"/>
      <c r="CK38" s="70"/>
      <c r="CL38" s="70"/>
      <c r="CM38" s="70"/>
      <c r="CN38" s="70"/>
      <c r="CO38" s="70"/>
      <c r="CP38" s="70"/>
      <c r="CR38" s="173"/>
    </row>
    <row r="39" spans="1:96" x14ac:dyDescent="0.2">
      <c r="A39" s="59"/>
      <c r="B39" s="66"/>
      <c r="C39" s="66"/>
      <c r="D39" s="66"/>
      <c r="E39" s="59"/>
      <c r="F39" s="59"/>
      <c r="G39" s="59"/>
      <c r="H39" s="59"/>
      <c r="I39" s="59"/>
      <c r="J39" s="59"/>
      <c r="K39" s="59"/>
      <c r="L39" s="68"/>
      <c r="M39" s="63"/>
      <c r="N39" s="59"/>
      <c r="O39" s="69"/>
      <c r="P39" s="70"/>
      <c r="Q39" s="70"/>
      <c r="R39" s="70"/>
      <c r="S39" s="70"/>
      <c r="T39" s="70"/>
      <c r="U39" s="70"/>
      <c r="V39" s="70"/>
      <c r="W39" s="70"/>
      <c r="X39" s="70"/>
      <c r="Y39" s="70"/>
      <c r="Z39" s="70"/>
      <c r="AA39" s="70"/>
      <c r="AB39" s="70"/>
      <c r="AC39" s="70"/>
      <c r="AD39" s="70"/>
      <c r="AE39" s="70"/>
      <c r="AF39" s="70"/>
      <c r="AG39" s="70"/>
      <c r="AH39" s="70"/>
      <c r="AI39" s="70"/>
      <c r="AJ39" s="70"/>
      <c r="AK39" s="70"/>
      <c r="AL39" s="70"/>
      <c r="AM39" s="70"/>
      <c r="AN39" s="70"/>
      <c r="AO39" s="70"/>
      <c r="AP39" s="70"/>
      <c r="AQ39" s="70"/>
      <c r="AR39" s="70"/>
      <c r="AS39" s="70"/>
      <c r="AT39" s="70"/>
      <c r="AU39" s="70"/>
      <c r="AV39" s="70"/>
      <c r="AW39" s="70"/>
      <c r="AX39" s="70"/>
      <c r="AY39" s="70"/>
      <c r="AZ39" s="70"/>
      <c r="BA39" s="70"/>
      <c r="BB39" s="70"/>
      <c r="BC39" s="70"/>
      <c r="BD39" s="70"/>
      <c r="BE39" s="70"/>
      <c r="BF39" s="70"/>
      <c r="BG39" s="70"/>
      <c r="BH39" s="70"/>
      <c r="BI39" s="70"/>
      <c r="BJ39" s="70"/>
      <c r="BK39" s="70"/>
      <c r="BL39" s="70"/>
      <c r="BM39" s="70"/>
      <c r="BN39" s="70"/>
      <c r="BO39" s="70"/>
      <c r="BP39" s="70"/>
      <c r="BQ39" s="70"/>
      <c r="BR39" s="70"/>
      <c r="BS39" s="70"/>
      <c r="BT39" s="70"/>
      <c r="BU39" s="70"/>
      <c r="BV39" s="70"/>
      <c r="BW39" s="70"/>
      <c r="BX39" s="70"/>
      <c r="BY39" s="70"/>
      <c r="BZ39" s="70"/>
      <c r="CA39" s="70"/>
      <c r="CB39" s="70"/>
      <c r="CC39" s="70"/>
      <c r="CD39" s="70"/>
      <c r="CE39" s="70"/>
      <c r="CF39" s="70"/>
      <c r="CG39" s="70"/>
      <c r="CH39" s="70"/>
      <c r="CI39" s="70"/>
      <c r="CJ39" s="70"/>
      <c r="CK39" s="70"/>
      <c r="CL39" s="70"/>
      <c r="CM39" s="70"/>
      <c r="CN39" s="70"/>
      <c r="CO39" s="70"/>
      <c r="CP39" s="70"/>
      <c r="CR39" s="173"/>
    </row>
    <row r="40" spans="1:96" x14ac:dyDescent="0.2">
      <c r="A40" s="59"/>
      <c r="B40" s="66"/>
      <c r="C40" s="66"/>
      <c r="D40" s="66"/>
      <c r="E40" s="59"/>
      <c r="F40" s="59"/>
      <c r="G40" s="59"/>
      <c r="H40" s="59"/>
      <c r="I40" s="59"/>
      <c r="J40" s="59"/>
      <c r="K40" s="59"/>
      <c r="L40" s="68"/>
      <c r="M40" s="63"/>
      <c r="N40" s="59"/>
      <c r="O40" s="69"/>
      <c r="P40" s="70"/>
      <c r="Q40" s="70"/>
      <c r="R40" s="70"/>
      <c r="S40" s="70"/>
      <c r="T40" s="70"/>
      <c r="U40" s="70"/>
      <c r="V40" s="70"/>
      <c r="W40" s="70"/>
      <c r="X40" s="70"/>
      <c r="Y40" s="70"/>
      <c r="Z40" s="70"/>
      <c r="AA40" s="70"/>
      <c r="AB40" s="70"/>
      <c r="AC40" s="70"/>
      <c r="AD40" s="70"/>
      <c r="AE40" s="70"/>
      <c r="AF40" s="70"/>
      <c r="AG40" s="70"/>
      <c r="AH40" s="70"/>
      <c r="AI40" s="70"/>
      <c r="AJ40" s="70"/>
      <c r="AK40" s="70"/>
      <c r="AL40" s="70"/>
      <c r="AM40" s="70"/>
      <c r="AN40" s="70"/>
      <c r="AO40" s="70"/>
      <c r="AP40" s="70"/>
      <c r="AQ40" s="70"/>
      <c r="AR40" s="70"/>
      <c r="AS40" s="70"/>
      <c r="AT40" s="70"/>
      <c r="AU40" s="70"/>
      <c r="AV40" s="70"/>
      <c r="AW40" s="70"/>
      <c r="AX40" s="70"/>
      <c r="AY40" s="70"/>
      <c r="AZ40" s="70"/>
      <c r="BA40" s="70"/>
      <c r="BB40" s="70"/>
      <c r="BC40" s="70"/>
      <c r="BD40" s="70"/>
      <c r="BE40" s="70"/>
      <c r="BF40" s="70"/>
      <c r="BG40" s="70"/>
      <c r="BH40" s="70"/>
      <c r="BI40" s="70"/>
      <c r="BJ40" s="70"/>
      <c r="BK40" s="70"/>
      <c r="BL40" s="70"/>
      <c r="BM40" s="70"/>
      <c r="BN40" s="70"/>
      <c r="BO40" s="70"/>
      <c r="BP40" s="70"/>
      <c r="BQ40" s="70"/>
      <c r="BR40" s="70"/>
      <c r="BS40" s="70"/>
      <c r="BT40" s="70"/>
      <c r="BU40" s="70"/>
      <c r="BV40" s="70"/>
      <c r="BW40" s="70"/>
      <c r="BX40" s="70"/>
      <c r="BY40" s="70"/>
      <c r="BZ40" s="70"/>
      <c r="CA40" s="70"/>
      <c r="CB40" s="70"/>
      <c r="CC40" s="70"/>
      <c r="CD40" s="70"/>
      <c r="CE40" s="70"/>
      <c r="CF40" s="70"/>
      <c r="CG40" s="70"/>
      <c r="CH40" s="70"/>
      <c r="CI40" s="70"/>
      <c r="CJ40" s="70"/>
      <c r="CK40" s="70"/>
      <c r="CL40" s="70"/>
      <c r="CM40" s="70"/>
      <c r="CN40" s="70"/>
      <c r="CO40" s="70"/>
      <c r="CP40" s="70"/>
      <c r="CR40" s="173"/>
    </row>
    <row r="41" spans="1:96" x14ac:dyDescent="0.2">
      <c r="A41" s="59"/>
      <c r="B41" s="66"/>
      <c r="C41" s="66"/>
      <c r="D41" s="66"/>
      <c r="E41" s="59"/>
      <c r="F41" s="59"/>
      <c r="G41" s="59"/>
      <c r="H41" s="59"/>
      <c r="I41" s="59"/>
      <c r="J41" s="59"/>
      <c r="K41" s="59"/>
      <c r="L41" s="68"/>
      <c r="M41" s="63"/>
      <c r="N41" s="59"/>
      <c r="O41" s="69"/>
      <c r="P41" s="70"/>
      <c r="Q41" s="70"/>
      <c r="R41" s="70"/>
      <c r="S41" s="70"/>
      <c r="T41" s="70"/>
      <c r="U41" s="70"/>
      <c r="V41" s="70"/>
      <c r="W41" s="70"/>
      <c r="X41" s="70"/>
      <c r="Y41" s="70"/>
      <c r="Z41" s="70"/>
      <c r="AA41" s="70"/>
      <c r="AB41" s="70"/>
      <c r="AC41" s="70"/>
      <c r="AD41" s="70"/>
      <c r="AE41" s="70"/>
      <c r="AF41" s="70"/>
      <c r="AG41" s="70"/>
      <c r="AH41" s="70"/>
      <c r="AI41" s="70"/>
      <c r="AJ41" s="70"/>
      <c r="AK41" s="70"/>
      <c r="AL41" s="70"/>
      <c r="AM41" s="70"/>
      <c r="AN41" s="70"/>
      <c r="AO41" s="70"/>
      <c r="AP41" s="70"/>
      <c r="AQ41" s="70"/>
      <c r="AR41" s="70"/>
      <c r="AS41" s="70"/>
      <c r="AT41" s="70"/>
      <c r="AU41" s="70"/>
      <c r="AV41" s="70"/>
      <c r="AW41" s="70"/>
      <c r="AX41" s="70"/>
      <c r="AY41" s="70"/>
      <c r="AZ41" s="70"/>
      <c r="BA41" s="70"/>
      <c r="BB41" s="70"/>
      <c r="BC41" s="70"/>
      <c r="BD41" s="70"/>
      <c r="BE41" s="70"/>
      <c r="BF41" s="70"/>
      <c r="BG41" s="70"/>
      <c r="BH41" s="70"/>
      <c r="BI41" s="70"/>
      <c r="BJ41" s="70"/>
      <c r="BK41" s="70"/>
      <c r="BL41" s="70"/>
      <c r="BM41" s="70"/>
      <c r="BN41" s="70"/>
      <c r="BO41" s="70"/>
      <c r="BP41" s="70"/>
      <c r="BQ41" s="70"/>
      <c r="BR41" s="70"/>
      <c r="BS41" s="70"/>
      <c r="BT41" s="70"/>
      <c r="BU41" s="70"/>
      <c r="BV41" s="70"/>
      <c r="BW41" s="70"/>
      <c r="BX41" s="70"/>
      <c r="BY41" s="70"/>
      <c r="BZ41" s="70"/>
      <c r="CA41" s="70"/>
      <c r="CB41" s="70"/>
      <c r="CC41" s="70"/>
      <c r="CD41" s="70"/>
      <c r="CE41" s="70"/>
      <c r="CF41" s="70"/>
      <c r="CG41" s="70"/>
      <c r="CH41" s="70"/>
      <c r="CI41" s="70"/>
      <c r="CJ41" s="70"/>
      <c r="CK41" s="70"/>
      <c r="CL41" s="70"/>
      <c r="CM41" s="70"/>
      <c r="CN41" s="70"/>
      <c r="CO41" s="70"/>
      <c r="CP41" s="70"/>
      <c r="CR41" s="173"/>
    </row>
    <row r="42" spans="1:96" x14ac:dyDescent="0.2">
      <c r="A42" s="59"/>
      <c r="B42" s="66"/>
      <c r="C42" s="66"/>
      <c r="D42" s="66"/>
      <c r="E42" s="59"/>
      <c r="F42" s="59"/>
      <c r="G42" s="59"/>
      <c r="H42" s="59"/>
      <c r="I42" s="59"/>
      <c r="J42" s="59"/>
      <c r="K42" s="59"/>
      <c r="L42" s="68"/>
      <c r="M42" s="63"/>
      <c r="N42" s="59"/>
      <c r="O42" s="69"/>
      <c r="P42" s="70"/>
      <c r="Q42" s="70"/>
      <c r="R42" s="70"/>
      <c r="S42" s="70"/>
      <c r="T42" s="70"/>
      <c r="U42" s="70"/>
      <c r="V42" s="70"/>
      <c r="W42" s="70"/>
      <c r="X42" s="70"/>
      <c r="Y42" s="70"/>
      <c r="Z42" s="70"/>
      <c r="AA42" s="70"/>
      <c r="AB42" s="70"/>
      <c r="AC42" s="70"/>
      <c r="AD42" s="70"/>
      <c r="AE42" s="70"/>
      <c r="AF42" s="70"/>
      <c r="AG42" s="70"/>
      <c r="AH42" s="70"/>
      <c r="AI42" s="70"/>
      <c r="AJ42" s="70"/>
      <c r="AK42" s="70"/>
      <c r="AL42" s="70"/>
      <c r="AM42" s="70"/>
      <c r="AN42" s="70"/>
      <c r="AO42" s="70"/>
      <c r="AP42" s="70"/>
      <c r="AQ42" s="70"/>
      <c r="AR42" s="70"/>
      <c r="AS42" s="70"/>
      <c r="AT42" s="70"/>
      <c r="AU42" s="70"/>
      <c r="AV42" s="70"/>
      <c r="AW42" s="70"/>
      <c r="AX42" s="70"/>
      <c r="AY42" s="70"/>
      <c r="AZ42" s="70"/>
      <c r="BA42" s="70"/>
      <c r="BB42" s="70"/>
      <c r="BC42" s="70"/>
      <c r="BD42" s="70"/>
      <c r="BE42" s="70"/>
      <c r="BF42" s="70"/>
      <c r="BG42" s="70"/>
      <c r="BH42" s="70"/>
      <c r="BI42" s="70"/>
      <c r="BJ42" s="70"/>
      <c r="BK42" s="70"/>
      <c r="BL42" s="70"/>
      <c r="BM42" s="70"/>
      <c r="BN42" s="70"/>
      <c r="BO42" s="70"/>
      <c r="BP42" s="70"/>
      <c r="BQ42" s="70"/>
      <c r="BR42" s="70"/>
      <c r="BS42" s="70"/>
      <c r="BT42" s="70"/>
      <c r="BU42" s="70"/>
      <c r="BV42" s="70"/>
      <c r="BW42" s="70"/>
      <c r="BX42" s="70"/>
      <c r="BY42" s="70"/>
      <c r="BZ42" s="70"/>
      <c r="CA42" s="70"/>
      <c r="CB42" s="70"/>
      <c r="CC42" s="70"/>
      <c r="CD42" s="70"/>
      <c r="CE42" s="70"/>
      <c r="CF42" s="70"/>
      <c r="CG42" s="70"/>
      <c r="CH42" s="70"/>
      <c r="CI42" s="70"/>
      <c r="CJ42" s="70"/>
      <c r="CK42" s="70"/>
      <c r="CL42" s="70"/>
      <c r="CM42" s="70"/>
      <c r="CN42" s="70"/>
      <c r="CO42" s="70"/>
      <c r="CP42" s="70"/>
      <c r="CR42" s="173"/>
    </row>
    <row r="43" spans="1:96" x14ac:dyDescent="0.2">
      <c r="A43" s="59"/>
      <c r="B43" s="66"/>
      <c r="C43" s="66"/>
      <c r="D43" s="66"/>
      <c r="E43" s="59"/>
      <c r="F43" s="59"/>
      <c r="G43" s="59"/>
      <c r="H43" s="59"/>
      <c r="I43" s="59"/>
      <c r="J43" s="59"/>
      <c r="K43" s="59"/>
      <c r="L43" s="68"/>
      <c r="M43" s="63"/>
      <c r="N43" s="59"/>
      <c r="O43" s="69"/>
      <c r="P43" s="70"/>
      <c r="Q43" s="70"/>
      <c r="R43" s="70"/>
      <c r="S43" s="70"/>
      <c r="T43" s="70"/>
      <c r="U43" s="70"/>
      <c r="V43" s="70"/>
      <c r="W43" s="70"/>
      <c r="X43" s="70"/>
      <c r="Y43" s="70"/>
      <c r="Z43" s="70"/>
      <c r="AA43" s="70"/>
      <c r="AB43" s="70"/>
      <c r="AC43" s="70"/>
      <c r="AD43" s="70"/>
      <c r="AE43" s="70"/>
      <c r="AF43" s="70"/>
      <c r="AG43" s="70"/>
      <c r="AH43" s="70"/>
      <c r="AI43" s="70"/>
      <c r="AJ43" s="70"/>
      <c r="AK43" s="70"/>
      <c r="AL43" s="70"/>
      <c r="AM43" s="70"/>
      <c r="AN43" s="70"/>
      <c r="AO43" s="70"/>
      <c r="AP43" s="70"/>
      <c r="AQ43" s="70"/>
      <c r="AR43" s="70"/>
      <c r="AS43" s="70"/>
      <c r="AT43" s="70"/>
      <c r="AU43" s="70"/>
      <c r="AV43" s="70"/>
      <c r="AW43" s="70"/>
      <c r="AX43" s="70"/>
      <c r="AY43" s="70"/>
      <c r="AZ43" s="70"/>
      <c r="BA43" s="70"/>
      <c r="BB43" s="70"/>
      <c r="BC43" s="70"/>
      <c r="BD43" s="70"/>
      <c r="BE43" s="70"/>
      <c r="BF43" s="70"/>
      <c r="BG43" s="70"/>
      <c r="BH43" s="70"/>
      <c r="BI43" s="70"/>
      <c r="BJ43" s="70"/>
      <c r="BK43" s="70"/>
      <c r="BL43" s="70"/>
      <c r="BM43" s="70"/>
      <c r="BN43" s="70"/>
      <c r="BO43" s="70"/>
      <c r="BP43" s="70"/>
      <c r="BQ43" s="70"/>
      <c r="BR43" s="70"/>
      <c r="BS43" s="70"/>
      <c r="BT43" s="70"/>
      <c r="BU43" s="70"/>
      <c r="BV43" s="70"/>
      <c r="BW43" s="70"/>
      <c r="BX43" s="70"/>
      <c r="BY43" s="70"/>
      <c r="BZ43" s="70"/>
      <c r="CA43" s="70"/>
      <c r="CB43" s="70"/>
      <c r="CC43" s="70"/>
      <c r="CD43" s="70"/>
      <c r="CE43" s="70"/>
      <c r="CF43" s="70"/>
      <c r="CG43" s="70"/>
      <c r="CH43" s="70"/>
      <c r="CI43" s="70"/>
      <c r="CJ43" s="70"/>
      <c r="CK43" s="70"/>
      <c r="CL43" s="70"/>
      <c r="CM43" s="70"/>
      <c r="CN43" s="70"/>
      <c r="CO43" s="70"/>
      <c r="CP43" s="70"/>
      <c r="CR43" s="173"/>
    </row>
    <row r="44" spans="1:96" x14ac:dyDescent="0.2">
      <c r="A44" s="59"/>
      <c r="B44" s="66"/>
      <c r="C44" s="66"/>
      <c r="D44" s="66"/>
      <c r="E44" s="59"/>
      <c r="F44" s="59"/>
      <c r="G44" s="59"/>
      <c r="H44" s="59"/>
      <c r="I44" s="59"/>
      <c r="J44" s="59"/>
      <c r="K44" s="59"/>
      <c r="L44" s="68"/>
      <c r="M44" s="63"/>
      <c r="N44" s="59"/>
      <c r="O44" s="69"/>
      <c r="P44" s="70"/>
      <c r="Q44" s="70"/>
      <c r="R44" s="70"/>
      <c r="S44" s="70"/>
      <c r="T44" s="70"/>
      <c r="U44" s="70"/>
      <c r="V44" s="70"/>
      <c r="W44" s="70"/>
      <c r="X44" s="70"/>
      <c r="Y44" s="70"/>
      <c r="Z44" s="70"/>
      <c r="AA44" s="70"/>
      <c r="AB44" s="70"/>
      <c r="AC44" s="70"/>
      <c r="AD44" s="70"/>
      <c r="AE44" s="70"/>
      <c r="AF44" s="70"/>
      <c r="AG44" s="70"/>
      <c r="AH44" s="70"/>
      <c r="AI44" s="70"/>
      <c r="AJ44" s="70"/>
      <c r="AK44" s="70"/>
      <c r="AL44" s="70"/>
      <c r="AM44" s="70"/>
      <c r="AN44" s="70"/>
      <c r="AO44" s="70"/>
      <c r="AP44" s="70"/>
      <c r="AQ44" s="70"/>
      <c r="AR44" s="70"/>
      <c r="AS44" s="70"/>
      <c r="AT44" s="70"/>
      <c r="AU44" s="70"/>
      <c r="AV44" s="70"/>
      <c r="AW44" s="70"/>
      <c r="AX44" s="70"/>
      <c r="AY44" s="70"/>
      <c r="AZ44" s="70"/>
      <c r="BA44" s="70"/>
      <c r="BB44" s="70"/>
      <c r="BC44" s="70"/>
      <c r="BD44" s="70"/>
      <c r="BE44" s="70"/>
      <c r="BF44" s="70"/>
      <c r="BG44" s="70"/>
      <c r="BH44" s="70"/>
      <c r="BI44" s="70"/>
      <c r="BJ44" s="70"/>
      <c r="BK44" s="70"/>
      <c r="BL44" s="70"/>
      <c r="BM44" s="70"/>
      <c r="BN44" s="70"/>
      <c r="BO44" s="70"/>
      <c r="BP44" s="70"/>
      <c r="BQ44" s="70"/>
      <c r="BR44" s="70"/>
      <c r="BS44" s="70"/>
      <c r="BT44" s="70"/>
      <c r="BU44" s="70"/>
      <c r="BV44" s="70"/>
      <c r="BW44" s="70"/>
      <c r="BX44" s="70"/>
      <c r="BY44" s="70"/>
      <c r="BZ44" s="70"/>
      <c r="CA44" s="70"/>
      <c r="CB44" s="70"/>
      <c r="CC44" s="70"/>
      <c r="CD44" s="70"/>
      <c r="CE44" s="70"/>
      <c r="CF44" s="70"/>
      <c r="CG44" s="70"/>
      <c r="CH44" s="70"/>
      <c r="CI44" s="70"/>
      <c r="CJ44" s="70"/>
      <c r="CK44" s="70"/>
      <c r="CL44" s="70"/>
      <c r="CM44" s="70"/>
      <c r="CN44" s="70"/>
      <c r="CO44" s="70"/>
      <c r="CP44" s="70"/>
      <c r="CR44" s="173"/>
    </row>
    <row r="45" spans="1:96" x14ac:dyDescent="0.2">
      <c r="A45" s="59"/>
      <c r="B45" s="66"/>
      <c r="C45" s="66"/>
      <c r="D45" s="66"/>
      <c r="E45" s="59"/>
      <c r="F45" s="59"/>
      <c r="G45" s="59"/>
      <c r="H45" s="59"/>
      <c r="I45" s="59"/>
      <c r="J45" s="59"/>
      <c r="K45" s="59"/>
      <c r="L45" s="68"/>
      <c r="M45" s="63"/>
      <c r="N45" s="59"/>
      <c r="O45" s="69"/>
      <c r="P45" s="70"/>
      <c r="Q45" s="70"/>
      <c r="R45" s="70"/>
      <c r="S45" s="70"/>
      <c r="T45" s="70"/>
      <c r="U45" s="70"/>
      <c r="V45" s="70"/>
      <c r="W45" s="70"/>
      <c r="X45" s="70"/>
      <c r="Y45" s="70"/>
      <c r="Z45" s="70"/>
      <c r="AA45" s="70"/>
      <c r="AB45" s="70"/>
      <c r="AC45" s="70"/>
      <c r="AD45" s="70"/>
      <c r="AE45" s="70"/>
      <c r="AF45" s="70"/>
      <c r="AG45" s="70"/>
      <c r="AH45" s="70"/>
      <c r="AI45" s="70"/>
      <c r="AJ45" s="70"/>
      <c r="AK45" s="70"/>
      <c r="AL45" s="70"/>
      <c r="AM45" s="70"/>
      <c r="AN45" s="70"/>
      <c r="AO45" s="70"/>
      <c r="AP45" s="70"/>
      <c r="AQ45" s="70"/>
      <c r="AR45" s="70"/>
      <c r="AS45" s="70"/>
      <c r="AT45" s="70"/>
      <c r="AU45" s="70"/>
      <c r="AV45" s="70"/>
      <c r="AW45" s="70"/>
      <c r="AX45" s="70"/>
      <c r="AY45" s="70"/>
      <c r="AZ45" s="70"/>
      <c r="BA45" s="70"/>
      <c r="BB45" s="70"/>
      <c r="BC45" s="70"/>
      <c r="BD45" s="70"/>
      <c r="BE45" s="70"/>
      <c r="BF45" s="70"/>
      <c r="BG45" s="70"/>
      <c r="BH45" s="70"/>
      <c r="BI45" s="70"/>
      <c r="BJ45" s="70"/>
      <c r="BK45" s="70"/>
      <c r="BL45" s="70"/>
      <c r="BM45" s="70"/>
      <c r="BN45" s="70"/>
      <c r="BO45" s="70"/>
      <c r="BP45" s="70"/>
      <c r="BQ45" s="70"/>
      <c r="BR45" s="70"/>
      <c r="BS45" s="70"/>
      <c r="BT45" s="70"/>
      <c r="BU45" s="70"/>
      <c r="BV45" s="70"/>
      <c r="BW45" s="70"/>
      <c r="BX45" s="70"/>
      <c r="BY45" s="70"/>
      <c r="BZ45" s="70"/>
      <c r="CA45" s="70"/>
      <c r="CB45" s="70"/>
      <c r="CC45" s="70"/>
      <c r="CD45" s="70"/>
      <c r="CE45" s="70"/>
      <c r="CF45" s="70"/>
      <c r="CG45" s="70"/>
      <c r="CH45" s="70"/>
      <c r="CI45" s="70"/>
      <c r="CJ45" s="70"/>
      <c r="CK45" s="70"/>
      <c r="CL45" s="70"/>
      <c r="CM45" s="70"/>
      <c r="CN45" s="70"/>
      <c r="CO45" s="70"/>
      <c r="CP45" s="70"/>
      <c r="CR45" s="173"/>
    </row>
    <row r="46" spans="1:96" x14ac:dyDescent="0.2">
      <c r="A46" s="59"/>
      <c r="B46" s="66"/>
      <c r="C46" s="66"/>
      <c r="D46" s="66"/>
      <c r="E46" s="59"/>
      <c r="F46" s="59"/>
      <c r="G46" s="59"/>
      <c r="H46" s="59"/>
      <c r="I46" s="59"/>
      <c r="J46" s="59"/>
      <c r="K46" s="59"/>
      <c r="L46" s="68"/>
      <c r="M46" s="63"/>
      <c r="N46" s="59"/>
      <c r="O46" s="69"/>
      <c r="P46" s="70"/>
      <c r="Q46" s="70"/>
      <c r="R46" s="70"/>
      <c r="S46" s="70"/>
      <c r="T46" s="70"/>
      <c r="U46" s="70"/>
      <c r="V46" s="70"/>
      <c r="W46" s="70"/>
      <c r="X46" s="70"/>
      <c r="Y46" s="70"/>
      <c r="Z46" s="70"/>
      <c r="AA46" s="70"/>
      <c r="AB46" s="70"/>
      <c r="AC46" s="70"/>
      <c r="AD46" s="70"/>
      <c r="AE46" s="70"/>
      <c r="AF46" s="70"/>
      <c r="AG46" s="70"/>
      <c r="AH46" s="70"/>
      <c r="AI46" s="70"/>
      <c r="AJ46" s="70"/>
      <c r="AK46" s="70"/>
      <c r="AL46" s="70"/>
      <c r="AM46" s="70"/>
      <c r="AN46" s="70"/>
      <c r="AO46" s="70"/>
      <c r="AP46" s="70"/>
      <c r="AQ46" s="70"/>
      <c r="AR46" s="70"/>
      <c r="AS46" s="70"/>
      <c r="AT46" s="70"/>
      <c r="AU46" s="70"/>
      <c r="AV46" s="70"/>
      <c r="AW46" s="70"/>
      <c r="AX46" s="70"/>
      <c r="AY46" s="70"/>
      <c r="AZ46" s="70"/>
      <c r="BA46" s="70"/>
      <c r="BB46" s="70"/>
      <c r="BC46" s="70"/>
      <c r="BD46" s="70"/>
      <c r="BE46" s="70"/>
      <c r="BF46" s="70"/>
      <c r="BG46" s="70"/>
      <c r="BH46" s="70"/>
      <c r="BI46" s="70"/>
      <c r="BJ46" s="70"/>
      <c r="BK46" s="70"/>
      <c r="BL46" s="70"/>
      <c r="BM46" s="70"/>
      <c r="BN46" s="70"/>
      <c r="BO46" s="70"/>
      <c r="BP46" s="70"/>
      <c r="BQ46" s="70"/>
      <c r="BR46" s="70"/>
      <c r="BS46" s="70"/>
      <c r="BT46" s="70"/>
      <c r="BU46" s="70"/>
      <c r="BV46" s="70"/>
      <c r="BW46" s="70"/>
      <c r="BX46" s="70"/>
      <c r="BY46" s="70"/>
      <c r="BZ46" s="70"/>
      <c r="CA46" s="70"/>
      <c r="CB46" s="70"/>
      <c r="CC46" s="70"/>
      <c r="CD46" s="70"/>
      <c r="CE46" s="70"/>
      <c r="CF46" s="70"/>
      <c r="CG46" s="70"/>
      <c r="CH46" s="70"/>
      <c r="CI46" s="70"/>
      <c r="CJ46" s="70"/>
      <c r="CK46" s="70"/>
      <c r="CL46" s="70"/>
      <c r="CM46" s="70"/>
      <c r="CN46" s="70"/>
      <c r="CO46" s="70"/>
      <c r="CP46" s="70"/>
      <c r="CR46" s="173"/>
    </row>
    <row r="47" spans="1:96" x14ac:dyDescent="0.2">
      <c r="A47" s="59"/>
      <c r="B47" s="66"/>
      <c r="C47" s="66"/>
      <c r="D47" s="66"/>
      <c r="E47" s="59"/>
      <c r="F47" s="59"/>
      <c r="G47" s="59"/>
      <c r="H47" s="59"/>
      <c r="I47" s="59"/>
      <c r="J47" s="59"/>
      <c r="K47" s="59"/>
      <c r="L47" s="68"/>
      <c r="M47" s="63"/>
      <c r="N47" s="59"/>
      <c r="O47" s="69"/>
      <c r="P47" s="70"/>
      <c r="Q47" s="70"/>
      <c r="R47" s="70"/>
      <c r="S47" s="70"/>
      <c r="T47" s="70"/>
      <c r="U47" s="70"/>
      <c r="V47" s="70"/>
      <c r="W47" s="70"/>
      <c r="X47" s="70"/>
      <c r="Y47" s="70"/>
      <c r="Z47" s="70"/>
      <c r="AA47" s="70"/>
      <c r="AB47" s="70"/>
      <c r="AC47" s="70"/>
      <c r="AD47" s="70"/>
      <c r="AE47" s="70"/>
      <c r="AF47" s="70"/>
      <c r="AG47" s="70"/>
      <c r="AH47" s="70"/>
      <c r="AI47" s="70"/>
      <c r="AJ47" s="70"/>
      <c r="AK47" s="70"/>
      <c r="AL47" s="70"/>
      <c r="AM47" s="70"/>
      <c r="AN47" s="70"/>
      <c r="AO47" s="70"/>
      <c r="AP47" s="70"/>
      <c r="AQ47" s="70"/>
      <c r="AR47" s="70"/>
      <c r="AS47" s="70"/>
      <c r="AT47" s="70"/>
      <c r="AU47" s="70"/>
      <c r="AV47" s="70"/>
      <c r="AW47" s="70"/>
      <c r="AX47" s="70"/>
      <c r="AY47" s="70"/>
      <c r="AZ47" s="70"/>
      <c r="BA47" s="70"/>
      <c r="BB47" s="70"/>
      <c r="BC47" s="70"/>
      <c r="BD47" s="70"/>
      <c r="BE47" s="70"/>
      <c r="BF47" s="70"/>
      <c r="BG47" s="70"/>
      <c r="BH47" s="70"/>
      <c r="BI47" s="70"/>
      <c r="BJ47" s="70"/>
      <c r="BK47" s="70"/>
      <c r="BL47" s="70"/>
      <c r="BM47" s="70"/>
      <c r="BN47" s="70"/>
      <c r="BO47" s="70"/>
      <c r="BP47" s="70"/>
      <c r="BQ47" s="70"/>
      <c r="BR47" s="70"/>
      <c r="BS47" s="70"/>
      <c r="BT47" s="70"/>
      <c r="BU47" s="70"/>
      <c r="BV47" s="70"/>
      <c r="BW47" s="70"/>
      <c r="BX47" s="70"/>
      <c r="BY47" s="70"/>
      <c r="BZ47" s="70"/>
      <c r="CA47" s="70"/>
      <c r="CB47" s="70"/>
      <c r="CC47" s="70"/>
      <c r="CD47" s="70"/>
      <c r="CE47" s="70"/>
      <c r="CF47" s="70"/>
      <c r="CG47" s="70"/>
      <c r="CH47" s="70"/>
      <c r="CI47" s="70"/>
      <c r="CJ47" s="70"/>
      <c r="CK47" s="70"/>
      <c r="CL47" s="70"/>
      <c r="CM47" s="70"/>
      <c r="CN47" s="70"/>
      <c r="CO47" s="70"/>
      <c r="CP47" s="70"/>
      <c r="CR47" s="173"/>
    </row>
    <row r="48" spans="1:96" x14ac:dyDescent="0.2">
      <c r="A48" s="59"/>
      <c r="B48" s="66"/>
      <c r="C48" s="66"/>
      <c r="D48" s="66"/>
      <c r="E48" s="59"/>
      <c r="F48" s="59"/>
      <c r="G48" s="59"/>
      <c r="H48" s="59"/>
      <c r="I48" s="59"/>
      <c r="J48" s="59"/>
      <c r="K48" s="59"/>
      <c r="L48" s="68"/>
      <c r="M48" s="63"/>
      <c r="N48" s="59"/>
      <c r="O48" s="69"/>
      <c r="P48" s="70"/>
      <c r="Q48" s="70"/>
      <c r="R48" s="70"/>
      <c r="S48" s="70"/>
      <c r="T48" s="70"/>
      <c r="U48" s="70"/>
      <c r="V48" s="70"/>
      <c r="W48" s="70"/>
      <c r="X48" s="70"/>
      <c r="Y48" s="70"/>
      <c r="Z48" s="70"/>
      <c r="AA48" s="70"/>
      <c r="AB48" s="70"/>
      <c r="AC48" s="70"/>
      <c r="AD48" s="70"/>
      <c r="AE48" s="70"/>
      <c r="AF48" s="70"/>
      <c r="AG48" s="70"/>
      <c r="AH48" s="70"/>
      <c r="AI48" s="70"/>
      <c r="AJ48" s="70"/>
      <c r="AK48" s="70"/>
      <c r="AL48" s="70"/>
      <c r="AM48" s="70"/>
      <c r="AN48" s="70"/>
      <c r="AO48" s="70"/>
      <c r="AP48" s="70"/>
      <c r="AQ48" s="70"/>
      <c r="AR48" s="70"/>
      <c r="AS48" s="70"/>
      <c r="AT48" s="70"/>
      <c r="AU48" s="70"/>
      <c r="AV48" s="70"/>
      <c r="AW48" s="70"/>
      <c r="AX48" s="70"/>
      <c r="AY48" s="70"/>
      <c r="AZ48" s="70"/>
      <c r="BA48" s="70"/>
      <c r="BB48" s="70"/>
      <c r="BC48" s="70"/>
      <c r="BD48" s="70"/>
      <c r="BE48" s="70"/>
      <c r="BF48" s="70"/>
      <c r="BG48" s="70"/>
      <c r="BH48" s="70"/>
      <c r="BI48" s="70"/>
      <c r="BJ48" s="70"/>
      <c r="BK48" s="70"/>
      <c r="BL48" s="70"/>
      <c r="BM48" s="70"/>
      <c r="BN48" s="70"/>
      <c r="BO48" s="70"/>
      <c r="BP48" s="70"/>
      <c r="BQ48" s="70"/>
      <c r="BR48" s="70"/>
      <c r="BS48" s="70"/>
      <c r="BT48" s="70"/>
      <c r="BU48" s="70"/>
      <c r="BV48" s="70"/>
      <c r="BW48" s="70"/>
      <c r="BX48" s="70"/>
      <c r="BY48" s="70"/>
      <c r="BZ48" s="70"/>
      <c r="CA48" s="70"/>
      <c r="CB48" s="70"/>
      <c r="CC48" s="70"/>
      <c r="CD48" s="70"/>
      <c r="CE48" s="70"/>
      <c r="CF48" s="70"/>
      <c r="CG48" s="70"/>
      <c r="CH48" s="70"/>
      <c r="CI48" s="70"/>
      <c r="CJ48" s="70"/>
      <c r="CK48" s="70"/>
      <c r="CL48" s="70"/>
      <c r="CM48" s="70"/>
      <c r="CN48" s="70"/>
      <c r="CO48" s="70"/>
      <c r="CP48" s="70"/>
      <c r="CR48" s="173"/>
    </row>
    <row r="49" spans="1:96" x14ac:dyDescent="0.2">
      <c r="A49" s="59"/>
      <c r="B49" s="66"/>
      <c r="C49" s="66"/>
      <c r="D49" s="66"/>
      <c r="E49" s="59"/>
      <c r="F49" s="59"/>
      <c r="G49" s="59"/>
      <c r="H49" s="59"/>
      <c r="I49" s="59"/>
      <c r="J49" s="59"/>
      <c r="K49" s="59"/>
      <c r="L49" s="68"/>
      <c r="M49" s="63"/>
      <c r="N49" s="59"/>
      <c r="O49" s="69"/>
      <c r="P49" s="70"/>
      <c r="Q49" s="70"/>
      <c r="R49" s="70"/>
      <c r="S49" s="70"/>
      <c r="T49" s="70"/>
      <c r="U49" s="70"/>
      <c r="V49" s="70"/>
      <c r="W49" s="70"/>
      <c r="X49" s="70"/>
      <c r="Y49" s="70"/>
      <c r="Z49" s="70"/>
      <c r="AA49" s="70"/>
      <c r="AB49" s="70"/>
      <c r="AC49" s="70"/>
      <c r="AD49" s="70"/>
      <c r="AE49" s="70"/>
      <c r="AF49" s="70"/>
      <c r="AG49" s="70"/>
      <c r="AH49" s="70"/>
      <c r="AI49" s="70"/>
      <c r="AJ49" s="70"/>
      <c r="AK49" s="70"/>
      <c r="AL49" s="70"/>
      <c r="AM49" s="70"/>
      <c r="AN49" s="70"/>
      <c r="AO49" s="70"/>
      <c r="AP49" s="70"/>
      <c r="AQ49" s="70"/>
      <c r="AR49" s="70"/>
      <c r="AS49" s="70"/>
      <c r="AT49" s="70"/>
      <c r="AU49" s="70"/>
      <c r="AV49" s="70"/>
      <c r="AW49" s="70"/>
      <c r="AX49" s="70"/>
      <c r="AY49" s="70"/>
      <c r="AZ49" s="70"/>
      <c r="BA49" s="70"/>
      <c r="BB49" s="70"/>
      <c r="BC49" s="70"/>
      <c r="BD49" s="70"/>
      <c r="BE49" s="70"/>
      <c r="BF49" s="70"/>
      <c r="BG49" s="70"/>
      <c r="BH49" s="70"/>
      <c r="BI49" s="70"/>
      <c r="BJ49" s="70"/>
      <c r="BK49" s="70"/>
      <c r="BL49" s="70"/>
      <c r="BM49" s="70"/>
      <c r="BN49" s="70"/>
      <c r="BO49" s="70"/>
      <c r="BP49" s="70"/>
      <c r="BQ49" s="70"/>
      <c r="BR49" s="70"/>
      <c r="BS49" s="70"/>
      <c r="BT49" s="70"/>
      <c r="BU49" s="70"/>
      <c r="BV49" s="70"/>
      <c r="BW49" s="70"/>
      <c r="BX49" s="70"/>
      <c r="BY49" s="70"/>
      <c r="BZ49" s="70"/>
      <c r="CA49" s="70"/>
      <c r="CB49" s="70"/>
      <c r="CC49" s="70"/>
      <c r="CD49" s="70"/>
      <c r="CE49" s="70"/>
      <c r="CF49" s="70"/>
      <c r="CG49" s="70"/>
      <c r="CH49" s="70"/>
      <c r="CI49" s="70"/>
      <c r="CJ49" s="70"/>
      <c r="CK49" s="70"/>
      <c r="CL49" s="70"/>
      <c r="CM49" s="70"/>
      <c r="CN49" s="70"/>
      <c r="CO49" s="70"/>
      <c r="CP49" s="70"/>
      <c r="CR49" s="173"/>
    </row>
    <row r="50" spans="1:96" x14ac:dyDescent="0.2">
      <c r="A50" s="59"/>
      <c r="B50" s="66"/>
      <c r="C50" s="66"/>
      <c r="D50" s="66"/>
      <c r="E50" s="59"/>
      <c r="F50" s="59"/>
      <c r="G50" s="59"/>
      <c r="H50" s="59"/>
      <c r="I50" s="59"/>
      <c r="J50" s="59"/>
      <c r="K50" s="59"/>
      <c r="L50" s="68"/>
      <c r="M50" s="63"/>
      <c r="N50" s="59"/>
      <c r="O50" s="69"/>
      <c r="P50" s="70"/>
      <c r="Q50" s="70"/>
      <c r="R50" s="70"/>
      <c r="S50" s="70"/>
      <c r="T50" s="70"/>
      <c r="U50" s="70"/>
      <c r="V50" s="70"/>
      <c r="W50" s="70"/>
      <c r="X50" s="70"/>
      <c r="Y50" s="70"/>
      <c r="Z50" s="70"/>
      <c r="AA50" s="70"/>
      <c r="AB50" s="70"/>
      <c r="AC50" s="70"/>
      <c r="AD50" s="70"/>
      <c r="AE50" s="70"/>
      <c r="AF50" s="70"/>
      <c r="AG50" s="70"/>
      <c r="AH50" s="70"/>
      <c r="AI50" s="70"/>
      <c r="AJ50" s="70"/>
      <c r="AK50" s="70"/>
      <c r="AL50" s="70"/>
      <c r="AM50" s="70"/>
      <c r="AN50" s="70"/>
      <c r="AO50" s="70"/>
      <c r="AP50" s="70"/>
      <c r="AQ50" s="70"/>
      <c r="AR50" s="70"/>
      <c r="AS50" s="70"/>
      <c r="AT50" s="70"/>
      <c r="AU50" s="70"/>
      <c r="AV50" s="70"/>
      <c r="AW50" s="70"/>
      <c r="AX50" s="70"/>
      <c r="AY50" s="70"/>
      <c r="AZ50" s="70"/>
      <c r="BA50" s="70"/>
      <c r="BB50" s="70"/>
      <c r="BC50" s="70"/>
      <c r="BD50" s="70"/>
      <c r="BE50" s="70"/>
      <c r="BF50" s="70"/>
      <c r="BG50" s="70"/>
      <c r="BH50" s="70"/>
      <c r="BI50" s="70"/>
      <c r="BJ50" s="70"/>
      <c r="BK50" s="70"/>
      <c r="BL50" s="70"/>
      <c r="BM50" s="70"/>
      <c r="BN50" s="70"/>
      <c r="BO50" s="70"/>
      <c r="BP50" s="70"/>
      <c r="BQ50" s="70"/>
      <c r="BR50" s="70"/>
      <c r="BS50" s="70"/>
      <c r="BT50" s="70"/>
      <c r="BU50" s="70"/>
      <c r="BV50" s="70"/>
      <c r="BW50" s="70"/>
      <c r="BX50" s="70"/>
      <c r="BY50" s="70"/>
      <c r="BZ50" s="70"/>
      <c r="CA50" s="70"/>
      <c r="CB50" s="70"/>
      <c r="CC50" s="70"/>
      <c r="CD50" s="70"/>
      <c r="CE50" s="70"/>
      <c r="CF50" s="70"/>
      <c r="CG50" s="70"/>
      <c r="CH50" s="70"/>
      <c r="CI50" s="70"/>
      <c r="CJ50" s="70"/>
      <c r="CK50" s="70"/>
      <c r="CL50" s="70"/>
      <c r="CM50" s="70"/>
      <c r="CN50" s="70"/>
      <c r="CO50" s="70"/>
      <c r="CP50" s="70"/>
      <c r="CR50" s="173"/>
    </row>
    <row r="51" spans="1:96" x14ac:dyDescent="0.2">
      <c r="A51" s="59"/>
      <c r="B51" s="66"/>
      <c r="C51" s="66"/>
      <c r="D51" s="66"/>
      <c r="E51" s="59"/>
      <c r="F51" s="59"/>
      <c r="G51" s="59"/>
      <c r="H51" s="59"/>
      <c r="I51" s="59"/>
      <c r="J51" s="59"/>
      <c r="K51" s="59"/>
      <c r="L51" s="68"/>
      <c r="M51" s="63"/>
      <c r="N51" s="59"/>
      <c r="O51" s="69"/>
      <c r="P51" s="70"/>
      <c r="Q51" s="70"/>
      <c r="R51" s="70"/>
      <c r="S51" s="70"/>
      <c r="T51" s="70"/>
      <c r="U51" s="70"/>
      <c r="V51" s="70"/>
      <c r="W51" s="70"/>
      <c r="X51" s="70"/>
      <c r="Y51" s="70"/>
      <c r="Z51" s="70"/>
      <c r="AA51" s="70"/>
      <c r="AB51" s="70"/>
      <c r="AC51" s="70"/>
      <c r="AD51" s="70"/>
      <c r="AE51" s="70"/>
      <c r="AF51" s="70"/>
      <c r="AG51" s="70"/>
      <c r="AH51" s="70"/>
      <c r="AI51" s="70"/>
      <c r="AJ51" s="70"/>
      <c r="AK51" s="70"/>
      <c r="AL51" s="70"/>
      <c r="AM51" s="70"/>
      <c r="AN51" s="70"/>
      <c r="AO51" s="70"/>
      <c r="AP51" s="70"/>
      <c r="AQ51" s="70"/>
      <c r="AR51" s="70"/>
      <c r="AS51" s="70"/>
      <c r="AT51" s="70"/>
      <c r="AU51" s="70"/>
      <c r="AV51" s="70"/>
      <c r="AW51" s="70"/>
      <c r="AX51" s="70"/>
      <c r="AY51" s="70"/>
      <c r="AZ51" s="70"/>
      <c r="BA51" s="70"/>
      <c r="BB51" s="70"/>
      <c r="BC51" s="70"/>
      <c r="BD51" s="70"/>
      <c r="BE51" s="70"/>
      <c r="BF51" s="70"/>
      <c r="BG51" s="70"/>
      <c r="BH51" s="70"/>
      <c r="BI51" s="70"/>
      <c r="BJ51" s="70"/>
      <c r="BK51" s="70"/>
      <c r="BL51" s="70"/>
      <c r="BM51" s="70"/>
      <c r="BN51" s="70"/>
      <c r="BO51" s="70"/>
      <c r="BP51" s="70"/>
      <c r="BQ51" s="70"/>
      <c r="BR51" s="70"/>
      <c r="BS51" s="70"/>
      <c r="BT51" s="70"/>
      <c r="BU51" s="70"/>
      <c r="BV51" s="70"/>
      <c r="BW51" s="70"/>
      <c r="BX51" s="70"/>
      <c r="BY51" s="70"/>
      <c r="BZ51" s="70"/>
      <c r="CA51" s="70"/>
      <c r="CB51" s="70"/>
      <c r="CC51" s="70"/>
      <c r="CD51" s="70"/>
      <c r="CE51" s="70"/>
      <c r="CF51" s="70"/>
      <c r="CG51" s="70"/>
      <c r="CH51" s="70"/>
      <c r="CI51" s="70"/>
      <c r="CJ51" s="70"/>
      <c r="CK51" s="70"/>
      <c r="CL51" s="70"/>
      <c r="CM51" s="70"/>
      <c r="CN51" s="70"/>
      <c r="CO51" s="70"/>
      <c r="CP51" s="70"/>
      <c r="CR51" s="173"/>
    </row>
    <row r="52" spans="1:96" x14ac:dyDescent="0.2">
      <c r="A52" s="59"/>
      <c r="B52" s="66"/>
      <c r="C52" s="66"/>
      <c r="D52" s="66"/>
      <c r="E52" s="59"/>
      <c r="F52" s="59"/>
      <c r="G52" s="59"/>
      <c r="H52" s="59"/>
      <c r="I52" s="59"/>
      <c r="J52" s="59"/>
      <c r="K52" s="59"/>
      <c r="L52" s="68"/>
      <c r="M52" s="63"/>
      <c r="N52" s="59"/>
      <c r="O52" s="69"/>
      <c r="P52" s="70"/>
      <c r="Q52" s="70"/>
      <c r="R52" s="70"/>
      <c r="S52" s="70"/>
      <c r="T52" s="70"/>
      <c r="U52" s="70"/>
      <c r="V52" s="70"/>
      <c r="W52" s="70"/>
      <c r="X52" s="70"/>
      <c r="Y52" s="70"/>
      <c r="Z52" s="70"/>
      <c r="AA52" s="70"/>
      <c r="AB52" s="70"/>
      <c r="AC52" s="70"/>
      <c r="AD52" s="70"/>
      <c r="AE52" s="70"/>
      <c r="AF52" s="70"/>
      <c r="AG52" s="70"/>
      <c r="AH52" s="70"/>
      <c r="AI52" s="70"/>
      <c r="AJ52" s="70"/>
      <c r="AK52" s="70"/>
      <c r="AL52" s="70"/>
      <c r="AM52" s="70"/>
      <c r="AN52" s="70"/>
      <c r="AO52" s="70"/>
      <c r="AP52" s="70"/>
      <c r="AQ52" s="70"/>
      <c r="AR52" s="70"/>
      <c r="AS52" s="70"/>
      <c r="AT52" s="70"/>
      <c r="AU52" s="70"/>
      <c r="AV52" s="70"/>
      <c r="AW52" s="70"/>
      <c r="AX52" s="70"/>
      <c r="AY52" s="70"/>
      <c r="AZ52" s="70"/>
      <c r="BA52" s="70"/>
      <c r="BB52" s="70"/>
      <c r="BC52" s="70"/>
      <c r="BD52" s="70"/>
      <c r="BE52" s="70"/>
      <c r="BF52" s="70"/>
      <c r="BG52" s="70"/>
      <c r="BH52" s="70"/>
      <c r="BI52" s="70"/>
      <c r="BJ52" s="70"/>
      <c r="BK52" s="70"/>
      <c r="BL52" s="70"/>
      <c r="BM52" s="70"/>
      <c r="BN52" s="70"/>
      <c r="BO52" s="70"/>
      <c r="BP52" s="70"/>
      <c r="BQ52" s="70"/>
      <c r="BR52" s="70"/>
      <c r="BS52" s="70"/>
      <c r="BT52" s="70"/>
      <c r="BU52" s="70"/>
      <c r="BV52" s="70"/>
      <c r="BW52" s="70"/>
      <c r="BX52" s="70"/>
      <c r="BY52" s="70"/>
      <c r="BZ52" s="70"/>
      <c r="CA52" s="70"/>
      <c r="CB52" s="70"/>
      <c r="CC52" s="70"/>
      <c r="CD52" s="70"/>
      <c r="CE52" s="70"/>
      <c r="CF52" s="70"/>
      <c r="CG52" s="70"/>
      <c r="CH52" s="70"/>
      <c r="CI52" s="70"/>
      <c r="CJ52" s="70"/>
      <c r="CK52" s="70"/>
      <c r="CL52" s="70"/>
      <c r="CM52" s="70"/>
      <c r="CN52" s="70"/>
      <c r="CO52" s="70"/>
      <c r="CP52" s="70"/>
      <c r="CR52" s="173"/>
    </row>
    <row r="53" spans="1:96" x14ac:dyDescent="0.2">
      <c r="A53" s="59"/>
      <c r="B53" s="66"/>
      <c r="C53" s="66"/>
      <c r="D53" s="66"/>
      <c r="E53" s="59"/>
      <c r="F53" s="59"/>
      <c r="G53" s="59"/>
      <c r="H53" s="59"/>
      <c r="I53" s="59"/>
      <c r="J53" s="59"/>
      <c r="K53" s="59"/>
      <c r="L53" s="68"/>
      <c r="M53" s="63"/>
      <c r="N53" s="59"/>
      <c r="O53" s="69"/>
      <c r="P53" s="70"/>
      <c r="Q53" s="70"/>
      <c r="R53" s="70"/>
      <c r="S53" s="70"/>
      <c r="T53" s="70"/>
      <c r="U53" s="70"/>
      <c r="V53" s="70"/>
      <c r="W53" s="70"/>
      <c r="X53" s="70"/>
      <c r="Y53" s="70"/>
      <c r="Z53" s="70"/>
      <c r="AA53" s="70"/>
      <c r="AB53" s="70"/>
      <c r="AC53" s="70"/>
      <c r="AD53" s="70"/>
      <c r="AE53" s="70"/>
      <c r="AF53" s="70"/>
      <c r="AG53" s="70"/>
      <c r="AH53" s="70"/>
      <c r="AI53" s="70"/>
      <c r="AJ53" s="70"/>
      <c r="AK53" s="70"/>
      <c r="AL53" s="70"/>
      <c r="AM53" s="70"/>
      <c r="AN53" s="70"/>
      <c r="AO53" s="70"/>
      <c r="AP53" s="70"/>
      <c r="AQ53" s="70"/>
      <c r="AR53" s="70"/>
      <c r="AS53" s="70"/>
      <c r="AT53" s="70"/>
      <c r="AU53" s="70"/>
      <c r="AV53" s="70"/>
      <c r="AW53" s="70"/>
      <c r="AX53" s="70"/>
      <c r="AY53" s="70"/>
      <c r="AZ53" s="70"/>
      <c r="BA53" s="70"/>
      <c r="BB53" s="70"/>
      <c r="BC53" s="70"/>
      <c r="BD53" s="70"/>
      <c r="BE53" s="70"/>
      <c r="BF53" s="70"/>
      <c r="BG53" s="70"/>
      <c r="BH53" s="70"/>
      <c r="BI53" s="70"/>
      <c r="BJ53" s="70"/>
      <c r="BK53" s="70"/>
      <c r="BL53" s="70"/>
      <c r="BM53" s="70"/>
      <c r="BN53" s="70"/>
      <c r="BO53" s="70"/>
      <c r="BP53" s="70"/>
      <c r="BQ53" s="70"/>
      <c r="BR53" s="70"/>
      <c r="BS53" s="70"/>
      <c r="BT53" s="70"/>
      <c r="BU53" s="70"/>
      <c r="BV53" s="70"/>
      <c r="BW53" s="70"/>
      <c r="BX53" s="70"/>
      <c r="BY53" s="70"/>
      <c r="BZ53" s="70"/>
      <c r="CA53" s="70"/>
      <c r="CB53" s="70"/>
      <c r="CC53" s="70"/>
      <c r="CD53" s="70"/>
      <c r="CE53" s="70"/>
      <c r="CF53" s="70"/>
      <c r="CG53" s="70"/>
      <c r="CH53" s="70"/>
      <c r="CI53" s="70"/>
      <c r="CJ53" s="70"/>
      <c r="CK53" s="70"/>
      <c r="CL53" s="70"/>
      <c r="CM53" s="70"/>
      <c r="CN53" s="70"/>
      <c r="CO53" s="70"/>
      <c r="CP53" s="70"/>
      <c r="CR53" s="173"/>
    </row>
    <row r="54" spans="1:96" x14ac:dyDescent="0.2">
      <c r="A54" s="59"/>
      <c r="B54" s="66"/>
      <c r="C54" s="66"/>
      <c r="D54" s="66"/>
      <c r="E54" s="59"/>
      <c r="F54" s="59"/>
      <c r="G54" s="59"/>
      <c r="H54" s="59"/>
      <c r="I54" s="59"/>
      <c r="J54" s="59"/>
      <c r="K54" s="59"/>
      <c r="L54" s="68"/>
      <c r="M54" s="63"/>
      <c r="N54" s="59"/>
      <c r="O54" s="69"/>
      <c r="P54" s="70"/>
      <c r="Q54" s="70"/>
      <c r="R54" s="70"/>
      <c r="S54" s="70"/>
      <c r="T54" s="70"/>
      <c r="U54" s="70"/>
      <c r="V54" s="70"/>
      <c r="W54" s="70"/>
      <c r="X54" s="70"/>
      <c r="Y54" s="70"/>
      <c r="Z54" s="70"/>
      <c r="AA54" s="70"/>
      <c r="AB54" s="70"/>
      <c r="AC54" s="70"/>
      <c r="AD54" s="70"/>
      <c r="AE54" s="70"/>
      <c r="AF54" s="70"/>
      <c r="AG54" s="70"/>
      <c r="AH54" s="70"/>
      <c r="AI54" s="70"/>
      <c r="AJ54" s="70"/>
      <c r="AK54" s="70"/>
      <c r="AL54" s="70"/>
      <c r="AM54" s="70"/>
      <c r="AN54" s="70"/>
      <c r="AO54" s="70"/>
      <c r="AP54" s="70"/>
      <c r="AQ54" s="70"/>
      <c r="AR54" s="70"/>
      <c r="AS54" s="70"/>
      <c r="AT54" s="70"/>
      <c r="AU54" s="70"/>
      <c r="AV54" s="70"/>
      <c r="AW54" s="70"/>
      <c r="AX54" s="70"/>
      <c r="AY54" s="70"/>
      <c r="AZ54" s="70"/>
      <c r="BA54" s="70"/>
      <c r="BB54" s="70"/>
      <c r="BC54" s="70"/>
      <c r="BD54" s="70"/>
      <c r="BE54" s="70"/>
      <c r="BF54" s="70"/>
      <c r="BG54" s="70"/>
      <c r="BH54" s="70"/>
      <c r="BI54" s="70"/>
      <c r="BJ54" s="70"/>
      <c r="BK54" s="70"/>
      <c r="BL54" s="70"/>
      <c r="BM54" s="70"/>
      <c r="BN54" s="70"/>
      <c r="BO54" s="70"/>
      <c r="BP54" s="70"/>
      <c r="BQ54" s="70"/>
      <c r="BR54" s="70"/>
      <c r="BS54" s="70"/>
      <c r="BT54" s="70"/>
      <c r="BU54" s="70"/>
      <c r="BV54" s="70"/>
      <c r="BW54" s="70"/>
      <c r="BX54" s="70"/>
      <c r="BY54" s="70"/>
      <c r="BZ54" s="70"/>
      <c r="CA54" s="70"/>
      <c r="CB54" s="70"/>
      <c r="CC54" s="70"/>
      <c r="CD54" s="70"/>
      <c r="CE54" s="70"/>
      <c r="CF54" s="70"/>
      <c r="CG54" s="70"/>
      <c r="CH54" s="70"/>
      <c r="CI54" s="70"/>
      <c r="CJ54" s="70"/>
      <c r="CK54" s="70"/>
      <c r="CL54" s="70"/>
      <c r="CM54" s="70"/>
      <c r="CN54" s="70"/>
      <c r="CO54" s="70"/>
      <c r="CP54" s="70"/>
      <c r="CR54" s="173"/>
    </row>
    <row r="55" spans="1:96" x14ac:dyDescent="0.2">
      <c r="A55" s="59"/>
      <c r="B55" s="66"/>
      <c r="C55" s="66"/>
      <c r="D55" s="66"/>
      <c r="E55" s="59"/>
      <c r="F55" s="59"/>
      <c r="G55" s="59"/>
      <c r="H55" s="59"/>
      <c r="I55" s="59"/>
      <c r="J55" s="59"/>
      <c r="K55" s="59"/>
      <c r="L55" s="68"/>
      <c r="M55" s="63"/>
      <c r="N55" s="59"/>
      <c r="O55" s="69"/>
      <c r="P55" s="70"/>
      <c r="Q55" s="70"/>
      <c r="R55" s="70"/>
      <c r="S55" s="70"/>
      <c r="T55" s="70"/>
      <c r="U55" s="70"/>
      <c r="V55" s="70"/>
      <c r="W55" s="70"/>
      <c r="X55" s="70"/>
      <c r="Y55" s="70"/>
      <c r="Z55" s="70"/>
      <c r="AA55" s="70"/>
      <c r="AB55" s="70"/>
      <c r="AC55" s="70"/>
      <c r="AD55" s="70"/>
      <c r="AE55" s="70"/>
      <c r="AF55" s="70"/>
      <c r="AG55" s="70"/>
      <c r="AH55" s="70"/>
      <c r="AI55" s="70"/>
      <c r="AJ55" s="70"/>
      <c r="AK55" s="70"/>
      <c r="AL55" s="70"/>
      <c r="AM55" s="70"/>
      <c r="AN55" s="70"/>
      <c r="AO55" s="70"/>
      <c r="AP55" s="70"/>
      <c r="AQ55" s="70"/>
      <c r="AR55" s="70"/>
      <c r="AS55" s="70"/>
      <c r="AT55" s="70"/>
      <c r="AU55" s="70"/>
      <c r="AV55" s="70"/>
      <c r="AW55" s="70"/>
      <c r="AX55" s="70"/>
      <c r="AY55" s="70"/>
      <c r="AZ55" s="70"/>
      <c r="BA55" s="70"/>
      <c r="BB55" s="70"/>
      <c r="BC55" s="70"/>
      <c r="BD55" s="70"/>
      <c r="BE55" s="70"/>
      <c r="BF55" s="70"/>
      <c r="BG55" s="70"/>
      <c r="BH55" s="70"/>
      <c r="BI55" s="70"/>
      <c r="BJ55" s="70"/>
      <c r="BK55" s="70"/>
      <c r="BL55" s="70"/>
      <c r="BM55" s="70"/>
      <c r="BN55" s="70"/>
      <c r="BO55" s="70"/>
      <c r="BP55" s="70"/>
      <c r="BQ55" s="70"/>
      <c r="BR55" s="70"/>
      <c r="BS55" s="70"/>
      <c r="BT55" s="70"/>
      <c r="BU55" s="70"/>
      <c r="BV55" s="70"/>
      <c r="BW55" s="70"/>
      <c r="BX55" s="70"/>
      <c r="BY55" s="70"/>
      <c r="BZ55" s="70"/>
      <c r="CA55" s="70"/>
      <c r="CB55" s="70"/>
      <c r="CC55" s="70"/>
      <c r="CD55" s="70"/>
      <c r="CE55" s="70"/>
      <c r="CF55" s="70"/>
      <c r="CG55" s="70"/>
      <c r="CH55" s="70"/>
      <c r="CI55" s="70"/>
      <c r="CJ55" s="70"/>
      <c r="CK55" s="70"/>
      <c r="CL55" s="70"/>
      <c r="CM55" s="70"/>
      <c r="CN55" s="70"/>
      <c r="CO55" s="70"/>
      <c r="CP55" s="70"/>
      <c r="CR55" s="173"/>
    </row>
    <row r="56" spans="1:96" x14ac:dyDescent="0.2">
      <c r="A56" s="59"/>
      <c r="B56" s="66"/>
      <c r="C56" s="66"/>
      <c r="D56" s="66"/>
      <c r="E56" s="59"/>
      <c r="F56" s="59"/>
      <c r="G56" s="59"/>
      <c r="H56" s="59"/>
      <c r="I56" s="59"/>
      <c r="J56" s="59"/>
      <c r="K56" s="59"/>
      <c r="L56" s="68"/>
      <c r="M56" s="63"/>
      <c r="N56" s="59"/>
      <c r="O56" s="69"/>
      <c r="P56" s="70"/>
      <c r="Q56" s="70"/>
      <c r="R56" s="70"/>
      <c r="S56" s="70"/>
      <c r="T56" s="70"/>
      <c r="U56" s="70"/>
      <c r="V56" s="70"/>
      <c r="W56" s="70"/>
      <c r="X56" s="70"/>
      <c r="Y56" s="70"/>
      <c r="Z56" s="70"/>
      <c r="AA56" s="70"/>
      <c r="AB56" s="70"/>
      <c r="AC56" s="70"/>
      <c r="AD56" s="70"/>
      <c r="AE56" s="70"/>
      <c r="AF56" s="70"/>
      <c r="AG56" s="70"/>
      <c r="AH56" s="70"/>
      <c r="AI56" s="70"/>
      <c r="AJ56" s="70"/>
      <c r="AK56" s="70"/>
      <c r="AL56" s="70"/>
      <c r="AM56" s="70"/>
      <c r="AN56" s="70"/>
      <c r="AO56" s="70"/>
      <c r="AP56" s="70"/>
      <c r="AQ56" s="70"/>
      <c r="AR56" s="70"/>
      <c r="AS56" s="70"/>
      <c r="AT56" s="70"/>
      <c r="AU56" s="70"/>
      <c r="AV56" s="70"/>
      <c r="AW56" s="70"/>
      <c r="AX56" s="70"/>
      <c r="AY56" s="70"/>
      <c r="AZ56" s="70"/>
      <c r="BA56" s="70"/>
      <c r="BB56" s="70"/>
      <c r="BC56" s="70"/>
      <c r="BD56" s="70"/>
      <c r="BE56" s="70"/>
      <c r="BF56" s="70"/>
      <c r="BG56" s="70"/>
      <c r="BH56" s="70"/>
      <c r="BI56" s="70"/>
      <c r="BJ56" s="70"/>
      <c r="BK56" s="70"/>
      <c r="BL56" s="70"/>
      <c r="BM56" s="70"/>
      <c r="BN56" s="70"/>
      <c r="BO56" s="70"/>
      <c r="BP56" s="70"/>
      <c r="BQ56" s="70"/>
      <c r="BR56" s="70"/>
      <c r="BS56" s="70"/>
      <c r="BT56" s="70"/>
      <c r="BU56" s="70"/>
      <c r="BV56" s="70"/>
      <c r="BW56" s="70"/>
      <c r="BX56" s="70"/>
      <c r="BY56" s="70"/>
      <c r="BZ56" s="70"/>
      <c r="CA56" s="70"/>
      <c r="CB56" s="70"/>
      <c r="CC56" s="70"/>
      <c r="CD56" s="70"/>
      <c r="CE56" s="70"/>
      <c r="CF56" s="70"/>
      <c r="CG56" s="70"/>
      <c r="CH56" s="70"/>
      <c r="CI56" s="70"/>
      <c r="CJ56" s="70"/>
      <c r="CK56" s="70"/>
      <c r="CL56" s="70"/>
      <c r="CM56" s="70"/>
      <c r="CN56" s="70"/>
      <c r="CO56" s="70"/>
      <c r="CP56" s="70"/>
      <c r="CR56" s="173"/>
    </row>
    <row r="57" spans="1:96" x14ac:dyDescent="0.2">
      <c r="A57" s="59"/>
      <c r="B57" s="66"/>
      <c r="C57" s="66"/>
      <c r="D57" s="66"/>
      <c r="E57" s="59"/>
      <c r="F57" s="59"/>
      <c r="G57" s="59"/>
      <c r="H57" s="59"/>
      <c r="I57" s="59"/>
      <c r="J57" s="59"/>
      <c r="K57" s="59"/>
      <c r="L57" s="68"/>
      <c r="M57" s="63"/>
      <c r="N57" s="59"/>
      <c r="O57" s="69"/>
      <c r="P57" s="70"/>
      <c r="Q57" s="70"/>
      <c r="R57" s="70"/>
      <c r="S57" s="70"/>
      <c r="T57" s="70"/>
      <c r="U57" s="70"/>
      <c r="V57" s="70"/>
      <c r="W57" s="70"/>
      <c r="X57" s="70"/>
      <c r="Y57" s="70"/>
      <c r="Z57" s="70"/>
      <c r="AA57" s="70"/>
      <c r="AB57" s="70"/>
      <c r="AC57" s="70"/>
      <c r="AD57" s="70"/>
      <c r="AE57" s="70"/>
      <c r="AF57" s="70"/>
      <c r="AG57" s="70"/>
      <c r="AH57" s="70"/>
      <c r="AI57" s="70"/>
      <c r="AJ57" s="70"/>
      <c r="AK57" s="70"/>
      <c r="AL57" s="70"/>
      <c r="AM57" s="70"/>
      <c r="AN57" s="70"/>
      <c r="AO57" s="70"/>
      <c r="AP57" s="70"/>
      <c r="AQ57" s="70"/>
      <c r="AR57" s="70"/>
      <c r="AS57" s="70"/>
      <c r="AT57" s="70"/>
      <c r="AU57" s="70"/>
      <c r="AV57" s="70"/>
      <c r="AW57" s="70"/>
      <c r="AX57" s="70"/>
      <c r="AY57" s="70"/>
      <c r="AZ57" s="70"/>
      <c r="BA57" s="70"/>
      <c r="BB57" s="70"/>
      <c r="BC57" s="70"/>
      <c r="BD57" s="70"/>
      <c r="BE57" s="70"/>
      <c r="BF57" s="70"/>
      <c r="BG57" s="70"/>
      <c r="BH57" s="70"/>
      <c r="BI57" s="70"/>
      <c r="BJ57" s="70"/>
      <c r="BK57" s="70"/>
      <c r="BL57" s="70"/>
      <c r="BM57" s="70"/>
      <c r="BN57" s="70"/>
      <c r="BO57" s="70"/>
      <c r="BP57" s="70"/>
      <c r="BQ57" s="70"/>
      <c r="BR57" s="70"/>
      <c r="BS57" s="70"/>
      <c r="BT57" s="70"/>
      <c r="BU57" s="70"/>
      <c r="BV57" s="70"/>
      <c r="BW57" s="70"/>
      <c r="BX57" s="70"/>
      <c r="BY57" s="70"/>
      <c r="BZ57" s="70"/>
      <c r="CA57" s="70"/>
      <c r="CB57" s="70"/>
      <c r="CC57" s="70"/>
      <c r="CD57" s="70"/>
      <c r="CE57" s="70"/>
      <c r="CF57" s="70"/>
      <c r="CG57" s="70"/>
      <c r="CH57" s="70"/>
      <c r="CI57" s="70"/>
      <c r="CJ57" s="70"/>
      <c r="CK57" s="70"/>
      <c r="CL57" s="70"/>
      <c r="CM57" s="70"/>
      <c r="CN57" s="70"/>
      <c r="CO57" s="70"/>
      <c r="CP57" s="70"/>
      <c r="CR57" s="173"/>
    </row>
    <row r="58" spans="1:96" x14ac:dyDescent="0.2">
      <c r="A58" s="59"/>
      <c r="B58" s="66"/>
      <c r="C58" s="66"/>
      <c r="D58" s="66"/>
      <c r="E58" s="59"/>
      <c r="F58" s="59"/>
      <c r="G58" s="59"/>
      <c r="H58" s="59"/>
      <c r="I58" s="59"/>
      <c r="J58" s="59"/>
      <c r="K58" s="59"/>
      <c r="L58" s="68"/>
      <c r="M58" s="63"/>
      <c r="N58" s="59"/>
      <c r="O58" s="69"/>
      <c r="P58" s="70"/>
      <c r="Q58" s="70"/>
      <c r="R58" s="70"/>
      <c r="S58" s="70"/>
      <c r="T58" s="70"/>
      <c r="U58" s="70"/>
      <c r="V58" s="70"/>
      <c r="W58" s="70"/>
      <c r="X58" s="70"/>
      <c r="Y58" s="70"/>
      <c r="Z58" s="70"/>
      <c r="AA58" s="70"/>
      <c r="AB58" s="70"/>
      <c r="AC58" s="70"/>
      <c r="AD58" s="70"/>
      <c r="AE58" s="70"/>
      <c r="AF58" s="70"/>
      <c r="AG58" s="70"/>
      <c r="AH58" s="70"/>
      <c r="AI58" s="70"/>
      <c r="AJ58" s="70"/>
      <c r="AK58" s="70"/>
      <c r="AL58" s="70"/>
      <c r="AM58" s="70"/>
      <c r="AN58" s="70"/>
      <c r="AO58" s="70"/>
      <c r="AP58" s="70"/>
      <c r="AQ58" s="70"/>
      <c r="AR58" s="70"/>
      <c r="AS58" s="70"/>
      <c r="AT58" s="70"/>
      <c r="AU58" s="70"/>
      <c r="AV58" s="70"/>
      <c r="AW58" s="70"/>
      <c r="AX58" s="70"/>
      <c r="AY58" s="70"/>
      <c r="AZ58" s="70"/>
      <c r="BA58" s="70"/>
      <c r="BB58" s="70"/>
      <c r="BC58" s="70"/>
      <c r="BD58" s="70"/>
      <c r="BE58" s="70"/>
      <c r="BF58" s="70"/>
      <c r="BG58" s="70"/>
      <c r="BH58" s="70"/>
      <c r="BI58" s="70"/>
      <c r="BJ58" s="70"/>
      <c r="BK58" s="70"/>
      <c r="BL58" s="70"/>
      <c r="BM58" s="70"/>
      <c r="BN58" s="70"/>
      <c r="BO58" s="70"/>
      <c r="BP58" s="70"/>
      <c r="BQ58" s="70"/>
      <c r="BR58" s="70"/>
      <c r="BS58" s="70"/>
      <c r="BT58" s="70"/>
      <c r="BU58" s="70"/>
      <c r="BV58" s="70"/>
      <c r="BW58" s="70"/>
      <c r="BX58" s="70"/>
      <c r="BY58" s="70"/>
      <c r="BZ58" s="70"/>
      <c r="CA58" s="70"/>
      <c r="CB58" s="70"/>
      <c r="CC58" s="70"/>
      <c r="CD58" s="70"/>
      <c r="CE58" s="70"/>
      <c r="CF58" s="70"/>
      <c r="CG58" s="70"/>
      <c r="CH58" s="70"/>
      <c r="CI58" s="70"/>
      <c r="CJ58" s="70"/>
      <c r="CK58" s="70"/>
      <c r="CL58" s="70"/>
      <c r="CM58" s="70"/>
      <c r="CN58" s="70"/>
      <c r="CO58" s="70"/>
      <c r="CP58" s="70"/>
      <c r="CR58" s="173"/>
    </row>
    <row r="59" spans="1:96" x14ac:dyDescent="0.2">
      <c r="A59" s="59"/>
      <c r="B59" s="66"/>
      <c r="C59" s="66"/>
      <c r="D59" s="66"/>
      <c r="E59" s="59"/>
      <c r="F59" s="59"/>
      <c r="G59" s="59"/>
      <c r="H59" s="59"/>
      <c r="I59" s="59"/>
      <c r="J59" s="59"/>
      <c r="K59" s="59"/>
      <c r="L59" s="68"/>
      <c r="M59" s="63"/>
      <c r="N59" s="59"/>
      <c r="O59" s="69"/>
      <c r="P59" s="70"/>
      <c r="Q59" s="70"/>
      <c r="R59" s="70"/>
      <c r="S59" s="70"/>
      <c r="T59" s="70"/>
      <c r="U59" s="70"/>
      <c r="V59" s="70"/>
      <c r="W59" s="70"/>
      <c r="X59" s="70"/>
      <c r="Y59" s="70"/>
      <c r="Z59" s="70"/>
      <c r="AA59" s="70"/>
      <c r="AB59" s="70"/>
      <c r="AC59" s="70"/>
      <c r="AD59" s="70"/>
      <c r="AE59" s="70"/>
      <c r="AF59" s="70"/>
      <c r="AG59" s="70"/>
      <c r="AH59" s="70"/>
      <c r="AI59" s="70"/>
      <c r="AJ59" s="70"/>
      <c r="AK59" s="70"/>
      <c r="AL59" s="70"/>
      <c r="AM59" s="70"/>
      <c r="AN59" s="70"/>
      <c r="AO59" s="70"/>
      <c r="AP59" s="70"/>
      <c r="AQ59" s="70"/>
      <c r="AR59" s="70"/>
      <c r="AS59" s="70"/>
      <c r="AT59" s="70"/>
      <c r="AU59" s="70"/>
      <c r="AV59" s="70"/>
      <c r="AW59" s="70"/>
      <c r="AX59" s="70"/>
      <c r="AY59" s="70"/>
      <c r="AZ59" s="70"/>
      <c r="BA59" s="70"/>
      <c r="BB59" s="70"/>
      <c r="BC59" s="70"/>
      <c r="BD59" s="70"/>
      <c r="BE59" s="70"/>
      <c r="BF59" s="70"/>
      <c r="BG59" s="70"/>
      <c r="BH59" s="70"/>
      <c r="BI59" s="70"/>
      <c r="BJ59" s="70"/>
      <c r="BK59" s="70"/>
      <c r="BL59" s="70"/>
      <c r="BM59" s="70"/>
      <c r="BN59" s="70"/>
      <c r="BO59" s="70"/>
      <c r="BP59" s="70"/>
      <c r="BQ59" s="70"/>
      <c r="BR59" s="70"/>
      <c r="BS59" s="70"/>
      <c r="BT59" s="70"/>
      <c r="BU59" s="70"/>
      <c r="BV59" s="70"/>
      <c r="BW59" s="70"/>
      <c r="BX59" s="70"/>
      <c r="BY59" s="70"/>
      <c r="BZ59" s="70"/>
      <c r="CA59" s="70"/>
      <c r="CB59" s="70"/>
      <c r="CC59" s="70"/>
      <c r="CD59" s="70"/>
      <c r="CE59" s="70"/>
      <c r="CF59" s="70"/>
      <c r="CG59" s="70"/>
      <c r="CH59" s="70"/>
      <c r="CI59" s="70"/>
      <c r="CJ59" s="70"/>
      <c r="CK59" s="70"/>
      <c r="CL59" s="70"/>
      <c r="CM59" s="70"/>
      <c r="CN59" s="70"/>
      <c r="CO59" s="70"/>
      <c r="CP59" s="70"/>
      <c r="CR59" s="173"/>
    </row>
    <row r="60" spans="1:96" x14ac:dyDescent="0.2">
      <c r="A60" s="59"/>
      <c r="B60" s="66"/>
      <c r="C60" s="66"/>
      <c r="D60" s="66"/>
      <c r="E60" s="59"/>
      <c r="F60" s="59"/>
      <c r="G60" s="59"/>
      <c r="H60" s="59"/>
      <c r="I60" s="59"/>
      <c r="J60" s="59"/>
      <c r="K60" s="59"/>
      <c r="L60" s="68"/>
      <c r="M60" s="63"/>
      <c r="N60" s="59"/>
      <c r="O60" s="69"/>
      <c r="P60" s="70"/>
      <c r="Q60" s="70"/>
      <c r="R60" s="70"/>
      <c r="S60" s="70"/>
      <c r="T60" s="70"/>
      <c r="U60" s="70"/>
      <c r="V60" s="70"/>
      <c r="W60" s="70"/>
      <c r="X60" s="70"/>
      <c r="Y60" s="70"/>
      <c r="Z60" s="70"/>
      <c r="AA60" s="70"/>
      <c r="AB60" s="70"/>
      <c r="AC60" s="70"/>
      <c r="AD60" s="70"/>
      <c r="AE60" s="70"/>
      <c r="AF60" s="70"/>
      <c r="AG60" s="70"/>
      <c r="AH60" s="70"/>
      <c r="AI60" s="70"/>
      <c r="AJ60" s="70"/>
      <c r="AK60" s="70"/>
      <c r="AL60" s="70"/>
      <c r="AM60" s="70"/>
      <c r="AN60" s="70"/>
      <c r="AO60" s="70"/>
      <c r="AP60" s="70"/>
      <c r="AQ60" s="70"/>
      <c r="AR60" s="70"/>
      <c r="AS60" s="70"/>
      <c r="AT60" s="70"/>
      <c r="AU60" s="70"/>
      <c r="AV60" s="70"/>
      <c r="AW60" s="70"/>
      <c r="AX60" s="70"/>
      <c r="AY60" s="70"/>
      <c r="AZ60" s="70"/>
      <c r="BA60" s="70"/>
      <c r="BB60" s="70"/>
      <c r="BC60" s="70"/>
      <c r="BD60" s="70"/>
      <c r="BE60" s="70"/>
      <c r="BF60" s="70"/>
      <c r="BG60" s="70"/>
      <c r="BH60" s="70"/>
      <c r="BI60" s="70"/>
      <c r="BJ60" s="70"/>
      <c r="BK60" s="70"/>
      <c r="BL60" s="70"/>
      <c r="BM60" s="70"/>
      <c r="BN60" s="70"/>
      <c r="BO60" s="70"/>
      <c r="BP60" s="70"/>
      <c r="BQ60" s="70"/>
      <c r="BR60" s="70"/>
      <c r="BS60" s="70"/>
      <c r="BT60" s="70"/>
      <c r="BU60" s="70"/>
      <c r="BV60" s="70"/>
      <c r="BW60" s="70"/>
      <c r="BX60" s="70"/>
      <c r="BY60" s="70"/>
      <c r="BZ60" s="70"/>
      <c r="CA60" s="70"/>
      <c r="CB60" s="70"/>
      <c r="CC60" s="70"/>
      <c r="CD60" s="70"/>
      <c r="CE60" s="70"/>
      <c r="CF60" s="70"/>
      <c r="CG60" s="70"/>
      <c r="CH60" s="70"/>
      <c r="CI60" s="70"/>
      <c r="CJ60" s="70"/>
      <c r="CK60" s="70"/>
      <c r="CL60" s="70"/>
      <c r="CM60" s="70"/>
      <c r="CN60" s="70"/>
      <c r="CO60" s="70"/>
      <c r="CP60" s="70"/>
      <c r="CR60" s="173"/>
    </row>
    <row r="61" spans="1:96" x14ac:dyDescent="0.2">
      <c r="A61" s="59"/>
      <c r="B61" s="66"/>
      <c r="C61" s="66"/>
      <c r="D61" s="66"/>
      <c r="E61" s="59"/>
      <c r="F61" s="59"/>
      <c r="G61" s="59"/>
      <c r="H61" s="59"/>
      <c r="I61" s="59"/>
      <c r="J61" s="59"/>
      <c r="K61" s="59"/>
      <c r="L61" s="68"/>
      <c r="M61" s="63"/>
      <c r="N61" s="59"/>
      <c r="O61" s="69"/>
      <c r="P61" s="70"/>
      <c r="Q61" s="70"/>
      <c r="R61" s="70"/>
      <c r="S61" s="70"/>
      <c r="T61" s="70"/>
      <c r="U61" s="70"/>
      <c r="V61" s="70"/>
      <c r="W61" s="70"/>
      <c r="X61" s="70"/>
      <c r="Y61" s="70"/>
      <c r="Z61" s="70"/>
      <c r="AA61" s="70"/>
      <c r="AB61" s="70"/>
      <c r="AC61" s="70"/>
      <c r="AD61" s="70"/>
      <c r="AE61" s="70"/>
      <c r="AF61" s="70"/>
      <c r="AG61" s="70"/>
      <c r="AH61" s="70"/>
      <c r="AI61" s="70"/>
      <c r="AJ61" s="70"/>
      <c r="AK61" s="70"/>
      <c r="AL61" s="70"/>
      <c r="AM61" s="70"/>
      <c r="AN61" s="70"/>
      <c r="AO61" s="70"/>
      <c r="AP61" s="70"/>
      <c r="AQ61" s="70"/>
      <c r="AR61" s="70"/>
      <c r="AS61" s="70"/>
      <c r="AT61" s="70"/>
      <c r="AU61" s="70"/>
      <c r="AV61" s="70"/>
      <c r="AW61" s="70"/>
      <c r="AX61" s="70"/>
      <c r="AY61" s="70"/>
      <c r="AZ61" s="70"/>
      <c r="BA61" s="70"/>
      <c r="BB61" s="70"/>
      <c r="BC61" s="70"/>
      <c r="BD61" s="70"/>
      <c r="BE61" s="70"/>
      <c r="BF61" s="70"/>
      <c r="BG61" s="70"/>
      <c r="BH61" s="70"/>
      <c r="BI61" s="70"/>
      <c r="BJ61" s="70"/>
      <c r="BK61" s="70"/>
      <c r="BL61" s="70"/>
      <c r="BM61" s="70"/>
      <c r="BN61" s="70"/>
      <c r="BO61" s="70"/>
      <c r="BP61" s="70"/>
      <c r="BQ61" s="70"/>
      <c r="BR61" s="70"/>
      <c r="BS61" s="70"/>
      <c r="BT61" s="70"/>
      <c r="BU61" s="70"/>
      <c r="BV61" s="70"/>
      <c r="BW61" s="70"/>
      <c r="BX61" s="70"/>
      <c r="BY61" s="70"/>
      <c r="BZ61" s="70"/>
      <c r="CA61" s="70"/>
      <c r="CB61" s="70"/>
      <c r="CC61" s="70"/>
      <c r="CD61" s="70"/>
      <c r="CE61" s="70"/>
      <c r="CF61" s="70"/>
      <c r="CG61" s="70"/>
      <c r="CH61" s="70"/>
      <c r="CI61" s="70"/>
      <c r="CJ61" s="70"/>
      <c r="CK61" s="70"/>
      <c r="CL61" s="70"/>
      <c r="CM61" s="70"/>
      <c r="CN61" s="70"/>
      <c r="CO61" s="70"/>
      <c r="CP61" s="70"/>
      <c r="CR61" s="173"/>
    </row>
    <row r="62" spans="1:96" x14ac:dyDescent="0.2">
      <c r="A62" s="59"/>
      <c r="B62" s="66"/>
      <c r="C62" s="66"/>
      <c r="D62" s="66"/>
      <c r="E62" s="59"/>
      <c r="F62" s="59"/>
      <c r="G62" s="59"/>
      <c r="H62" s="59"/>
      <c r="I62" s="59"/>
      <c r="J62" s="59"/>
      <c r="K62" s="59"/>
      <c r="L62" s="68"/>
      <c r="M62" s="63"/>
      <c r="N62" s="59"/>
      <c r="O62" s="69"/>
      <c r="P62" s="70"/>
      <c r="Q62" s="70"/>
      <c r="R62" s="70"/>
      <c r="S62" s="70"/>
      <c r="T62" s="70"/>
      <c r="U62" s="70"/>
      <c r="V62" s="70"/>
      <c r="W62" s="70"/>
      <c r="X62" s="70"/>
      <c r="Y62" s="70"/>
      <c r="Z62" s="70"/>
      <c r="AA62" s="70"/>
      <c r="AB62" s="70"/>
      <c r="AC62" s="70"/>
      <c r="AD62" s="70"/>
      <c r="AE62" s="70"/>
      <c r="AF62" s="70"/>
      <c r="AG62" s="70"/>
      <c r="AH62" s="70"/>
      <c r="AI62" s="70"/>
      <c r="AJ62" s="70"/>
      <c r="AK62" s="70"/>
      <c r="AL62" s="70"/>
      <c r="AM62" s="70"/>
      <c r="AN62" s="70"/>
      <c r="AO62" s="70"/>
      <c r="AP62" s="70"/>
      <c r="AQ62" s="70"/>
      <c r="AR62" s="70"/>
      <c r="AS62" s="70"/>
      <c r="AT62" s="70"/>
      <c r="AU62" s="70"/>
      <c r="AV62" s="70"/>
      <c r="AW62" s="70"/>
      <c r="AX62" s="70"/>
      <c r="AY62" s="70"/>
      <c r="AZ62" s="70"/>
      <c r="BA62" s="70"/>
      <c r="BB62" s="70"/>
      <c r="BC62" s="70"/>
      <c r="BD62" s="70"/>
      <c r="BE62" s="70"/>
      <c r="BF62" s="70"/>
      <c r="BG62" s="70"/>
      <c r="BH62" s="70"/>
      <c r="BI62" s="70"/>
      <c r="BJ62" s="70"/>
      <c r="BK62" s="70"/>
      <c r="BL62" s="70"/>
      <c r="BM62" s="70"/>
      <c r="BN62" s="70"/>
      <c r="BO62" s="70"/>
      <c r="BP62" s="70"/>
      <c r="BQ62" s="70"/>
      <c r="BR62" s="70"/>
      <c r="BS62" s="70"/>
      <c r="BT62" s="70"/>
      <c r="BU62" s="70"/>
      <c r="BV62" s="70"/>
      <c r="BW62" s="70"/>
      <c r="BX62" s="70"/>
      <c r="BY62" s="70"/>
      <c r="BZ62" s="70"/>
      <c r="CA62" s="70"/>
      <c r="CB62" s="70"/>
      <c r="CC62" s="70"/>
      <c r="CD62" s="70"/>
      <c r="CE62" s="70"/>
      <c r="CF62" s="70"/>
      <c r="CG62" s="70"/>
      <c r="CH62" s="70"/>
      <c r="CI62" s="70"/>
      <c r="CJ62" s="70"/>
      <c r="CK62" s="70"/>
      <c r="CL62" s="70"/>
      <c r="CM62" s="70"/>
      <c r="CN62" s="70"/>
      <c r="CO62" s="70"/>
      <c r="CP62" s="70"/>
      <c r="CR62" s="173"/>
    </row>
    <row r="63" spans="1:96" x14ac:dyDescent="0.2">
      <c r="A63" s="59"/>
      <c r="B63" s="66"/>
      <c r="C63" s="66"/>
      <c r="D63" s="66"/>
      <c r="E63" s="59"/>
      <c r="F63" s="59"/>
      <c r="G63" s="59"/>
      <c r="H63" s="59"/>
      <c r="I63" s="59"/>
      <c r="J63" s="59"/>
      <c r="K63" s="59"/>
      <c r="L63" s="68"/>
      <c r="M63" s="63"/>
      <c r="N63" s="59"/>
      <c r="O63" s="69"/>
      <c r="P63" s="70"/>
      <c r="Q63" s="70"/>
      <c r="R63" s="70"/>
      <c r="S63" s="70"/>
      <c r="T63" s="70"/>
      <c r="U63" s="70"/>
      <c r="V63" s="70"/>
      <c r="W63" s="70"/>
      <c r="X63" s="70"/>
      <c r="Y63" s="70"/>
      <c r="Z63" s="70"/>
      <c r="AA63" s="70"/>
      <c r="AB63" s="70"/>
      <c r="AC63" s="70"/>
      <c r="AD63" s="70"/>
      <c r="AE63" s="70"/>
      <c r="AF63" s="70"/>
      <c r="AG63" s="70"/>
      <c r="AH63" s="70"/>
      <c r="AI63" s="70"/>
      <c r="AJ63" s="70"/>
      <c r="AK63" s="70"/>
      <c r="AL63" s="70"/>
      <c r="AM63" s="70"/>
      <c r="AN63" s="70"/>
      <c r="AO63" s="70"/>
      <c r="AP63" s="70"/>
      <c r="AQ63" s="70"/>
      <c r="AR63" s="70"/>
      <c r="AS63" s="70"/>
      <c r="AT63" s="70"/>
      <c r="AU63" s="70"/>
      <c r="AV63" s="70"/>
      <c r="AW63" s="70"/>
      <c r="AX63" s="70"/>
      <c r="AY63" s="70"/>
      <c r="AZ63" s="70"/>
      <c r="BA63" s="70"/>
      <c r="BB63" s="70"/>
      <c r="BC63" s="70"/>
      <c r="BD63" s="70"/>
      <c r="BE63" s="70"/>
      <c r="BF63" s="70"/>
      <c r="BG63" s="70"/>
      <c r="BH63" s="70"/>
      <c r="BI63" s="70"/>
      <c r="BJ63" s="70"/>
      <c r="BK63" s="70"/>
      <c r="BL63" s="70"/>
      <c r="BM63" s="70"/>
      <c r="BN63" s="70"/>
      <c r="BO63" s="70"/>
      <c r="BP63" s="70"/>
      <c r="BQ63" s="70"/>
      <c r="BR63" s="70"/>
      <c r="BS63" s="70"/>
      <c r="BT63" s="70"/>
      <c r="BU63" s="70"/>
      <c r="BV63" s="70"/>
      <c r="BW63" s="70"/>
      <c r="BX63" s="70"/>
      <c r="BY63" s="70"/>
      <c r="BZ63" s="70"/>
      <c r="CA63" s="70"/>
      <c r="CB63" s="70"/>
      <c r="CC63" s="70"/>
      <c r="CD63" s="70"/>
      <c r="CE63" s="70"/>
      <c r="CF63" s="70"/>
      <c r="CG63" s="70"/>
      <c r="CH63" s="70"/>
      <c r="CI63" s="70"/>
      <c r="CJ63" s="70"/>
      <c r="CK63" s="70"/>
      <c r="CL63" s="70"/>
      <c r="CM63" s="70"/>
      <c r="CN63" s="70"/>
      <c r="CO63" s="70"/>
      <c r="CP63" s="70"/>
      <c r="CR63" s="173"/>
    </row>
    <row r="64" spans="1:96" x14ac:dyDescent="0.2">
      <c r="A64" s="59"/>
      <c r="B64" s="66"/>
      <c r="C64" s="66"/>
      <c r="D64" s="66"/>
      <c r="E64" s="59"/>
      <c r="F64" s="59"/>
      <c r="G64" s="59"/>
      <c r="H64" s="59"/>
      <c r="I64" s="59"/>
      <c r="J64" s="59"/>
      <c r="K64" s="59"/>
      <c r="L64" s="68"/>
      <c r="M64" s="63"/>
      <c r="N64" s="59"/>
      <c r="O64" s="69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70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70"/>
      <c r="AQ64" s="70"/>
      <c r="AR64" s="70"/>
      <c r="AS64" s="70"/>
      <c r="AT64" s="70"/>
      <c r="AU64" s="70"/>
      <c r="AV64" s="70"/>
      <c r="AW64" s="70"/>
      <c r="AX64" s="70"/>
      <c r="AY64" s="70"/>
      <c r="AZ64" s="70"/>
      <c r="BA64" s="70"/>
      <c r="BB64" s="70"/>
      <c r="BC64" s="70"/>
      <c r="BD64" s="70"/>
      <c r="BE64" s="70"/>
      <c r="BF64" s="70"/>
      <c r="BG64" s="70"/>
      <c r="BH64" s="70"/>
      <c r="BI64" s="70"/>
      <c r="BJ64" s="70"/>
      <c r="BK64" s="70"/>
      <c r="BL64" s="70"/>
      <c r="BM64" s="70"/>
      <c r="BN64" s="70"/>
      <c r="BO64" s="70"/>
      <c r="BP64" s="70"/>
      <c r="BQ64" s="70"/>
      <c r="BR64" s="70"/>
      <c r="BS64" s="70"/>
      <c r="BT64" s="70"/>
      <c r="BU64" s="70"/>
      <c r="BV64" s="70"/>
      <c r="BW64" s="70"/>
      <c r="BX64" s="70"/>
      <c r="BY64" s="70"/>
      <c r="BZ64" s="70"/>
      <c r="CA64" s="70"/>
      <c r="CB64" s="70"/>
      <c r="CC64" s="70"/>
      <c r="CD64" s="70"/>
      <c r="CE64" s="70"/>
      <c r="CF64" s="70"/>
      <c r="CG64" s="70"/>
      <c r="CH64" s="70"/>
      <c r="CI64" s="70"/>
      <c r="CJ64" s="70"/>
      <c r="CK64" s="70"/>
      <c r="CL64" s="70"/>
      <c r="CM64" s="70"/>
      <c r="CN64" s="70"/>
      <c r="CO64" s="70"/>
      <c r="CP64" s="70"/>
      <c r="CR64" s="173"/>
    </row>
    <row r="65" spans="1:122" x14ac:dyDescent="0.2">
      <c r="A65" s="59"/>
      <c r="B65" s="66"/>
      <c r="C65" s="66"/>
      <c r="D65" s="66"/>
      <c r="E65" s="59"/>
      <c r="F65" s="59"/>
      <c r="G65" s="59"/>
      <c r="H65" s="59"/>
      <c r="I65" s="59"/>
      <c r="J65" s="59"/>
      <c r="K65" s="59"/>
      <c r="L65" s="68"/>
      <c r="M65" s="63"/>
      <c r="N65" s="59"/>
      <c r="O65" s="69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70"/>
      <c r="AQ65" s="70"/>
      <c r="AR65" s="70"/>
      <c r="AS65" s="70"/>
      <c r="AT65" s="70"/>
      <c r="AU65" s="70"/>
      <c r="AV65" s="70"/>
      <c r="AW65" s="70"/>
      <c r="AX65" s="70"/>
      <c r="AY65" s="70"/>
      <c r="AZ65" s="70"/>
      <c r="BA65" s="70"/>
      <c r="BB65" s="70"/>
      <c r="BC65" s="70"/>
      <c r="BD65" s="70"/>
      <c r="BE65" s="70"/>
      <c r="BF65" s="70"/>
      <c r="BG65" s="70"/>
      <c r="BH65" s="70"/>
      <c r="BI65" s="70"/>
      <c r="BJ65" s="70"/>
      <c r="BK65" s="70"/>
      <c r="BL65" s="70"/>
      <c r="BM65" s="70"/>
      <c r="BN65" s="70"/>
      <c r="BO65" s="70"/>
      <c r="BP65" s="70"/>
      <c r="BQ65" s="70"/>
      <c r="BR65" s="70"/>
      <c r="BS65" s="70"/>
      <c r="BT65" s="70"/>
      <c r="BU65" s="70"/>
      <c r="BV65" s="70"/>
      <c r="BW65" s="70"/>
      <c r="BX65" s="70"/>
      <c r="BY65" s="70"/>
      <c r="BZ65" s="70"/>
      <c r="CA65" s="70"/>
      <c r="CB65" s="70"/>
      <c r="CC65" s="70"/>
      <c r="CD65" s="70"/>
      <c r="CE65" s="70"/>
      <c r="CF65" s="70"/>
      <c r="CG65" s="70"/>
      <c r="CH65" s="70"/>
      <c r="CI65" s="70"/>
      <c r="CJ65" s="70"/>
      <c r="CK65" s="70"/>
      <c r="CL65" s="70"/>
      <c r="CM65" s="70"/>
      <c r="CN65" s="70"/>
      <c r="CO65" s="70"/>
      <c r="CP65" s="70"/>
      <c r="CR65" s="173"/>
    </row>
    <row r="66" spans="1:122" x14ac:dyDescent="0.2">
      <c r="A66" s="59"/>
      <c r="B66" s="66"/>
      <c r="C66" s="66"/>
      <c r="D66" s="66"/>
      <c r="E66" s="59"/>
      <c r="F66" s="59"/>
      <c r="G66" s="59"/>
      <c r="H66" s="59"/>
      <c r="I66" s="59"/>
      <c r="J66" s="59"/>
      <c r="K66" s="59"/>
      <c r="L66" s="68"/>
      <c r="M66" s="63"/>
      <c r="N66" s="59"/>
      <c r="O66" s="69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70"/>
      <c r="AQ66" s="70"/>
      <c r="AR66" s="70"/>
      <c r="AS66" s="70"/>
      <c r="AT66" s="70"/>
      <c r="AU66" s="70"/>
      <c r="AV66" s="70"/>
      <c r="AW66" s="70"/>
      <c r="AX66" s="70"/>
      <c r="AY66" s="70"/>
      <c r="AZ66" s="70"/>
      <c r="BA66" s="70"/>
      <c r="BB66" s="70"/>
      <c r="BC66" s="70"/>
      <c r="BD66" s="70"/>
      <c r="BE66" s="70"/>
      <c r="BF66" s="70"/>
      <c r="BG66" s="70"/>
      <c r="BH66" s="70"/>
      <c r="BI66" s="70"/>
      <c r="BJ66" s="70"/>
      <c r="BK66" s="70"/>
      <c r="BL66" s="70"/>
      <c r="BM66" s="70"/>
      <c r="BN66" s="70"/>
      <c r="BO66" s="70"/>
      <c r="BP66" s="70"/>
      <c r="BQ66" s="70"/>
      <c r="BR66" s="70"/>
      <c r="BS66" s="70"/>
      <c r="BT66" s="70"/>
      <c r="BU66" s="70"/>
      <c r="BV66" s="70"/>
      <c r="BW66" s="70"/>
      <c r="BX66" s="70"/>
      <c r="BY66" s="70"/>
      <c r="BZ66" s="70"/>
      <c r="CA66" s="70"/>
      <c r="CB66" s="70"/>
      <c r="CC66" s="70"/>
      <c r="CD66" s="70"/>
      <c r="CE66" s="70"/>
      <c r="CF66" s="70"/>
      <c r="CG66" s="70"/>
      <c r="CH66" s="70"/>
      <c r="CI66" s="70"/>
      <c r="CJ66" s="70"/>
      <c r="CK66" s="70"/>
      <c r="CL66" s="70"/>
      <c r="CM66" s="70"/>
      <c r="CN66" s="70"/>
      <c r="CO66" s="70"/>
      <c r="CP66" s="70"/>
      <c r="CR66" s="173"/>
    </row>
    <row r="67" spans="1:122" x14ac:dyDescent="0.2">
      <c r="A67" s="59"/>
      <c r="B67" s="66"/>
      <c r="C67" s="66"/>
      <c r="D67" s="66"/>
      <c r="E67" s="59"/>
      <c r="F67" s="59"/>
      <c r="G67" s="59"/>
      <c r="H67" s="59"/>
      <c r="I67" s="59"/>
      <c r="J67" s="59"/>
      <c r="K67" s="59"/>
      <c r="L67" s="68"/>
      <c r="M67" s="63"/>
      <c r="N67" s="59"/>
      <c r="O67" s="69"/>
      <c r="P67" s="70"/>
      <c r="Q67" s="70"/>
      <c r="R67" s="70"/>
      <c r="S67" s="70"/>
      <c r="T67" s="70"/>
      <c r="U67" s="70"/>
      <c r="V67" s="70"/>
      <c r="W67" s="70"/>
      <c r="X67" s="70"/>
      <c r="Y67" s="70"/>
      <c r="Z67" s="70"/>
      <c r="AA67" s="70"/>
      <c r="AB67" s="70"/>
      <c r="AC67" s="70"/>
      <c r="AD67" s="70"/>
      <c r="AE67" s="70"/>
      <c r="AF67" s="70"/>
      <c r="AG67" s="70"/>
      <c r="AH67" s="70"/>
      <c r="AI67" s="70"/>
      <c r="AJ67" s="70"/>
      <c r="AK67" s="70"/>
      <c r="AL67" s="70"/>
      <c r="AM67" s="70"/>
      <c r="AN67" s="70"/>
      <c r="AO67" s="70"/>
      <c r="AP67" s="70"/>
      <c r="AQ67" s="70"/>
      <c r="AR67" s="70"/>
      <c r="AS67" s="70"/>
      <c r="AT67" s="70"/>
      <c r="AU67" s="70"/>
      <c r="AV67" s="70"/>
      <c r="AW67" s="70"/>
      <c r="AX67" s="70"/>
      <c r="AY67" s="70"/>
      <c r="AZ67" s="70"/>
      <c r="BA67" s="70"/>
      <c r="BB67" s="70"/>
      <c r="BC67" s="70"/>
      <c r="BD67" s="70"/>
      <c r="BE67" s="70"/>
      <c r="BF67" s="70"/>
      <c r="BG67" s="70"/>
      <c r="BH67" s="70"/>
      <c r="BI67" s="70"/>
      <c r="BJ67" s="70"/>
      <c r="BK67" s="70"/>
      <c r="BL67" s="70"/>
      <c r="BM67" s="70"/>
      <c r="BN67" s="70"/>
      <c r="BO67" s="70"/>
      <c r="BP67" s="70"/>
      <c r="BQ67" s="70"/>
      <c r="BR67" s="70"/>
      <c r="BS67" s="70"/>
      <c r="BT67" s="70"/>
      <c r="BU67" s="70"/>
      <c r="BV67" s="70"/>
      <c r="BW67" s="70"/>
      <c r="BX67" s="70"/>
      <c r="BY67" s="70"/>
      <c r="BZ67" s="70"/>
      <c r="CA67" s="70"/>
      <c r="CB67" s="70"/>
      <c r="CC67" s="70"/>
      <c r="CD67" s="70"/>
      <c r="CE67" s="70"/>
      <c r="CF67" s="70"/>
      <c r="CG67" s="70"/>
      <c r="CH67" s="70"/>
      <c r="CI67" s="70"/>
      <c r="CJ67" s="70"/>
      <c r="CK67" s="70"/>
      <c r="CL67" s="70"/>
      <c r="CM67" s="70"/>
      <c r="CN67" s="70"/>
      <c r="CO67" s="70"/>
      <c r="CP67" s="70"/>
      <c r="CR67" s="173"/>
    </row>
    <row r="68" spans="1:122" x14ac:dyDescent="0.2">
      <c r="A68" s="59"/>
      <c r="B68" s="66"/>
      <c r="C68" s="66"/>
      <c r="D68" s="66"/>
      <c r="E68" s="59"/>
      <c r="F68" s="59"/>
      <c r="G68" s="59"/>
      <c r="H68" s="59"/>
      <c r="I68" s="59"/>
      <c r="J68" s="59"/>
      <c r="K68" s="59"/>
      <c r="L68" s="68"/>
      <c r="M68" s="63"/>
      <c r="N68" s="59"/>
      <c r="O68" s="69"/>
      <c r="P68" s="70"/>
      <c r="Q68" s="70"/>
      <c r="R68" s="70"/>
      <c r="S68" s="70"/>
      <c r="T68" s="70"/>
      <c r="U68" s="70"/>
      <c r="V68" s="70"/>
      <c r="W68" s="70"/>
      <c r="X68" s="70"/>
      <c r="Y68" s="70"/>
      <c r="Z68" s="70"/>
      <c r="AA68" s="70"/>
      <c r="AB68" s="70"/>
      <c r="AC68" s="70"/>
      <c r="AD68" s="70"/>
      <c r="AE68" s="70"/>
      <c r="AF68" s="70"/>
      <c r="AG68" s="70"/>
      <c r="AH68" s="70"/>
      <c r="AI68" s="70"/>
      <c r="AJ68" s="70"/>
      <c r="AK68" s="70"/>
      <c r="AL68" s="70"/>
      <c r="AM68" s="70"/>
      <c r="AN68" s="70"/>
      <c r="AO68" s="70"/>
      <c r="AP68" s="70"/>
      <c r="AQ68" s="70"/>
      <c r="AR68" s="70"/>
      <c r="AS68" s="70"/>
      <c r="AT68" s="70"/>
      <c r="AU68" s="70"/>
      <c r="AV68" s="70"/>
      <c r="AW68" s="70"/>
      <c r="AX68" s="70"/>
      <c r="AY68" s="70"/>
      <c r="AZ68" s="70"/>
      <c r="BA68" s="70"/>
      <c r="BB68" s="70"/>
      <c r="BC68" s="70"/>
      <c r="BD68" s="70"/>
      <c r="BE68" s="70"/>
      <c r="BF68" s="70"/>
      <c r="BG68" s="70"/>
      <c r="BH68" s="70"/>
      <c r="BI68" s="70"/>
      <c r="BJ68" s="70"/>
      <c r="BK68" s="70"/>
      <c r="BL68" s="70"/>
      <c r="BM68" s="70"/>
      <c r="BN68" s="70"/>
      <c r="BO68" s="70"/>
      <c r="BP68" s="70"/>
      <c r="BQ68" s="70"/>
      <c r="BR68" s="70"/>
      <c r="BS68" s="70"/>
      <c r="BT68" s="70"/>
      <c r="BU68" s="70"/>
      <c r="BV68" s="70"/>
      <c r="BW68" s="70"/>
      <c r="BX68" s="70"/>
      <c r="BY68" s="70"/>
      <c r="BZ68" s="70"/>
      <c r="CA68" s="70"/>
      <c r="CB68" s="70"/>
      <c r="CC68" s="70"/>
      <c r="CD68" s="70"/>
      <c r="CE68" s="70"/>
      <c r="CF68" s="70"/>
      <c r="CG68" s="70"/>
      <c r="CH68" s="70"/>
      <c r="CI68" s="70"/>
      <c r="CJ68" s="70"/>
      <c r="CK68" s="70"/>
      <c r="CL68" s="70"/>
      <c r="CM68" s="70"/>
      <c r="CN68" s="70"/>
      <c r="CO68" s="70"/>
      <c r="CP68" s="70"/>
      <c r="CR68" s="173"/>
    </row>
    <row r="69" spans="1:122" x14ac:dyDescent="0.2">
      <c r="A69" s="72"/>
      <c r="B69" s="98"/>
      <c r="C69" s="98"/>
      <c r="D69" s="98"/>
      <c r="E69" s="72"/>
      <c r="F69" s="72"/>
      <c r="G69" s="72"/>
      <c r="H69" s="72"/>
      <c r="I69" s="72"/>
      <c r="J69" s="72"/>
      <c r="K69" s="72"/>
      <c r="L69" s="73"/>
      <c r="M69" s="74"/>
      <c r="N69" s="72"/>
      <c r="O69" s="99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100"/>
      <c r="AC69" s="100"/>
      <c r="AD69" s="100"/>
      <c r="AE69" s="100"/>
      <c r="AF69" s="100"/>
      <c r="AG69" s="100"/>
      <c r="AH69" s="100"/>
      <c r="AI69" s="100"/>
      <c r="AJ69" s="100"/>
      <c r="AK69" s="100"/>
      <c r="AL69" s="100"/>
      <c r="AM69" s="100"/>
      <c r="AN69" s="100"/>
      <c r="AO69" s="100"/>
      <c r="AP69" s="100"/>
      <c r="AQ69" s="100"/>
      <c r="AR69" s="100"/>
      <c r="AS69" s="100"/>
      <c r="AT69" s="100"/>
      <c r="AU69" s="100"/>
      <c r="AV69" s="100"/>
      <c r="AW69" s="100"/>
      <c r="AX69" s="100"/>
      <c r="AY69" s="100"/>
      <c r="AZ69" s="100"/>
      <c r="BA69" s="100"/>
      <c r="BB69" s="100"/>
      <c r="BC69" s="100"/>
      <c r="BD69" s="100"/>
      <c r="BE69" s="100"/>
      <c r="BF69" s="100"/>
      <c r="BG69" s="100"/>
      <c r="BH69" s="100"/>
      <c r="BI69" s="100"/>
      <c r="BJ69" s="100"/>
      <c r="BK69" s="100"/>
      <c r="BL69" s="100"/>
      <c r="BM69" s="100"/>
      <c r="BN69" s="100"/>
      <c r="BO69" s="100"/>
      <c r="BP69" s="100"/>
      <c r="BQ69" s="100"/>
      <c r="BR69" s="100"/>
      <c r="BS69" s="100"/>
      <c r="BT69" s="100"/>
      <c r="BU69" s="100"/>
      <c r="BV69" s="100"/>
      <c r="BW69" s="100"/>
      <c r="BX69" s="100"/>
      <c r="BY69" s="100"/>
      <c r="BZ69" s="100"/>
      <c r="CA69" s="100"/>
      <c r="CB69" s="100"/>
      <c r="CC69" s="100"/>
      <c r="CD69" s="100"/>
      <c r="CE69" s="100"/>
      <c r="CF69" s="100"/>
      <c r="CG69" s="100"/>
      <c r="CH69" s="100"/>
      <c r="CI69" s="100"/>
      <c r="CJ69" s="100"/>
      <c r="CK69" s="100"/>
      <c r="CL69" s="100"/>
      <c r="CM69" s="100"/>
      <c r="CN69" s="100"/>
      <c r="CO69" s="100"/>
      <c r="CP69" s="100"/>
      <c r="CR69" s="174"/>
    </row>
    <row r="70" spans="1:122" x14ac:dyDescent="0.2">
      <c r="A70" s="21"/>
      <c r="B70" s="20"/>
      <c r="C70" s="20"/>
      <c r="D70" s="20"/>
      <c r="E70" s="21"/>
      <c r="F70" s="21"/>
      <c r="G70" s="21"/>
      <c r="H70" s="21"/>
      <c r="I70" s="21"/>
      <c r="J70" s="21"/>
      <c r="K70" s="21"/>
      <c r="L70" s="22"/>
      <c r="M70" s="22"/>
      <c r="N70" s="21"/>
      <c r="O70" s="21"/>
      <c r="P70" s="21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21"/>
      <c r="BE70" s="21"/>
      <c r="BF70" s="21"/>
      <c r="BG70" s="21"/>
      <c r="BH70" s="21"/>
      <c r="BI70" s="21"/>
      <c r="BJ70" s="21"/>
      <c r="BK70" s="21"/>
      <c r="BL70" s="21"/>
      <c r="BM70" s="21"/>
      <c r="BN70" s="21"/>
      <c r="BO70" s="21"/>
      <c r="BP70" s="21"/>
      <c r="BQ70" s="21"/>
      <c r="BR70" s="21"/>
      <c r="BS70" s="21"/>
      <c r="BT70" s="21"/>
      <c r="BU70" s="21"/>
      <c r="BV70" s="21"/>
      <c r="BW70" s="21"/>
      <c r="BX70" s="21"/>
      <c r="BY70" s="21"/>
      <c r="BZ70" s="21"/>
      <c r="CA70" s="21"/>
      <c r="CB70" s="21"/>
      <c r="CC70" s="21"/>
      <c r="CD70" s="21"/>
      <c r="CE70" s="21"/>
      <c r="CF70" s="21"/>
      <c r="CG70" s="21"/>
      <c r="CH70" s="21"/>
      <c r="CI70" s="21"/>
      <c r="CJ70" s="21"/>
      <c r="CK70" s="21"/>
      <c r="CL70" s="21"/>
      <c r="CM70" s="21"/>
      <c r="CN70" s="21"/>
      <c r="CO70" s="21"/>
      <c r="CP70" s="21"/>
      <c r="CR70" s="21"/>
      <c r="CS70" s="187"/>
      <c r="CT70" s="187"/>
      <c r="CU70" s="187"/>
      <c r="CV70" s="187"/>
      <c r="CW70" s="187"/>
      <c r="CX70" s="187"/>
      <c r="CY70" s="187"/>
      <c r="CZ70" s="187"/>
      <c r="DA70" s="187"/>
      <c r="DB70" s="187"/>
      <c r="DC70" s="187"/>
      <c r="DD70" s="187"/>
      <c r="DE70" s="187"/>
      <c r="DF70" s="187"/>
      <c r="DG70" s="187"/>
      <c r="DH70" s="187"/>
      <c r="DI70" s="187"/>
      <c r="DJ70" s="187"/>
      <c r="DK70" s="187"/>
      <c r="DL70" s="187"/>
      <c r="DM70" s="187"/>
      <c r="DN70" s="187"/>
      <c r="DO70" s="187"/>
      <c r="DP70" s="187"/>
      <c r="DQ70" s="187"/>
      <c r="DR70" s="187"/>
    </row>
    <row r="71" spans="1:122" ht="27" customHeight="1" x14ac:dyDescent="0.2">
      <c r="A71" s="19" t="s">
        <v>44</v>
      </c>
      <c r="B71" s="76"/>
      <c r="C71" s="76"/>
      <c r="D71" s="76"/>
      <c r="E71" s="75"/>
      <c r="F71" s="21"/>
      <c r="G71" s="21"/>
      <c r="H71" s="21"/>
      <c r="I71" s="21"/>
      <c r="J71" s="21"/>
      <c r="K71" s="21"/>
      <c r="L71" s="77"/>
      <c r="M71" s="77"/>
      <c r="N71" s="75"/>
      <c r="O71" s="34" t="s">
        <v>62</v>
      </c>
      <c r="P71" s="75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21"/>
      <c r="BE71" s="21"/>
      <c r="BF71" s="21"/>
      <c r="BG71" s="21"/>
      <c r="BH71" s="21"/>
      <c r="BI71" s="21"/>
      <c r="BJ71" s="21"/>
      <c r="BK71" s="21"/>
      <c r="BL71" s="21"/>
      <c r="BM71" s="21"/>
      <c r="BN71" s="21"/>
      <c r="BO71" s="21"/>
      <c r="BP71" s="21"/>
      <c r="BQ71" s="21"/>
      <c r="BR71" s="21"/>
      <c r="BS71" s="21"/>
      <c r="BT71" s="21"/>
      <c r="BU71" s="21"/>
      <c r="BV71" s="21"/>
      <c r="BW71" s="21"/>
      <c r="BX71" s="21"/>
      <c r="BY71" s="21"/>
      <c r="BZ71" s="21"/>
      <c r="CA71" s="21"/>
      <c r="CB71" s="21"/>
      <c r="CC71" s="21"/>
      <c r="CD71" s="21"/>
      <c r="CE71" s="21"/>
      <c r="CF71" s="21"/>
      <c r="CG71" s="21"/>
      <c r="CH71" s="21"/>
      <c r="CI71" s="21"/>
      <c r="CJ71" s="21"/>
      <c r="CK71" s="21"/>
      <c r="CL71" s="21"/>
      <c r="CM71" s="21"/>
      <c r="CN71" s="21"/>
      <c r="CO71" s="21"/>
      <c r="CP71" s="21"/>
      <c r="CR71" s="21"/>
      <c r="CS71" s="187"/>
      <c r="CT71" s="187"/>
      <c r="CU71" s="187"/>
      <c r="CV71" s="187"/>
      <c r="CW71" s="187"/>
      <c r="CX71" s="187"/>
      <c r="CY71" s="187"/>
      <c r="CZ71" s="187"/>
      <c r="DA71" s="187"/>
      <c r="DB71" s="187"/>
      <c r="DC71" s="187"/>
      <c r="DD71" s="187"/>
      <c r="DE71" s="187"/>
      <c r="DF71" s="187"/>
      <c r="DG71" s="187"/>
      <c r="DH71" s="187"/>
      <c r="DI71" s="187"/>
      <c r="DJ71" s="187"/>
      <c r="DK71" s="187"/>
      <c r="DL71" s="187"/>
      <c r="DM71" s="187"/>
      <c r="DN71" s="187"/>
      <c r="DO71" s="187"/>
      <c r="DP71" s="187"/>
      <c r="DQ71" s="187"/>
      <c r="DR71" s="187"/>
    </row>
    <row r="72" spans="1:122" x14ac:dyDescent="0.2">
      <c r="A72" s="78"/>
      <c r="B72" s="79"/>
      <c r="C72" s="79"/>
      <c r="D72" s="79"/>
      <c r="E72" s="80"/>
      <c r="F72" s="80"/>
      <c r="G72" s="80"/>
      <c r="H72" s="80"/>
      <c r="I72" s="80"/>
      <c r="J72" s="80"/>
      <c r="K72" s="80"/>
      <c r="L72" s="81"/>
      <c r="M72" s="81"/>
      <c r="N72" s="82"/>
      <c r="O72" s="83">
        <v>1</v>
      </c>
      <c r="P72" s="83">
        <v>2</v>
      </c>
      <c r="Q72" s="83">
        <v>3</v>
      </c>
      <c r="R72" s="83">
        <v>4</v>
      </c>
      <c r="S72" s="83">
        <v>5</v>
      </c>
      <c r="T72" s="83">
        <v>6</v>
      </c>
      <c r="U72" s="83">
        <v>7</v>
      </c>
      <c r="V72" s="83">
        <v>8</v>
      </c>
      <c r="W72" s="83">
        <v>9</v>
      </c>
      <c r="X72" s="83">
        <v>10</v>
      </c>
      <c r="Y72" s="83">
        <v>11</v>
      </c>
      <c r="Z72" s="83">
        <v>12</v>
      </c>
      <c r="AA72" s="83">
        <v>13</v>
      </c>
      <c r="AB72" s="83">
        <v>14</v>
      </c>
      <c r="AC72" s="83">
        <v>15</v>
      </c>
      <c r="AD72" s="83">
        <v>16</v>
      </c>
      <c r="AE72" s="83">
        <v>17</v>
      </c>
      <c r="AF72" s="83">
        <v>18</v>
      </c>
      <c r="AG72" s="83">
        <v>19</v>
      </c>
      <c r="AH72" s="83">
        <v>20</v>
      </c>
      <c r="AI72" s="83">
        <v>21</v>
      </c>
      <c r="AJ72" s="83">
        <v>22</v>
      </c>
      <c r="AK72" s="83">
        <v>23</v>
      </c>
      <c r="AL72" s="83">
        <v>24</v>
      </c>
      <c r="AM72" s="83">
        <v>25</v>
      </c>
      <c r="AN72" s="83">
        <v>26</v>
      </c>
      <c r="AO72" s="83">
        <v>27</v>
      </c>
      <c r="AP72" s="83">
        <v>28</v>
      </c>
      <c r="AQ72" s="83">
        <v>29</v>
      </c>
      <c r="AR72" s="83">
        <v>30</v>
      </c>
      <c r="AS72" s="83">
        <v>31</v>
      </c>
      <c r="AT72" s="83">
        <v>32</v>
      </c>
      <c r="AU72" s="83">
        <v>33</v>
      </c>
      <c r="AV72" s="83">
        <v>34</v>
      </c>
      <c r="AW72" s="83">
        <v>35</v>
      </c>
      <c r="AX72" s="83">
        <v>36</v>
      </c>
      <c r="AY72" s="83">
        <v>37</v>
      </c>
      <c r="AZ72" s="83">
        <v>38</v>
      </c>
      <c r="BA72" s="83">
        <v>39</v>
      </c>
      <c r="BB72" s="83">
        <v>40</v>
      </c>
      <c r="BC72" s="83">
        <v>41</v>
      </c>
      <c r="BD72" s="83">
        <v>42</v>
      </c>
      <c r="BE72" s="83">
        <v>43</v>
      </c>
      <c r="BF72" s="83">
        <v>44</v>
      </c>
      <c r="BG72" s="83">
        <v>45</v>
      </c>
      <c r="BH72" s="83">
        <v>46</v>
      </c>
      <c r="BI72" s="83">
        <v>47</v>
      </c>
      <c r="BJ72" s="83">
        <v>48</v>
      </c>
      <c r="BK72" s="83">
        <v>49</v>
      </c>
      <c r="BL72" s="83">
        <v>50</v>
      </c>
      <c r="BM72" s="83">
        <v>51</v>
      </c>
      <c r="BN72" s="83">
        <v>52</v>
      </c>
      <c r="BO72" s="83">
        <v>53</v>
      </c>
      <c r="BP72" s="83">
        <v>54</v>
      </c>
      <c r="BQ72" s="83">
        <v>55</v>
      </c>
      <c r="BR72" s="83">
        <v>56</v>
      </c>
      <c r="BS72" s="83">
        <v>57</v>
      </c>
      <c r="BT72" s="83">
        <v>58</v>
      </c>
      <c r="BU72" s="83">
        <v>59</v>
      </c>
      <c r="BV72" s="83">
        <v>60</v>
      </c>
      <c r="BW72" s="83">
        <v>61</v>
      </c>
      <c r="BX72" s="83">
        <v>62</v>
      </c>
      <c r="BY72" s="83">
        <v>63</v>
      </c>
      <c r="BZ72" s="83">
        <v>64</v>
      </c>
      <c r="CA72" s="83">
        <v>65</v>
      </c>
      <c r="CB72" s="83">
        <v>66</v>
      </c>
      <c r="CC72" s="83">
        <v>67</v>
      </c>
      <c r="CD72" s="83">
        <v>68</v>
      </c>
      <c r="CE72" s="83">
        <v>69</v>
      </c>
      <c r="CF72" s="83">
        <v>70</v>
      </c>
      <c r="CG72" s="83">
        <v>71</v>
      </c>
      <c r="CH72" s="83">
        <v>72</v>
      </c>
      <c r="CI72" s="83">
        <v>73</v>
      </c>
      <c r="CJ72" s="83">
        <v>74</v>
      </c>
      <c r="CK72" s="83">
        <v>75</v>
      </c>
      <c r="CL72" s="83">
        <v>76</v>
      </c>
      <c r="CM72" s="83">
        <v>77</v>
      </c>
      <c r="CN72" s="83">
        <v>78</v>
      </c>
      <c r="CO72" s="83">
        <v>79</v>
      </c>
      <c r="CP72" s="83">
        <v>80</v>
      </c>
      <c r="CR72" s="177" t="s">
        <v>168</v>
      </c>
      <c r="CS72" s="188" t="s">
        <v>169</v>
      </c>
      <c r="CT72" s="188" t="s">
        <v>170</v>
      </c>
      <c r="CU72" s="189" t="s">
        <v>169</v>
      </c>
      <c r="CV72" s="189" t="s">
        <v>170</v>
      </c>
      <c r="CW72" s="188" t="s">
        <v>169</v>
      </c>
      <c r="CX72" s="188" t="s">
        <v>170</v>
      </c>
      <c r="CY72" s="189" t="s">
        <v>169</v>
      </c>
      <c r="CZ72" s="189" t="s">
        <v>170</v>
      </c>
      <c r="DA72" s="188" t="s">
        <v>169</v>
      </c>
      <c r="DB72" s="188" t="s">
        <v>170</v>
      </c>
      <c r="DC72" s="189" t="s">
        <v>169</v>
      </c>
      <c r="DD72" s="189" t="s">
        <v>170</v>
      </c>
      <c r="DE72" s="188" t="s">
        <v>169</v>
      </c>
      <c r="DF72" s="188" t="s">
        <v>170</v>
      </c>
      <c r="DG72" s="189" t="s">
        <v>169</v>
      </c>
      <c r="DH72" s="189" t="s">
        <v>170</v>
      </c>
      <c r="DI72" s="188" t="s">
        <v>169</v>
      </c>
      <c r="DJ72" s="188" t="s">
        <v>170</v>
      </c>
      <c r="DK72" s="189" t="s">
        <v>169</v>
      </c>
      <c r="DL72" s="189" t="s">
        <v>170</v>
      </c>
      <c r="DM72" s="188" t="s">
        <v>169</v>
      </c>
      <c r="DN72" s="188" t="s">
        <v>170</v>
      </c>
      <c r="DO72" s="189" t="s">
        <v>169</v>
      </c>
      <c r="DP72" s="189" t="s">
        <v>170</v>
      </c>
      <c r="DQ72" s="188" t="s">
        <v>169</v>
      </c>
      <c r="DR72" s="188" t="s">
        <v>170</v>
      </c>
    </row>
    <row r="73" spans="1:122" x14ac:dyDescent="0.2">
      <c r="A73" s="84"/>
      <c r="B73" s="85"/>
      <c r="C73" s="85"/>
      <c r="D73" s="85"/>
      <c r="E73" s="86"/>
      <c r="F73" s="86"/>
      <c r="G73" s="86"/>
      <c r="H73" s="86"/>
      <c r="I73" s="86"/>
      <c r="J73" s="86"/>
      <c r="K73" s="86"/>
      <c r="L73" s="87"/>
      <c r="M73" s="87"/>
      <c r="N73" s="105" t="s">
        <v>80</v>
      </c>
      <c r="O73" s="102"/>
      <c r="P73" s="102"/>
      <c r="Q73" s="102"/>
      <c r="R73" s="102"/>
      <c r="S73" s="102"/>
      <c r="T73" s="102"/>
      <c r="U73" s="102"/>
      <c r="V73" s="102"/>
      <c r="W73" s="102"/>
      <c r="X73" s="102"/>
      <c r="Y73" s="102"/>
      <c r="Z73" s="102"/>
      <c r="AA73" s="102"/>
      <c r="AB73" s="102"/>
      <c r="AC73" s="102"/>
      <c r="AD73" s="102"/>
      <c r="AE73" s="102"/>
      <c r="AF73" s="102"/>
      <c r="AG73" s="102"/>
      <c r="AH73" s="102"/>
      <c r="AI73" s="102"/>
      <c r="AJ73" s="102"/>
      <c r="AK73" s="102"/>
      <c r="AL73" s="102"/>
      <c r="AM73" s="102"/>
      <c r="AN73" s="102"/>
      <c r="AO73" s="102"/>
      <c r="AP73" s="102"/>
      <c r="AQ73" s="102"/>
      <c r="AR73" s="102"/>
      <c r="AS73" s="102"/>
      <c r="AT73" s="102"/>
      <c r="AU73" s="102"/>
      <c r="AV73" s="102"/>
      <c r="AW73" s="102"/>
      <c r="AX73" s="102"/>
      <c r="AY73" s="102"/>
      <c r="AZ73" s="102"/>
      <c r="BA73" s="102"/>
      <c r="BB73" s="102"/>
      <c r="BC73" s="102"/>
      <c r="BD73" s="102"/>
      <c r="BE73" s="102"/>
      <c r="BF73" s="102"/>
      <c r="BG73" s="102"/>
      <c r="BH73" s="102"/>
      <c r="BI73" s="102"/>
      <c r="BJ73" s="102"/>
      <c r="BK73" s="102"/>
      <c r="BL73" s="102"/>
      <c r="BM73" s="102"/>
      <c r="BN73" s="102"/>
      <c r="BO73" s="102"/>
      <c r="BP73" s="102"/>
      <c r="BQ73" s="102"/>
      <c r="BR73" s="102"/>
      <c r="BS73" s="102"/>
      <c r="BT73" s="102"/>
      <c r="BU73" s="102"/>
      <c r="BV73" s="102"/>
      <c r="BW73" s="102"/>
      <c r="BX73" s="102"/>
      <c r="BY73" s="102"/>
      <c r="BZ73" s="102"/>
      <c r="CA73" s="102"/>
      <c r="CB73" s="102"/>
      <c r="CC73" s="102"/>
      <c r="CD73" s="102"/>
      <c r="CE73" s="102"/>
      <c r="CF73" s="102"/>
      <c r="CG73" s="102"/>
      <c r="CH73" s="102"/>
      <c r="CI73" s="102"/>
      <c r="CJ73" s="102"/>
      <c r="CK73" s="102"/>
      <c r="CL73" s="102"/>
      <c r="CM73" s="102"/>
      <c r="CN73" s="102"/>
      <c r="CO73" s="102"/>
      <c r="CP73" s="102"/>
    </row>
    <row r="74" spans="1:122" x14ac:dyDescent="0.2">
      <c r="A74" s="84"/>
      <c r="B74" s="85"/>
      <c r="C74" s="85"/>
      <c r="D74" s="85"/>
      <c r="E74" s="86"/>
      <c r="F74" s="86"/>
      <c r="G74" s="86"/>
      <c r="H74" s="86"/>
      <c r="I74" s="86"/>
      <c r="J74" s="86"/>
      <c r="K74" s="86"/>
      <c r="L74" s="87"/>
      <c r="M74" s="87"/>
      <c r="N74" s="88" t="s">
        <v>131</v>
      </c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  <c r="AA74" s="47"/>
      <c r="AB74" s="47"/>
      <c r="AC74" s="47"/>
      <c r="AD74" s="47"/>
      <c r="AE74" s="47"/>
      <c r="AF74" s="47"/>
      <c r="AG74" s="47"/>
      <c r="AH74" s="47"/>
      <c r="AI74" s="47"/>
      <c r="AJ74" s="47"/>
      <c r="AK74" s="47"/>
      <c r="AL74" s="47"/>
      <c r="AM74" s="47"/>
      <c r="AN74" s="47"/>
      <c r="AO74" s="47"/>
      <c r="AP74" s="47"/>
      <c r="AQ74" s="47"/>
      <c r="AR74" s="47"/>
      <c r="AS74" s="47"/>
      <c r="AT74" s="47"/>
      <c r="AU74" s="47"/>
      <c r="AV74" s="47"/>
      <c r="AW74" s="47"/>
      <c r="AX74" s="47"/>
      <c r="AY74" s="47"/>
      <c r="AZ74" s="47"/>
      <c r="BA74" s="47"/>
      <c r="BB74" s="47"/>
      <c r="BC74" s="47"/>
      <c r="BD74" s="47"/>
      <c r="BE74" s="47"/>
      <c r="BF74" s="47"/>
      <c r="BG74" s="47"/>
      <c r="BH74" s="47"/>
      <c r="BI74" s="47"/>
      <c r="BJ74" s="47"/>
      <c r="BK74" s="47"/>
      <c r="BL74" s="47"/>
      <c r="BM74" s="47"/>
      <c r="BN74" s="47"/>
      <c r="BO74" s="47"/>
      <c r="BP74" s="47"/>
      <c r="BQ74" s="47"/>
      <c r="BR74" s="47"/>
      <c r="BS74" s="47"/>
      <c r="BT74" s="47"/>
      <c r="BU74" s="47"/>
      <c r="BV74" s="47"/>
      <c r="BW74" s="47"/>
      <c r="BX74" s="47"/>
      <c r="BY74" s="47"/>
      <c r="BZ74" s="47"/>
      <c r="CA74" s="47"/>
      <c r="CB74" s="47"/>
      <c r="CC74" s="47"/>
      <c r="CD74" s="47"/>
      <c r="CE74" s="47"/>
      <c r="CF74" s="47"/>
      <c r="CG74" s="47"/>
      <c r="CH74" s="47"/>
      <c r="CI74" s="47"/>
      <c r="CJ74" s="47"/>
      <c r="CK74" s="47"/>
      <c r="CL74" s="47"/>
      <c r="CM74" s="47"/>
      <c r="CN74" s="47"/>
      <c r="CO74" s="47"/>
      <c r="CP74" s="47"/>
    </row>
    <row r="75" spans="1:122" x14ac:dyDescent="0.2">
      <c r="A75" s="84"/>
      <c r="B75" s="85"/>
      <c r="C75" s="85"/>
      <c r="D75" s="85"/>
      <c r="E75" s="86"/>
      <c r="F75" s="86"/>
      <c r="G75" s="86"/>
      <c r="H75" s="86"/>
      <c r="I75" s="86"/>
      <c r="J75" s="86"/>
      <c r="K75" s="86"/>
      <c r="L75" s="87"/>
      <c r="M75" s="87"/>
      <c r="N75" s="88" t="s">
        <v>52</v>
      </c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  <c r="AA75" s="47"/>
      <c r="AB75" s="47"/>
      <c r="AC75" s="47"/>
      <c r="AD75" s="47"/>
      <c r="AE75" s="47"/>
      <c r="AF75" s="47"/>
      <c r="AG75" s="47"/>
      <c r="AH75" s="47"/>
      <c r="AI75" s="47"/>
      <c r="AJ75" s="47"/>
      <c r="AK75" s="47"/>
      <c r="AL75" s="47"/>
      <c r="AM75" s="47"/>
      <c r="AN75" s="47"/>
      <c r="AO75" s="47"/>
      <c r="AP75" s="47"/>
      <c r="AQ75" s="47"/>
      <c r="AR75" s="47"/>
      <c r="AS75" s="47"/>
      <c r="AT75" s="47"/>
      <c r="AU75" s="47"/>
      <c r="AV75" s="47"/>
      <c r="AW75" s="47"/>
      <c r="AX75" s="47"/>
      <c r="AY75" s="47"/>
      <c r="AZ75" s="47"/>
      <c r="BA75" s="47"/>
      <c r="BB75" s="47"/>
      <c r="BC75" s="47"/>
      <c r="BD75" s="47"/>
      <c r="BE75" s="47"/>
      <c r="BF75" s="47"/>
      <c r="BG75" s="47"/>
      <c r="BH75" s="47"/>
      <c r="BI75" s="47"/>
      <c r="BJ75" s="47"/>
      <c r="BK75" s="47"/>
      <c r="BL75" s="47"/>
      <c r="BM75" s="47"/>
      <c r="BN75" s="47"/>
      <c r="BO75" s="47"/>
      <c r="BP75" s="47"/>
      <c r="BQ75" s="47"/>
      <c r="BR75" s="47"/>
      <c r="BS75" s="47"/>
      <c r="BT75" s="47"/>
      <c r="BU75" s="47"/>
      <c r="BV75" s="47"/>
      <c r="BW75" s="47"/>
      <c r="BX75" s="47"/>
      <c r="BY75" s="47"/>
      <c r="BZ75" s="47"/>
      <c r="CA75" s="47"/>
      <c r="CB75" s="47"/>
      <c r="CC75" s="47"/>
      <c r="CD75" s="47"/>
      <c r="CE75" s="47"/>
      <c r="CF75" s="47"/>
      <c r="CG75" s="47"/>
      <c r="CH75" s="47"/>
      <c r="CI75" s="47"/>
      <c r="CJ75" s="47"/>
      <c r="CK75" s="47"/>
      <c r="CL75" s="47"/>
      <c r="CM75" s="47"/>
      <c r="CN75" s="47"/>
      <c r="CO75" s="47"/>
      <c r="CP75" s="47"/>
    </row>
    <row r="76" spans="1:122" x14ac:dyDescent="0.2">
      <c r="A76" s="89"/>
      <c r="B76" s="90"/>
      <c r="C76" s="90"/>
      <c r="D76" s="90"/>
      <c r="E76" s="88"/>
      <c r="F76" s="88"/>
      <c r="G76" s="88"/>
      <c r="H76" s="88"/>
      <c r="I76" s="88"/>
      <c r="J76" s="88"/>
      <c r="K76" s="88"/>
      <c r="L76" s="91"/>
      <c r="M76" s="91"/>
      <c r="N76" s="88" t="s">
        <v>53</v>
      </c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/>
      <c r="AB76" s="52"/>
      <c r="AC76" s="52"/>
      <c r="AD76" s="52"/>
      <c r="AE76" s="52"/>
      <c r="AF76" s="52"/>
      <c r="AG76" s="52"/>
      <c r="AH76" s="52"/>
      <c r="AI76" s="52"/>
      <c r="AJ76" s="52"/>
      <c r="AK76" s="52"/>
      <c r="AL76" s="52"/>
      <c r="AM76" s="52"/>
      <c r="AN76" s="52"/>
      <c r="AO76" s="52"/>
      <c r="AP76" s="52"/>
      <c r="AQ76" s="52"/>
      <c r="AR76" s="52"/>
      <c r="AS76" s="52"/>
      <c r="AT76" s="52"/>
      <c r="AU76" s="52"/>
      <c r="AV76" s="52"/>
      <c r="AW76" s="52"/>
      <c r="AX76" s="52"/>
      <c r="AY76" s="52"/>
      <c r="AZ76" s="52"/>
      <c r="BA76" s="52"/>
      <c r="BB76" s="52"/>
      <c r="BC76" s="52"/>
      <c r="BD76" s="52"/>
      <c r="BE76" s="52"/>
      <c r="BF76" s="52"/>
      <c r="BG76" s="52"/>
      <c r="BH76" s="52"/>
      <c r="BI76" s="52"/>
      <c r="BJ76" s="52"/>
      <c r="BK76" s="52"/>
      <c r="BL76" s="52"/>
      <c r="BM76" s="52"/>
      <c r="BN76" s="52"/>
      <c r="BO76" s="52"/>
      <c r="BP76" s="52"/>
      <c r="BQ76" s="52"/>
      <c r="BR76" s="52"/>
      <c r="BS76" s="52"/>
      <c r="BT76" s="52"/>
      <c r="BU76" s="52"/>
      <c r="BV76" s="52"/>
      <c r="BW76" s="52"/>
      <c r="BX76" s="52"/>
      <c r="BY76" s="52"/>
      <c r="BZ76" s="52"/>
      <c r="CA76" s="52"/>
      <c r="CB76" s="52"/>
      <c r="CC76" s="52"/>
      <c r="CD76" s="52"/>
      <c r="CE76" s="52"/>
      <c r="CF76" s="52"/>
      <c r="CG76" s="52"/>
      <c r="CH76" s="52"/>
      <c r="CI76" s="52"/>
      <c r="CJ76" s="52"/>
      <c r="CK76" s="52"/>
      <c r="CL76" s="52"/>
      <c r="CM76" s="52"/>
      <c r="CN76" s="52"/>
      <c r="CO76" s="52"/>
      <c r="CP76" s="52"/>
      <c r="CR76" s="178" t="s">
        <v>171</v>
      </c>
      <c r="CS76" s="186"/>
      <c r="CT76" s="186"/>
      <c r="CU76" s="186"/>
      <c r="CV76" s="186"/>
      <c r="CW76" s="186"/>
      <c r="CX76" s="186"/>
      <c r="CY76" s="186"/>
      <c r="CZ76" s="186"/>
      <c r="DA76" s="186"/>
      <c r="DB76" s="186"/>
      <c r="DC76" s="186"/>
      <c r="DD76" s="186"/>
      <c r="DE76" s="186"/>
      <c r="DF76" s="186"/>
      <c r="DG76" s="186"/>
      <c r="DH76" s="186"/>
      <c r="DI76" s="186"/>
      <c r="DJ76" s="186"/>
      <c r="DK76" s="186"/>
      <c r="DL76" s="186"/>
      <c r="DM76" s="186"/>
      <c r="DN76" s="186"/>
      <c r="DO76" s="186"/>
      <c r="DP76" s="186"/>
      <c r="DQ76" s="186"/>
      <c r="DR76" s="186"/>
    </row>
    <row r="77" spans="1:122" ht="39.65" customHeight="1" x14ac:dyDescent="0.2">
      <c r="A77" s="92" t="s">
        <v>63</v>
      </c>
      <c r="B77" s="93" t="s">
        <v>55</v>
      </c>
      <c r="C77" s="93" t="s">
        <v>56</v>
      </c>
      <c r="D77" s="93" t="s">
        <v>57</v>
      </c>
      <c r="E77" s="93" t="s">
        <v>58</v>
      </c>
      <c r="F77" s="94" t="s">
        <v>59</v>
      </c>
      <c r="G77" s="94" t="s">
        <v>59</v>
      </c>
      <c r="H77" s="94" t="s">
        <v>59</v>
      </c>
      <c r="I77" s="94" t="s">
        <v>59</v>
      </c>
      <c r="J77" s="94" t="s">
        <v>59</v>
      </c>
      <c r="K77" s="94" t="s">
        <v>59</v>
      </c>
      <c r="L77" s="56" t="s">
        <v>2</v>
      </c>
      <c r="M77" s="56" t="s">
        <v>60</v>
      </c>
      <c r="N77" s="95" t="s">
        <v>61</v>
      </c>
      <c r="O77" s="58"/>
      <c r="P77" s="58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8"/>
      <c r="AG77" s="58"/>
      <c r="AH77" s="58"/>
      <c r="AI77" s="58"/>
      <c r="AJ77" s="58"/>
      <c r="AK77" s="58"/>
      <c r="AL77" s="58"/>
      <c r="AM77" s="58"/>
      <c r="AN77" s="58"/>
      <c r="AO77" s="58"/>
      <c r="AP77" s="58"/>
      <c r="AQ77" s="58"/>
      <c r="AR77" s="58"/>
      <c r="AS77" s="58"/>
      <c r="AT77" s="58"/>
      <c r="AU77" s="58"/>
      <c r="AV77" s="58"/>
      <c r="AW77" s="58"/>
      <c r="AX77" s="58"/>
      <c r="AY77" s="58"/>
      <c r="AZ77" s="58"/>
      <c r="BA77" s="58"/>
      <c r="BB77" s="58"/>
      <c r="BC77" s="58"/>
      <c r="BD77" s="58"/>
      <c r="BE77" s="58"/>
      <c r="BF77" s="58"/>
      <c r="BG77" s="58"/>
      <c r="BH77" s="58"/>
      <c r="BI77" s="58"/>
      <c r="BJ77" s="58"/>
      <c r="BK77" s="58"/>
      <c r="BL77" s="58"/>
      <c r="BM77" s="58"/>
      <c r="BN77" s="58"/>
      <c r="BO77" s="58"/>
      <c r="BP77" s="58"/>
      <c r="BQ77" s="58"/>
      <c r="BR77" s="58"/>
      <c r="BS77" s="58"/>
      <c r="BT77" s="58"/>
      <c r="BU77" s="58"/>
      <c r="BV77" s="58"/>
      <c r="BW77" s="58"/>
      <c r="BX77" s="58"/>
      <c r="BY77" s="58"/>
      <c r="BZ77" s="58"/>
      <c r="CA77" s="58"/>
      <c r="CB77" s="58"/>
      <c r="CC77" s="58"/>
      <c r="CD77" s="58"/>
      <c r="CE77" s="58"/>
      <c r="CF77" s="58"/>
      <c r="CG77" s="58"/>
      <c r="CH77" s="58"/>
      <c r="CI77" s="58"/>
      <c r="CJ77" s="58"/>
      <c r="CK77" s="58"/>
      <c r="CL77" s="58"/>
      <c r="CM77" s="58"/>
      <c r="CN77" s="58"/>
      <c r="CO77" s="58"/>
      <c r="CP77" s="58"/>
    </row>
    <row r="78" spans="1:122" x14ac:dyDescent="0.2">
      <c r="A78" s="59"/>
      <c r="B78" s="60"/>
      <c r="C78" s="60"/>
      <c r="D78" s="60"/>
      <c r="E78" s="61"/>
      <c r="F78" s="114"/>
      <c r="G78" s="114"/>
      <c r="H78" s="114"/>
      <c r="I78" s="114"/>
      <c r="J78" s="114"/>
      <c r="K78" s="114"/>
      <c r="L78" s="68"/>
      <c r="M78" s="63"/>
      <c r="N78" s="61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  <c r="CJ78" s="65"/>
      <c r="CK78" s="65"/>
      <c r="CL78" s="65"/>
      <c r="CM78" s="65"/>
      <c r="CN78" s="65"/>
      <c r="CO78" s="65"/>
      <c r="CP78" s="65"/>
      <c r="CR78" s="179" t="s">
        <v>172</v>
      </c>
    </row>
    <row r="79" spans="1:122" x14ac:dyDescent="0.2">
      <c r="A79" s="59"/>
      <c r="B79" s="66"/>
      <c r="C79" s="66"/>
      <c r="D79" s="66"/>
      <c r="E79" s="59"/>
      <c r="F79" s="59"/>
      <c r="G79" s="59"/>
      <c r="H79" s="59"/>
      <c r="I79" s="59"/>
      <c r="J79" s="59"/>
      <c r="K79" s="59"/>
      <c r="L79" s="68"/>
      <c r="M79" s="63"/>
      <c r="N79" s="59"/>
      <c r="O79" s="69"/>
      <c r="P79" s="70"/>
      <c r="Q79" s="70"/>
      <c r="R79" s="70"/>
      <c r="S79" s="70"/>
      <c r="T79" s="70"/>
      <c r="U79" s="70"/>
      <c r="V79" s="70"/>
      <c r="W79" s="70"/>
      <c r="X79" s="70"/>
      <c r="Y79" s="70"/>
      <c r="Z79" s="70"/>
      <c r="AA79" s="70"/>
      <c r="AB79" s="70"/>
      <c r="AC79" s="70"/>
      <c r="AD79" s="70"/>
      <c r="AE79" s="70"/>
      <c r="AF79" s="70"/>
      <c r="AG79" s="70"/>
      <c r="AH79" s="70"/>
      <c r="AI79" s="70"/>
      <c r="AJ79" s="70"/>
      <c r="AK79" s="70"/>
      <c r="AL79" s="70"/>
      <c r="AM79" s="70"/>
      <c r="AN79" s="70"/>
      <c r="AO79" s="70"/>
      <c r="AP79" s="70"/>
      <c r="AQ79" s="70"/>
      <c r="AR79" s="70"/>
      <c r="AS79" s="70"/>
      <c r="AT79" s="70"/>
      <c r="AU79" s="70"/>
      <c r="AV79" s="70"/>
      <c r="AW79" s="70"/>
      <c r="AX79" s="70"/>
      <c r="AY79" s="70"/>
      <c r="AZ79" s="70"/>
      <c r="BA79" s="70"/>
      <c r="BB79" s="70"/>
      <c r="BC79" s="70"/>
      <c r="BD79" s="70"/>
      <c r="BE79" s="70"/>
      <c r="BF79" s="70"/>
      <c r="BG79" s="70"/>
      <c r="BH79" s="70"/>
      <c r="BI79" s="70"/>
      <c r="BJ79" s="70"/>
      <c r="BK79" s="70"/>
      <c r="BL79" s="70"/>
      <c r="BM79" s="70"/>
      <c r="BN79" s="70"/>
      <c r="BO79" s="70"/>
      <c r="BP79" s="70"/>
      <c r="BQ79" s="70"/>
      <c r="BR79" s="70"/>
      <c r="BS79" s="70"/>
      <c r="BT79" s="70"/>
      <c r="BU79" s="70"/>
      <c r="BV79" s="70"/>
      <c r="BW79" s="70"/>
      <c r="BX79" s="70"/>
      <c r="BY79" s="70"/>
      <c r="BZ79" s="70"/>
      <c r="CA79" s="70"/>
      <c r="CB79" s="70"/>
      <c r="CC79" s="70"/>
      <c r="CD79" s="70"/>
      <c r="CE79" s="70"/>
      <c r="CF79" s="70"/>
      <c r="CG79" s="70"/>
      <c r="CH79" s="70"/>
      <c r="CI79" s="70"/>
      <c r="CJ79" s="70"/>
      <c r="CK79" s="70"/>
      <c r="CL79" s="70"/>
      <c r="CM79" s="70"/>
      <c r="CN79" s="70"/>
      <c r="CO79" s="70"/>
      <c r="CP79" s="70"/>
      <c r="CR79" s="180"/>
    </row>
    <row r="80" spans="1:122" x14ac:dyDescent="0.2">
      <c r="B80" s="66"/>
      <c r="C80" s="66"/>
      <c r="D80" s="66"/>
      <c r="E80" s="59"/>
      <c r="F80" s="59"/>
      <c r="G80" s="59"/>
      <c r="H80" s="59"/>
      <c r="I80" s="59"/>
      <c r="J80" s="59"/>
      <c r="K80" s="59"/>
      <c r="L80" s="68"/>
      <c r="M80" s="63"/>
      <c r="N80" s="59"/>
      <c r="O80" s="69"/>
      <c r="P80" s="70"/>
      <c r="Q80" s="70"/>
      <c r="R80" s="70"/>
      <c r="S80" s="70"/>
      <c r="T80" s="70"/>
      <c r="U80" s="70"/>
      <c r="V80" s="70"/>
      <c r="W80" s="70"/>
      <c r="X80" s="70"/>
      <c r="Y80" s="70"/>
      <c r="Z80" s="70"/>
      <c r="AA80" s="70"/>
      <c r="AB80" s="70"/>
      <c r="AC80" s="70"/>
      <c r="AD80" s="70"/>
      <c r="AE80" s="70"/>
      <c r="AF80" s="70"/>
      <c r="AG80" s="70"/>
      <c r="AH80" s="70"/>
      <c r="AI80" s="70"/>
      <c r="AJ80" s="70"/>
      <c r="AK80" s="70"/>
      <c r="AL80" s="70"/>
      <c r="AM80" s="70"/>
      <c r="AN80" s="70"/>
      <c r="AO80" s="70"/>
      <c r="AP80" s="70"/>
      <c r="AQ80" s="70"/>
      <c r="AR80" s="70"/>
      <c r="AS80" s="70"/>
      <c r="AT80" s="70"/>
      <c r="AU80" s="70"/>
      <c r="AV80" s="70"/>
      <c r="AW80" s="70"/>
      <c r="AX80" s="70"/>
      <c r="AY80" s="70"/>
      <c r="AZ80" s="70"/>
      <c r="BA80" s="70"/>
      <c r="BB80" s="70"/>
      <c r="BC80" s="70"/>
      <c r="BD80" s="70"/>
      <c r="BE80" s="70"/>
      <c r="BF80" s="70"/>
      <c r="BG80" s="70"/>
      <c r="BH80" s="70"/>
      <c r="BI80" s="70"/>
      <c r="BJ80" s="70"/>
      <c r="BK80" s="70"/>
      <c r="BL80" s="70"/>
      <c r="BM80" s="70"/>
      <c r="BN80" s="70"/>
      <c r="BO80" s="70"/>
      <c r="BP80" s="70"/>
      <c r="BQ80" s="70"/>
      <c r="BR80" s="70"/>
      <c r="BS80" s="70"/>
      <c r="BT80" s="70"/>
      <c r="BU80" s="70"/>
      <c r="BV80" s="70"/>
      <c r="BW80" s="70"/>
      <c r="BX80" s="70"/>
      <c r="BY80" s="70"/>
      <c r="BZ80" s="70"/>
      <c r="CA80" s="70"/>
      <c r="CB80" s="70"/>
      <c r="CC80" s="70"/>
      <c r="CD80" s="70"/>
      <c r="CE80" s="70"/>
      <c r="CF80" s="70"/>
      <c r="CG80" s="70"/>
      <c r="CH80" s="70"/>
      <c r="CI80" s="70"/>
      <c r="CJ80" s="70"/>
      <c r="CK80" s="70"/>
      <c r="CL80" s="70"/>
      <c r="CM80" s="70"/>
      <c r="CN80" s="70"/>
      <c r="CO80" s="70"/>
      <c r="CP80" s="70"/>
      <c r="CR80" s="180"/>
    </row>
    <row r="81" spans="1:96" x14ac:dyDescent="0.2">
      <c r="A81" s="59"/>
      <c r="B81" s="66"/>
      <c r="C81" s="66"/>
      <c r="D81" s="66"/>
      <c r="E81" s="59"/>
      <c r="F81" s="59"/>
      <c r="G81" s="59"/>
      <c r="H81" s="59"/>
      <c r="I81" s="59"/>
      <c r="J81" s="59"/>
      <c r="K81" s="59"/>
      <c r="L81" s="68"/>
      <c r="M81" s="63"/>
      <c r="N81" s="59"/>
      <c r="O81" s="69"/>
      <c r="P81" s="70"/>
      <c r="Q81" s="70"/>
      <c r="R81" s="70"/>
      <c r="S81" s="70"/>
      <c r="T81" s="70"/>
      <c r="U81" s="70"/>
      <c r="V81" s="70"/>
      <c r="W81" s="70"/>
      <c r="X81" s="70"/>
      <c r="Y81" s="70"/>
      <c r="Z81" s="70"/>
      <c r="AA81" s="70"/>
      <c r="AB81" s="70"/>
      <c r="AC81" s="70"/>
      <c r="AD81" s="70"/>
      <c r="AE81" s="70"/>
      <c r="AF81" s="70"/>
      <c r="AG81" s="70"/>
      <c r="AH81" s="70"/>
      <c r="AI81" s="70"/>
      <c r="AJ81" s="70"/>
      <c r="AK81" s="70"/>
      <c r="AL81" s="70"/>
      <c r="AM81" s="70"/>
      <c r="AN81" s="70"/>
      <c r="AO81" s="70"/>
      <c r="AP81" s="70"/>
      <c r="AQ81" s="70"/>
      <c r="AR81" s="70"/>
      <c r="AS81" s="70"/>
      <c r="AT81" s="70"/>
      <c r="AU81" s="70"/>
      <c r="AV81" s="70"/>
      <c r="AW81" s="70"/>
      <c r="AX81" s="70"/>
      <c r="AY81" s="70"/>
      <c r="AZ81" s="70"/>
      <c r="BA81" s="70"/>
      <c r="BB81" s="70"/>
      <c r="BC81" s="70"/>
      <c r="BD81" s="70"/>
      <c r="BE81" s="70"/>
      <c r="BF81" s="70"/>
      <c r="BG81" s="70"/>
      <c r="BH81" s="70"/>
      <c r="BI81" s="70"/>
      <c r="BJ81" s="70"/>
      <c r="BK81" s="70"/>
      <c r="BL81" s="70"/>
      <c r="BM81" s="70"/>
      <c r="BN81" s="70"/>
      <c r="BO81" s="70"/>
      <c r="BP81" s="70"/>
      <c r="BQ81" s="70"/>
      <c r="BR81" s="70"/>
      <c r="BS81" s="70"/>
      <c r="BT81" s="70"/>
      <c r="BU81" s="70"/>
      <c r="BV81" s="70"/>
      <c r="BW81" s="70"/>
      <c r="BX81" s="70"/>
      <c r="BY81" s="70"/>
      <c r="BZ81" s="70"/>
      <c r="CA81" s="70"/>
      <c r="CB81" s="70"/>
      <c r="CC81" s="70"/>
      <c r="CD81" s="70"/>
      <c r="CE81" s="70"/>
      <c r="CF81" s="70"/>
      <c r="CG81" s="70"/>
      <c r="CH81" s="70"/>
      <c r="CI81" s="70"/>
      <c r="CJ81" s="70"/>
      <c r="CK81" s="70"/>
      <c r="CL81" s="70"/>
      <c r="CM81" s="70"/>
      <c r="CN81" s="70"/>
      <c r="CO81" s="70"/>
      <c r="CP81" s="70"/>
      <c r="CR81" s="180"/>
    </row>
    <row r="82" spans="1:96" x14ac:dyDescent="0.2">
      <c r="B82" s="66"/>
      <c r="C82" s="66"/>
      <c r="D82" s="66"/>
      <c r="E82" s="59"/>
      <c r="F82" s="59"/>
      <c r="G82" s="59"/>
      <c r="H82" s="59"/>
      <c r="I82" s="59"/>
      <c r="J82" s="59"/>
      <c r="K82" s="59"/>
      <c r="L82" s="68"/>
      <c r="M82" s="63"/>
      <c r="N82" s="59"/>
      <c r="O82" s="69"/>
      <c r="P82" s="70"/>
      <c r="Q82" s="70"/>
      <c r="R82" s="70"/>
      <c r="S82" s="70"/>
      <c r="T82" s="70"/>
      <c r="U82" s="70"/>
      <c r="V82" s="70"/>
      <c r="W82" s="70"/>
      <c r="X82" s="70"/>
      <c r="Y82" s="70"/>
      <c r="Z82" s="70"/>
      <c r="AA82" s="70"/>
      <c r="AB82" s="70"/>
      <c r="AC82" s="70"/>
      <c r="AD82" s="70"/>
      <c r="AE82" s="70"/>
      <c r="AF82" s="70"/>
      <c r="AG82" s="70"/>
      <c r="AH82" s="70"/>
      <c r="AI82" s="70"/>
      <c r="AJ82" s="70"/>
      <c r="AK82" s="70"/>
      <c r="AL82" s="70"/>
      <c r="AM82" s="70"/>
      <c r="AN82" s="70"/>
      <c r="AO82" s="70"/>
      <c r="AP82" s="70"/>
      <c r="AQ82" s="70"/>
      <c r="AR82" s="70"/>
      <c r="AS82" s="70"/>
      <c r="AT82" s="70"/>
      <c r="AU82" s="70"/>
      <c r="AV82" s="70"/>
      <c r="AW82" s="70"/>
      <c r="AX82" s="70"/>
      <c r="AY82" s="70"/>
      <c r="AZ82" s="70"/>
      <c r="BA82" s="70"/>
      <c r="BB82" s="70"/>
      <c r="BC82" s="70"/>
      <c r="BD82" s="70"/>
      <c r="BE82" s="70"/>
      <c r="BF82" s="70"/>
      <c r="BG82" s="70"/>
      <c r="BH82" s="70"/>
      <c r="BI82" s="70"/>
      <c r="BJ82" s="70"/>
      <c r="BK82" s="70"/>
      <c r="BL82" s="70"/>
      <c r="BM82" s="70"/>
      <c r="BN82" s="70"/>
      <c r="BO82" s="70"/>
      <c r="BP82" s="70"/>
      <c r="BQ82" s="70"/>
      <c r="BR82" s="70"/>
      <c r="BS82" s="70"/>
      <c r="BT82" s="70"/>
      <c r="BU82" s="70"/>
      <c r="BV82" s="70"/>
      <c r="BW82" s="70"/>
      <c r="BX82" s="70"/>
      <c r="BY82" s="70"/>
      <c r="BZ82" s="70"/>
      <c r="CA82" s="70"/>
      <c r="CB82" s="70"/>
      <c r="CC82" s="70"/>
      <c r="CD82" s="70"/>
      <c r="CE82" s="70"/>
      <c r="CF82" s="70"/>
      <c r="CG82" s="70"/>
      <c r="CH82" s="70"/>
      <c r="CI82" s="70"/>
      <c r="CJ82" s="70"/>
      <c r="CK82" s="70"/>
      <c r="CL82" s="70"/>
      <c r="CM82" s="70"/>
      <c r="CN82" s="70"/>
      <c r="CO82" s="70"/>
      <c r="CP82" s="70"/>
      <c r="CR82" s="180"/>
    </row>
    <row r="83" spans="1:96" x14ac:dyDescent="0.2">
      <c r="A83" s="59"/>
      <c r="B83" s="66"/>
      <c r="C83" s="66"/>
      <c r="D83" s="66"/>
      <c r="E83" s="59"/>
      <c r="F83" s="59"/>
      <c r="G83" s="59"/>
      <c r="H83" s="59"/>
      <c r="I83" s="59"/>
      <c r="J83" s="59"/>
      <c r="K83" s="59"/>
      <c r="L83" s="68"/>
      <c r="M83" s="63"/>
      <c r="N83" s="59"/>
      <c r="O83" s="69"/>
      <c r="P83" s="70"/>
      <c r="Q83" s="70"/>
      <c r="R83" s="70"/>
      <c r="S83" s="70"/>
      <c r="T83" s="70"/>
      <c r="U83" s="70"/>
      <c r="V83" s="70"/>
      <c r="W83" s="70"/>
      <c r="X83" s="70"/>
      <c r="Y83" s="70"/>
      <c r="Z83" s="70"/>
      <c r="AA83" s="70"/>
      <c r="AB83" s="70"/>
      <c r="AC83" s="70"/>
      <c r="AD83" s="70"/>
      <c r="AE83" s="70"/>
      <c r="AF83" s="70"/>
      <c r="AG83" s="70"/>
      <c r="AH83" s="70"/>
      <c r="AI83" s="70"/>
      <c r="AJ83" s="70"/>
      <c r="AK83" s="70"/>
      <c r="AL83" s="70"/>
      <c r="AM83" s="70"/>
      <c r="AN83" s="70"/>
      <c r="AO83" s="70"/>
      <c r="AP83" s="70"/>
      <c r="AQ83" s="70"/>
      <c r="AR83" s="70"/>
      <c r="AS83" s="70"/>
      <c r="AT83" s="70"/>
      <c r="AU83" s="70"/>
      <c r="AV83" s="70"/>
      <c r="AW83" s="70"/>
      <c r="AX83" s="70"/>
      <c r="AY83" s="70"/>
      <c r="AZ83" s="70"/>
      <c r="BA83" s="70"/>
      <c r="BB83" s="70"/>
      <c r="BC83" s="70"/>
      <c r="BD83" s="70"/>
      <c r="BE83" s="70"/>
      <c r="BF83" s="70"/>
      <c r="BG83" s="70"/>
      <c r="BH83" s="70"/>
      <c r="BI83" s="70"/>
      <c r="BJ83" s="70"/>
      <c r="BK83" s="70"/>
      <c r="BL83" s="70"/>
      <c r="BM83" s="70"/>
      <c r="BN83" s="70"/>
      <c r="BO83" s="70"/>
      <c r="BP83" s="70"/>
      <c r="BQ83" s="70"/>
      <c r="BR83" s="70"/>
      <c r="BS83" s="70"/>
      <c r="BT83" s="70"/>
      <c r="BU83" s="70"/>
      <c r="BV83" s="70"/>
      <c r="BW83" s="70"/>
      <c r="BX83" s="70"/>
      <c r="BY83" s="70"/>
      <c r="BZ83" s="70"/>
      <c r="CA83" s="70"/>
      <c r="CB83" s="70"/>
      <c r="CC83" s="70"/>
      <c r="CD83" s="70"/>
      <c r="CE83" s="70"/>
      <c r="CF83" s="70"/>
      <c r="CG83" s="70"/>
      <c r="CH83" s="70"/>
      <c r="CI83" s="70"/>
      <c r="CJ83" s="70"/>
      <c r="CK83" s="70"/>
      <c r="CL83" s="70"/>
      <c r="CM83" s="70"/>
      <c r="CN83" s="70"/>
      <c r="CO83" s="70"/>
      <c r="CP83" s="70"/>
      <c r="CR83" s="180"/>
    </row>
    <row r="84" spans="1:96" x14ac:dyDescent="0.2">
      <c r="B84" s="66"/>
      <c r="C84" s="66"/>
      <c r="D84" s="66"/>
      <c r="E84" s="59"/>
      <c r="F84" s="59"/>
      <c r="G84" s="59"/>
      <c r="H84" s="59"/>
      <c r="I84" s="59"/>
      <c r="J84" s="59"/>
      <c r="K84" s="59"/>
      <c r="L84" s="68"/>
      <c r="M84" s="63"/>
      <c r="N84" s="59"/>
      <c r="O84" s="69"/>
      <c r="P84" s="70"/>
      <c r="Q84" s="70"/>
      <c r="R84" s="70"/>
      <c r="S84" s="70"/>
      <c r="T84" s="70"/>
      <c r="U84" s="70"/>
      <c r="V84" s="70"/>
      <c r="W84" s="70"/>
      <c r="X84" s="70"/>
      <c r="Y84" s="70"/>
      <c r="Z84" s="70"/>
      <c r="AA84" s="70"/>
      <c r="AB84" s="70"/>
      <c r="AC84" s="70"/>
      <c r="AD84" s="70"/>
      <c r="AE84" s="70"/>
      <c r="AF84" s="70"/>
      <c r="AG84" s="70"/>
      <c r="AH84" s="70"/>
      <c r="AI84" s="70"/>
      <c r="AJ84" s="70"/>
      <c r="AK84" s="70"/>
      <c r="AL84" s="70"/>
      <c r="AM84" s="70"/>
      <c r="AN84" s="70"/>
      <c r="AO84" s="70"/>
      <c r="AP84" s="70"/>
      <c r="AQ84" s="70"/>
      <c r="AR84" s="70"/>
      <c r="AS84" s="70"/>
      <c r="AT84" s="70"/>
      <c r="AU84" s="70"/>
      <c r="AV84" s="70"/>
      <c r="AW84" s="70"/>
      <c r="AX84" s="70"/>
      <c r="AY84" s="70"/>
      <c r="AZ84" s="70"/>
      <c r="BA84" s="70"/>
      <c r="BB84" s="70"/>
      <c r="BC84" s="70"/>
      <c r="BD84" s="70"/>
      <c r="BE84" s="70"/>
      <c r="BF84" s="70"/>
      <c r="BG84" s="70"/>
      <c r="BH84" s="70"/>
      <c r="BI84" s="70"/>
      <c r="BJ84" s="70"/>
      <c r="BK84" s="70"/>
      <c r="BL84" s="70"/>
      <c r="BM84" s="70"/>
      <c r="BN84" s="70"/>
      <c r="BO84" s="70"/>
      <c r="BP84" s="70"/>
      <c r="BQ84" s="70"/>
      <c r="BR84" s="70"/>
      <c r="BS84" s="70"/>
      <c r="BT84" s="70"/>
      <c r="BU84" s="70"/>
      <c r="BV84" s="70"/>
      <c r="BW84" s="70"/>
      <c r="BX84" s="70"/>
      <c r="BY84" s="70"/>
      <c r="BZ84" s="70"/>
      <c r="CA84" s="70"/>
      <c r="CB84" s="70"/>
      <c r="CC84" s="70"/>
      <c r="CD84" s="70"/>
      <c r="CE84" s="70"/>
      <c r="CF84" s="70"/>
      <c r="CG84" s="70"/>
      <c r="CH84" s="70"/>
      <c r="CI84" s="70"/>
      <c r="CJ84" s="70"/>
      <c r="CK84" s="70"/>
      <c r="CL84" s="70"/>
      <c r="CM84" s="70"/>
      <c r="CN84" s="70"/>
      <c r="CO84" s="70"/>
      <c r="CP84" s="70"/>
      <c r="CR84" s="180"/>
    </row>
    <row r="85" spans="1:96" x14ac:dyDescent="0.2">
      <c r="A85" s="59"/>
      <c r="B85" s="66"/>
      <c r="C85" s="66"/>
      <c r="D85" s="66"/>
      <c r="E85" s="59"/>
      <c r="F85" s="59"/>
      <c r="G85" s="59"/>
      <c r="H85" s="59"/>
      <c r="I85" s="59"/>
      <c r="J85" s="59"/>
      <c r="K85" s="59"/>
      <c r="L85" s="68"/>
      <c r="M85" s="63"/>
      <c r="N85" s="59"/>
      <c r="O85" s="69"/>
      <c r="P85" s="70"/>
      <c r="Q85" s="70"/>
      <c r="R85" s="70"/>
      <c r="S85" s="70"/>
      <c r="T85" s="70"/>
      <c r="U85" s="70"/>
      <c r="V85" s="70"/>
      <c r="W85" s="70"/>
      <c r="X85" s="70"/>
      <c r="Y85" s="70"/>
      <c r="Z85" s="70"/>
      <c r="AA85" s="70"/>
      <c r="AB85" s="70"/>
      <c r="AC85" s="70"/>
      <c r="AD85" s="70"/>
      <c r="AE85" s="70"/>
      <c r="AF85" s="70"/>
      <c r="AG85" s="70"/>
      <c r="AH85" s="70"/>
      <c r="AI85" s="70"/>
      <c r="AJ85" s="70"/>
      <c r="AK85" s="70"/>
      <c r="AL85" s="70"/>
      <c r="AM85" s="70"/>
      <c r="AN85" s="70"/>
      <c r="AO85" s="70"/>
      <c r="AP85" s="70"/>
      <c r="AQ85" s="70"/>
      <c r="AR85" s="70"/>
      <c r="AS85" s="70"/>
      <c r="AT85" s="70"/>
      <c r="AU85" s="70"/>
      <c r="AV85" s="70"/>
      <c r="AW85" s="70"/>
      <c r="AX85" s="70"/>
      <c r="AY85" s="70"/>
      <c r="AZ85" s="70"/>
      <c r="BA85" s="70"/>
      <c r="BB85" s="70"/>
      <c r="BC85" s="70"/>
      <c r="BD85" s="70"/>
      <c r="BE85" s="70"/>
      <c r="BF85" s="70"/>
      <c r="BG85" s="70"/>
      <c r="BH85" s="70"/>
      <c r="BI85" s="70"/>
      <c r="BJ85" s="70"/>
      <c r="BK85" s="70"/>
      <c r="BL85" s="70"/>
      <c r="BM85" s="70"/>
      <c r="BN85" s="70"/>
      <c r="BO85" s="70"/>
      <c r="BP85" s="70"/>
      <c r="BQ85" s="70"/>
      <c r="BR85" s="70"/>
      <c r="BS85" s="70"/>
      <c r="BT85" s="70"/>
      <c r="BU85" s="70"/>
      <c r="BV85" s="70"/>
      <c r="BW85" s="70"/>
      <c r="BX85" s="70"/>
      <c r="BY85" s="70"/>
      <c r="BZ85" s="70"/>
      <c r="CA85" s="70"/>
      <c r="CB85" s="70"/>
      <c r="CC85" s="70"/>
      <c r="CD85" s="70"/>
      <c r="CE85" s="70"/>
      <c r="CF85" s="70"/>
      <c r="CG85" s="70"/>
      <c r="CH85" s="70"/>
      <c r="CI85" s="70"/>
      <c r="CJ85" s="70"/>
      <c r="CK85" s="70"/>
      <c r="CL85" s="70"/>
      <c r="CM85" s="70"/>
      <c r="CN85" s="70"/>
      <c r="CO85" s="70"/>
      <c r="CP85" s="70"/>
      <c r="CR85" s="180"/>
    </row>
    <row r="86" spans="1:96" x14ac:dyDescent="0.2">
      <c r="B86" s="66"/>
      <c r="C86" s="66"/>
      <c r="D86" s="66"/>
      <c r="E86" s="59"/>
      <c r="F86" s="59"/>
      <c r="G86" s="59"/>
      <c r="H86" s="59"/>
      <c r="I86" s="59"/>
      <c r="J86" s="59"/>
      <c r="K86" s="59"/>
      <c r="L86" s="68"/>
      <c r="M86" s="63"/>
      <c r="N86" s="59"/>
      <c r="O86" s="69"/>
      <c r="P86" s="70"/>
      <c r="Q86" s="70"/>
      <c r="R86" s="70"/>
      <c r="S86" s="70"/>
      <c r="T86" s="70"/>
      <c r="U86" s="70"/>
      <c r="V86" s="70"/>
      <c r="W86" s="70"/>
      <c r="X86" s="70"/>
      <c r="Y86" s="70"/>
      <c r="Z86" s="70"/>
      <c r="AA86" s="70"/>
      <c r="AB86" s="70"/>
      <c r="AC86" s="70"/>
      <c r="AD86" s="70"/>
      <c r="AE86" s="70"/>
      <c r="AF86" s="70"/>
      <c r="AG86" s="70"/>
      <c r="AH86" s="70"/>
      <c r="AI86" s="70"/>
      <c r="AJ86" s="70"/>
      <c r="AK86" s="70"/>
      <c r="AL86" s="70"/>
      <c r="AM86" s="70"/>
      <c r="AN86" s="70"/>
      <c r="AO86" s="70"/>
      <c r="AP86" s="70"/>
      <c r="AQ86" s="70"/>
      <c r="AR86" s="70"/>
      <c r="AS86" s="70"/>
      <c r="AT86" s="70"/>
      <c r="AU86" s="70"/>
      <c r="AV86" s="70"/>
      <c r="AW86" s="70"/>
      <c r="AX86" s="70"/>
      <c r="AY86" s="70"/>
      <c r="AZ86" s="70"/>
      <c r="BA86" s="70"/>
      <c r="BB86" s="70"/>
      <c r="BC86" s="70"/>
      <c r="BD86" s="70"/>
      <c r="BE86" s="70"/>
      <c r="BF86" s="70"/>
      <c r="BG86" s="70"/>
      <c r="BH86" s="70"/>
      <c r="BI86" s="70"/>
      <c r="BJ86" s="70"/>
      <c r="BK86" s="70"/>
      <c r="BL86" s="70"/>
      <c r="BM86" s="70"/>
      <c r="BN86" s="70"/>
      <c r="BO86" s="70"/>
      <c r="BP86" s="70"/>
      <c r="BQ86" s="70"/>
      <c r="BR86" s="70"/>
      <c r="BS86" s="70"/>
      <c r="BT86" s="70"/>
      <c r="BU86" s="70"/>
      <c r="BV86" s="70"/>
      <c r="BW86" s="70"/>
      <c r="BX86" s="70"/>
      <c r="BY86" s="70"/>
      <c r="BZ86" s="70"/>
      <c r="CA86" s="70"/>
      <c r="CB86" s="70"/>
      <c r="CC86" s="70"/>
      <c r="CD86" s="70"/>
      <c r="CE86" s="70"/>
      <c r="CF86" s="70"/>
      <c r="CG86" s="70"/>
      <c r="CH86" s="70"/>
      <c r="CI86" s="70"/>
      <c r="CJ86" s="70"/>
      <c r="CK86" s="70"/>
      <c r="CL86" s="70"/>
      <c r="CM86" s="70"/>
      <c r="CN86" s="70"/>
      <c r="CO86" s="70"/>
      <c r="CP86" s="70"/>
      <c r="CR86" s="180"/>
    </row>
    <row r="87" spans="1:96" x14ac:dyDescent="0.2">
      <c r="A87" s="59"/>
      <c r="B87" s="66"/>
      <c r="C87" s="66"/>
      <c r="D87" s="66"/>
      <c r="E87" s="59"/>
      <c r="F87" s="59"/>
      <c r="G87" s="59"/>
      <c r="H87" s="59"/>
      <c r="I87" s="59"/>
      <c r="J87" s="59"/>
      <c r="K87" s="59"/>
      <c r="L87" s="68"/>
      <c r="M87" s="63"/>
      <c r="N87" s="59"/>
      <c r="O87" s="69"/>
      <c r="P87" s="70"/>
      <c r="Q87" s="70"/>
      <c r="R87" s="70"/>
      <c r="S87" s="70"/>
      <c r="T87" s="70"/>
      <c r="U87" s="70"/>
      <c r="V87" s="70"/>
      <c r="W87" s="70"/>
      <c r="X87" s="70"/>
      <c r="Y87" s="70"/>
      <c r="Z87" s="70"/>
      <c r="AA87" s="70"/>
      <c r="AB87" s="70"/>
      <c r="AC87" s="70"/>
      <c r="AD87" s="70"/>
      <c r="AE87" s="70"/>
      <c r="AF87" s="70"/>
      <c r="AG87" s="70"/>
      <c r="AH87" s="70"/>
      <c r="AI87" s="70"/>
      <c r="AJ87" s="70"/>
      <c r="AK87" s="70"/>
      <c r="AL87" s="70"/>
      <c r="AM87" s="70"/>
      <c r="AN87" s="70"/>
      <c r="AO87" s="70"/>
      <c r="AP87" s="70"/>
      <c r="AQ87" s="70"/>
      <c r="AR87" s="70"/>
      <c r="AS87" s="70"/>
      <c r="AT87" s="70"/>
      <c r="AU87" s="70"/>
      <c r="AV87" s="70"/>
      <c r="AW87" s="70"/>
      <c r="AX87" s="70"/>
      <c r="AY87" s="70"/>
      <c r="AZ87" s="70"/>
      <c r="BA87" s="70"/>
      <c r="BB87" s="70"/>
      <c r="BC87" s="70"/>
      <c r="BD87" s="70"/>
      <c r="BE87" s="70"/>
      <c r="BF87" s="70"/>
      <c r="BG87" s="70"/>
      <c r="BH87" s="70"/>
      <c r="BI87" s="70"/>
      <c r="BJ87" s="70"/>
      <c r="BK87" s="70"/>
      <c r="BL87" s="70"/>
      <c r="BM87" s="70"/>
      <c r="BN87" s="70"/>
      <c r="BO87" s="70"/>
      <c r="BP87" s="70"/>
      <c r="BQ87" s="70"/>
      <c r="BR87" s="70"/>
      <c r="BS87" s="70"/>
      <c r="BT87" s="70"/>
      <c r="BU87" s="70"/>
      <c r="BV87" s="70"/>
      <c r="BW87" s="70"/>
      <c r="BX87" s="70"/>
      <c r="BY87" s="70"/>
      <c r="BZ87" s="70"/>
      <c r="CA87" s="70"/>
      <c r="CB87" s="70"/>
      <c r="CC87" s="70"/>
      <c r="CD87" s="70"/>
      <c r="CE87" s="70"/>
      <c r="CF87" s="70"/>
      <c r="CG87" s="70"/>
      <c r="CH87" s="70"/>
      <c r="CI87" s="70"/>
      <c r="CJ87" s="70"/>
      <c r="CK87" s="70"/>
      <c r="CL87" s="70"/>
      <c r="CM87" s="70"/>
      <c r="CN87" s="70"/>
      <c r="CO87" s="70"/>
      <c r="CP87" s="70"/>
      <c r="CR87" s="180"/>
    </row>
    <row r="88" spans="1:96" x14ac:dyDescent="0.2">
      <c r="B88" s="66"/>
      <c r="C88" s="66"/>
      <c r="D88" s="66"/>
      <c r="E88" s="59"/>
      <c r="F88" s="59"/>
      <c r="G88" s="59"/>
      <c r="H88" s="59"/>
      <c r="I88" s="59"/>
      <c r="J88" s="59"/>
      <c r="K88" s="59"/>
      <c r="L88" s="68"/>
      <c r="M88" s="63"/>
      <c r="N88" s="59"/>
      <c r="O88" s="69"/>
      <c r="P88" s="70"/>
      <c r="Q88" s="70"/>
      <c r="R88" s="70"/>
      <c r="S88" s="70"/>
      <c r="T88" s="70"/>
      <c r="U88" s="70"/>
      <c r="V88" s="70"/>
      <c r="W88" s="70"/>
      <c r="X88" s="70"/>
      <c r="Y88" s="70"/>
      <c r="Z88" s="70"/>
      <c r="AA88" s="70"/>
      <c r="AB88" s="70"/>
      <c r="AC88" s="70"/>
      <c r="AD88" s="70"/>
      <c r="AE88" s="70"/>
      <c r="AF88" s="70"/>
      <c r="AG88" s="70"/>
      <c r="AH88" s="70"/>
      <c r="AI88" s="70"/>
      <c r="AJ88" s="70"/>
      <c r="AK88" s="70"/>
      <c r="AL88" s="70"/>
      <c r="AM88" s="70"/>
      <c r="AN88" s="70"/>
      <c r="AO88" s="70"/>
      <c r="AP88" s="70"/>
      <c r="AQ88" s="70"/>
      <c r="AR88" s="70"/>
      <c r="AS88" s="70"/>
      <c r="AT88" s="70"/>
      <c r="AU88" s="70"/>
      <c r="AV88" s="70"/>
      <c r="AW88" s="70"/>
      <c r="AX88" s="70"/>
      <c r="AY88" s="70"/>
      <c r="AZ88" s="70"/>
      <c r="BA88" s="70"/>
      <c r="BB88" s="70"/>
      <c r="BC88" s="70"/>
      <c r="BD88" s="70"/>
      <c r="BE88" s="70"/>
      <c r="BF88" s="70"/>
      <c r="BG88" s="70"/>
      <c r="BH88" s="70"/>
      <c r="BI88" s="70"/>
      <c r="BJ88" s="70"/>
      <c r="BK88" s="70"/>
      <c r="BL88" s="70"/>
      <c r="BM88" s="70"/>
      <c r="BN88" s="70"/>
      <c r="BO88" s="70"/>
      <c r="BP88" s="70"/>
      <c r="BQ88" s="70"/>
      <c r="BR88" s="70"/>
      <c r="BS88" s="70"/>
      <c r="BT88" s="70"/>
      <c r="BU88" s="70"/>
      <c r="BV88" s="70"/>
      <c r="BW88" s="70"/>
      <c r="BX88" s="70"/>
      <c r="BY88" s="70"/>
      <c r="BZ88" s="70"/>
      <c r="CA88" s="70"/>
      <c r="CB88" s="70"/>
      <c r="CC88" s="70"/>
      <c r="CD88" s="70"/>
      <c r="CE88" s="70"/>
      <c r="CF88" s="70"/>
      <c r="CG88" s="70"/>
      <c r="CH88" s="70"/>
      <c r="CI88" s="70"/>
      <c r="CJ88" s="70"/>
      <c r="CK88" s="70"/>
      <c r="CL88" s="70"/>
      <c r="CM88" s="70"/>
      <c r="CN88" s="70"/>
      <c r="CO88" s="70"/>
      <c r="CP88" s="70"/>
      <c r="CR88" s="180"/>
    </row>
    <row r="89" spans="1:96" x14ac:dyDescent="0.2">
      <c r="A89" s="59"/>
      <c r="B89" s="66"/>
      <c r="C89" s="66"/>
      <c r="D89" s="66"/>
      <c r="E89" s="59"/>
      <c r="F89" s="59"/>
      <c r="G89" s="59"/>
      <c r="H89" s="59"/>
      <c r="I89" s="59"/>
      <c r="J89" s="59"/>
      <c r="K89" s="59"/>
      <c r="L89" s="68"/>
      <c r="M89" s="63"/>
      <c r="N89" s="59"/>
      <c r="O89" s="69"/>
      <c r="P89" s="70"/>
      <c r="Q89" s="70"/>
      <c r="R89" s="70"/>
      <c r="S89" s="70"/>
      <c r="T89" s="70"/>
      <c r="U89" s="70"/>
      <c r="V89" s="70"/>
      <c r="W89" s="70"/>
      <c r="X89" s="70"/>
      <c r="Y89" s="70"/>
      <c r="Z89" s="70"/>
      <c r="AA89" s="70"/>
      <c r="AB89" s="70"/>
      <c r="AC89" s="70"/>
      <c r="AD89" s="70"/>
      <c r="AE89" s="70"/>
      <c r="AF89" s="70"/>
      <c r="AG89" s="70"/>
      <c r="AH89" s="70"/>
      <c r="AI89" s="70"/>
      <c r="AJ89" s="70"/>
      <c r="AK89" s="70"/>
      <c r="AL89" s="70"/>
      <c r="AM89" s="70"/>
      <c r="AN89" s="70"/>
      <c r="AO89" s="70"/>
      <c r="AP89" s="70"/>
      <c r="AQ89" s="70"/>
      <c r="AR89" s="70"/>
      <c r="AS89" s="70"/>
      <c r="AT89" s="70"/>
      <c r="AU89" s="70"/>
      <c r="AV89" s="70"/>
      <c r="AW89" s="70"/>
      <c r="AX89" s="70"/>
      <c r="AY89" s="70"/>
      <c r="AZ89" s="70"/>
      <c r="BA89" s="70"/>
      <c r="BB89" s="70"/>
      <c r="BC89" s="70"/>
      <c r="BD89" s="70"/>
      <c r="BE89" s="70"/>
      <c r="BF89" s="70"/>
      <c r="BG89" s="70"/>
      <c r="BH89" s="70"/>
      <c r="BI89" s="70"/>
      <c r="BJ89" s="70"/>
      <c r="BK89" s="70"/>
      <c r="BL89" s="70"/>
      <c r="BM89" s="70"/>
      <c r="BN89" s="70"/>
      <c r="BO89" s="70"/>
      <c r="BP89" s="70"/>
      <c r="BQ89" s="70"/>
      <c r="BR89" s="70"/>
      <c r="BS89" s="70"/>
      <c r="BT89" s="70"/>
      <c r="BU89" s="70"/>
      <c r="BV89" s="70"/>
      <c r="BW89" s="70"/>
      <c r="BX89" s="70"/>
      <c r="BY89" s="70"/>
      <c r="BZ89" s="70"/>
      <c r="CA89" s="70"/>
      <c r="CB89" s="70"/>
      <c r="CC89" s="70"/>
      <c r="CD89" s="70"/>
      <c r="CE89" s="70"/>
      <c r="CF89" s="70"/>
      <c r="CG89" s="70"/>
      <c r="CH89" s="70"/>
      <c r="CI89" s="70"/>
      <c r="CJ89" s="70"/>
      <c r="CK89" s="70"/>
      <c r="CL89" s="70"/>
      <c r="CM89" s="70"/>
      <c r="CN89" s="70"/>
      <c r="CO89" s="70"/>
      <c r="CP89" s="70"/>
      <c r="CR89" s="180"/>
    </row>
    <row r="90" spans="1:96" x14ac:dyDescent="0.2">
      <c r="B90" s="66"/>
      <c r="C90" s="66"/>
      <c r="D90" s="66"/>
      <c r="E90" s="59"/>
      <c r="F90" s="59"/>
      <c r="G90" s="59"/>
      <c r="H90" s="59"/>
      <c r="I90" s="59"/>
      <c r="J90" s="59"/>
      <c r="K90" s="59"/>
      <c r="L90" s="68"/>
      <c r="M90" s="63"/>
      <c r="N90" s="59"/>
      <c r="O90" s="69"/>
      <c r="P90" s="70"/>
      <c r="Q90" s="70"/>
      <c r="R90" s="70"/>
      <c r="S90" s="70"/>
      <c r="T90" s="70"/>
      <c r="U90" s="70"/>
      <c r="V90" s="70"/>
      <c r="W90" s="70"/>
      <c r="X90" s="70"/>
      <c r="Y90" s="70"/>
      <c r="Z90" s="70"/>
      <c r="AA90" s="70"/>
      <c r="AB90" s="70"/>
      <c r="AC90" s="70"/>
      <c r="AD90" s="70"/>
      <c r="AE90" s="70"/>
      <c r="AF90" s="70"/>
      <c r="AG90" s="70"/>
      <c r="AH90" s="70"/>
      <c r="AI90" s="70"/>
      <c r="AJ90" s="70"/>
      <c r="AK90" s="70"/>
      <c r="AL90" s="70"/>
      <c r="AM90" s="70"/>
      <c r="AN90" s="70"/>
      <c r="AO90" s="70"/>
      <c r="AP90" s="70"/>
      <c r="AQ90" s="70"/>
      <c r="AR90" s="70"/>
      <c r="AS90" s="70"/>
      <c r="AT90" s="70"/>
      <c r="AU90" s="70"/>
      <c r="AV90" s="70"/>
      <c r="AW90" s="70"/>
      <c r="AX90" s="70"/>
      <c r="AY90" s="70"/>
      <c r="AZ90" s="70"/>
      <c r="BA90" s="70"/>
      <c r="BB90" s="70"/>
      <c r="BC90" s="70"/>
      <c r="BD90" s="70"/>
      <c r="BE90" s="70"/>
      <c r="BF90" s="70"/>
      <c r="BG90" s="70"/>
      <c r="BH90" s="70"/>
      <c r="BI90" s="70"/>
      <c r="BJ90" s="70"/>
      <c r="BK90" s="70"/>
      <c r="BL90" s="70"/>
      <c r="BM90" s="70"/>
      <c r="BN90" s="70"/>
      <c r="BO90" s="70"/>
      <c r="BP90" s="70"/>
      <c r="BQ90" s="70"/>
      <c r="BR90" s="70"/>
      <c r="BS90" s="70"/>
      <c r="BT90" s="70"/>
      <c r="BU90" s="70"/>
      <c r="BV90" s="70"/>
      <c r="BW90" s="70"/>
      <c r="BX90" s="70"/>
      <c r="BY90" s="70"/>
      <c r="BZ90" s="70"/>
      <c r="CA90" s="70"/>
      <c r="CB90" s="70"/>
      <c r="CC90" s="70"/>
      <c r="CD90" s="70"/>
      <c r="CE90" s="70"/>
      <c r="CF90" s="70"/>
      <c r="CG90" s="70"/>
      <c r="CH90" s="70"/>
      <c r="CI90" s="70"/>
      <c r="CJ90" s="70"/>
      <c r="CK90" s="70"/>
      <c r="CL90" s="70"/>
      <c r="CM90" s="70"/>
      <c r="CN90" s="70"/>
      <c r="CO90" s="70"/>
      <c r="CP90" s="70"/>
      <c r="CR90" s="180"/>
    </row>
    <row r="91" spans="1:96" x14ac:dyDescent="0.2">
      <c r="A91" s="59"/>
      <c r="B91" s="66"/>
      <c r="C91" s="66"/>
      <c r="D91" s="66"/>
      <c r="E91" s="59"/>
      <c r="F91" s="59"/>
      <c r="G91" s="59"/>
      <c r="H91" s="59"/>
      <c r="I91" s="59"/>
      <c r="J91" s="59"/>
      <c r="K91" s="59"/>
      <c r="L91" s="68"/>
      <c r="M91" s="63"/>
      <c r="N91" s="59"/>
      <c r="O91" s="69"/>
      <c r="P91" s="70"/>
      <c r="Q91" s="70"/>
      <c r="R91" s="70"/>
      <c r="S91" s="70"/>
      <c r="T91" s="70"/>
      <c r="U91" s="70"/>
      <c r="V91" s="70"/>
      <c r="W91" s="70"/>
      <c r="X91" s="70"/>
      <c r="Y91" s="70"/>
      <c r="Z91" s="70"/>
      <c r="AA91" s="70"/>
      <c r="AB91" s="70"/>
      <c r="AC91" s="70"/>
      <c r="AD91" s="70"/>
      <c r="AE91" s="70"/>
      <c r="AF91" s="70"/>
      <c r="AG91" s="70"/>
      <c r="AH91" s="70"/>
      <c r="AI91" s="70"/>
      <c r="AJ91" s="70"/>
      <c r="AK91" s="70"/>
      <c r="AL91" s="70"/>
      <c r="AM91" s="70"/>
      <c r="AN91" s="70"/>
      <c r="AO91" s="70"/>
      <c r="AP91" s="70"/>
      <c r="AQ91" s="70"/>
      <c r="AR91" s="70"/>
      <c r="AS91" s="70"/>
      <c r="AT91" s="70"/>
      <c r="AU91" s="70"/>
      <c r="AV91" s="70"/>
      <c r="AW91" s="70"/>
      <c r="AX91" s="70"/>
      <c r="AY91" s="70"/>
      <c r="AZ91" s="70"/>
      <c r="BA91" s="70"/>
      <c r="BB91" s="70"/>
      <c r="BC91" s="70"/>
      <c r="BD91" s="70"/>
      <c r="BE91" s="70"/>
      <c r="BF91" s="70"/>
      <c r="BG91" s="70"/>
      <c r="BH91" s="70"/>
      <c r="BI91" s="70"/>
      <c r="BJ91" s="70"/>
      <c r="BK91" s="70"/>
      <c r="BL91" s="70"/>
      <c r="BM91" s="70"/>
      <c r="BN91" s="70"/>
      <c r="BO91" s="70"/>
      <c r="BP91" s="70"/>
      <c r="BQ91" s="70"/>
      <c r="BR91" s="70"/>
      <c r="BS91" s="70"/>
      <c r="BT91" s="70"/>
      <c r="BU91" s="70"/>
      <c r="BV91" s="70"/>
      <c r="BW91" s="70"/>
      <c r="BX91" s="70"/>
      <c r="BY91" s="70"/>
      <c r="BZ91" s="70"/>
      <c r="CA91" s="70"/>
      <c r="CB91" s="70"/>
      <c r="CC91" s="70"/>
      <c r="CD91" s="70"/>
      <c r="CE91" s="70"/>
      <c r="CF91" s="70"/>
      <c r="CG91" s="70"/>
      <c r="CH91" s="70"/>
      <c r="CI91" s="70"/>
      <c r="CJ91" s="70"/>
      <c r="CK91" s="70"/>
      <c r="CL91" s="70"/>
      <c r="CM91" s="70"/>
      <c r="CN91" s="70"/>
      <c r="CO91" s="70"/>
      <c r="CP91" s="70"/>
      <c r="CR91" s="180"/>
    </row>
    <row r="92" spans="1:96" x14ac:dyDescent="0.2">
      <c r="B92" s="66"/>
      <c r="C92" s="66"/>
      <c r="D92" s="66"/>
      <c r="E92" s="59"/>
      <c r="F92" s="59"/>
      <c r="G92" s="59"/>
      <c r="H92" s="59"/>
      <c r="I92" s="59"/>
      <c r="J92" s="59"/>
      <c r="K92" s="59"/>
      <c r="L92" s="68"/>
      <c r="M92" s="63"/>
      <c r="N92" s="59"/>
      <c r="O92" s="69"/>
      <c r="P92" s="70"/>
      <c r="Q92" s="70"/>
      <c r="R92" s="70"/>
      <c r="S92" s="70"/>
      <c r="T92" s="70"/>
      <c r="U92" s="70"/>
      <c r="V92" s="70"/>
      <c r="W92" s="70"/>
      <c r="X92" s="70"/>
      <c r="Y92" s="70"/>
      <c r="Z92" s="70"/>
      <c r="AA92" s="70"/>
      <c r="AB92" s="70"/>
      <c r="AC92" s="70"/>
      <c r="AD92" s="70"/>
      <c r="AE92" s="70"/>
      <c r="AF92" s="70"/>
      <c r="AG92" s="70"/>
      <c r="AH92" s="70"/>
      <c r="AI92" s="70"/>
      <c r="AJ92" s="70"/>
      <c r="AK92" s="70"/>
      <c r="AL92" s="70"/>
      <c r="AM92" s="70"/>
      <c r="AN92" s="70"/>
      <c r="AO92" s="70"/>
      <c r="AP92" s="70"/>
      <c r="AQ92" s="70"/>
      <c r="AR92" s="70"/>
      <c r="AS92" s="70"/>
      <c r="AT92" s="70"/>
      <c r="AU92" s="70"/>
      <c r="AV92" s="70"/>
      <c r="AW92" s="70"/>
      <c r="AX92" s="70"/>
      <c r="AY92" s="70"/>
      <c r="AZ92" s="70"/>
      <c r="BA92" s="70"/>
      <c r="BB92" s="70"/>
      <c r="BC92" s="70"/>
      <c r="BD92" s="70"/>
      <c r="BE92" s="70"/>
      <c r="BF92" s="70"/>
      <c r="BG92" s="70"/>
      <c r="BH92" s="70"/>
      <c r="BI92" s="70"/>
      <c r="BJ92" s="70"/>
      <c r="BK92" s="70"/>
      <c r="BL92" s="70"/>
      <c r="BM92" s="70"/>
      <c r="BN92" s="70"/>
      <c r="BO92" s="70"/>
      <c r="BP92" s="70"/>
      <c r="BQ92" s="70"/>
      <c r="BR92" s="70"/>
      <c r="BS92" s="70"/>
      <c r="BT92" s="70"/>
      <c r="BU92" s="70"/>
      <c r="BV92" s="70"/>
      <c r="BW92" s="70"/>
      <c r="BX92" s="70"/>
      <c r="BY92" s="70"/>
      <c r="BZ92" s="70"/>
      <c r="CA92" s="70"/>
      <c r="CB92" s="70"/>
      <c r="CC92" s="70"/>
      <c r="CD92" s="70"/>
      <c r="CE92" s="70"/>
      <c r="CF92" s="70"/>
      <c r="CG92" s="70"/>
      <c r="CH92" s="70"/>
      <c r="CI92" s="70"/>
      <c r="CJ92" s="70"/>
      <c r="CK92" s="70"/>
      <c r="CL92" s="70"/>
      <c r="CM92" s="70"/>
      <c r="CN92" s="70"/>
      <c r="CO92" s="70"/>
      <c r="CP92" s="70"/>
      <c r="CR92" s="180"/>
    </row>
    <row r="93" spans="1:96" x14ac:dyDescent="0.2">
      <c r="A93" s="59"/>
      <c r="B93" s="66"/>
      <c r="C93" s="66"/>
      <c r="D93" s="66"/>
      <c r="E93" s="59"/>
      <c r="F93" s="59"/>
      <c r="G93" s="59"/>
      <c r="H93" s="59"/>
      <c r="I93" s="59"/>
      <c r="J93" s="59"/>
      <c r="K93" s="59"/>
      <c r="L93" s="68"/>
      <c r="M93" s="63"/>
      <c r="N93" s="59"/>
      <c r="O93" s="69"/>
      <c r="P93" s="70"/>
      <c r="Q93" s="70"/>
      <c r="R93" s="70"/>
      <c r="S93" s="70"/>
      <c r="T93" s="70"/>
      <c r="U93" s="70"/>
      <c r="V93" s="70"/>
      <c r="W93" s="70"/>
      <c r="X93" s="70"/>
      <c r="Y93" s="70"/>
      <c r="Z93" s="70"/>
      <c r="AA93" s="70"/>
      <c r="AB93" s="70"/>
      <c r="AC93" s="70"/>
      <c r="AD93" s="70"/>
      <c r="AE93" s="70"/>
      <c r="AF93" s="70"/>
      <c r="AG93" s="70"/>
      <c r="AH93" s="70"/>
      <c r="AI93" s="70"/>
      <c r="AJ93" s="70"/>
      <c r="AK93" s="70"/>
      <c r="AL93" s="70"/>
      <c r="AM93" s="70"/>
      <c r="AN93" s="70"/>
      <c r="AO93" s="70"/>
      <c r="AP93" s="70"/>
      <c r="AQ93" s="70"/>
      <c r="AR93" s="70"/>
      <c r="AS93" s="70"/>
      <c r="AT93" s="70"/>
      <c r="AU93" s="70"/>
      <c r="AV93" s="70"/>
      <c r="AW93" s="70"/>
      <c r="AX93" s="70"/>
      <c r="AY93" s="70"/>
      <c r="AZ93" s="70"/>
      <c r="BA93" s="70"/>
      <c r="BB93" s="70"/>
      <c r="BC93" s="70"/>
      <c r="BD93" s="70"/>
      <c r="BE93" s="70"/>
      <c r="BF93" s="70"/>
      <c r="BG93" s="70"/>
      <c r="BH93" s="70"/>
      <c r="BI93" s="70"/>
      <c r="BJ93" s="70"/>
      <c r="BK93" s="70"/>
      <c r="BL93" s="70"/>
      <c r="BM93" s="70"/>
      <c r="BN93" s="70"/>
      <c r="BO93" s="70"/>
      <c r="BP93" s="70"/>
      <c r="BQ93" s="70"/>
      <c r="BR93" s="70"/>
      <c r="BS93" s="70"/>
      <c r="BT93" s="70"/>
      <c r="BU93" s="70"/>
      <c r="BV93" s="70"/>
      <c r="BW93" s="70"/>
      <c r="BX93" s="70"/>
      <c r="BY93" s="70"/>
      <c r="BZ93" s="70"/>
      <c r="CA93" s="70"/>
      <c r="CB93" s="70"/>
      <c r="CC93" s="70"/>
      <c r="CD93" s="70"/>
      <c r="CE93" s="70"/>
      <c r="CF93" s="70"/>
      <c r="CG93" s="70"/>
      <c r="CH93" s="70"/>
      <c r="CI93" s="70"/>
      <c r="CJ93" s="70"/>
      <c r="CK93" s="70"/>
      <c r="CL93" s="70"/>
      <c r="CM93" s="70"/>
      <c r="CN93" s="70"/>
      <c r="CO93" s="70"/>
      <c r="CP93" s="70"/>
      <c r="CR93" s="180"/>
    </row>
    <row r="94" spans="1:96" x14ac:dyDescent="0.2">
      <c r="B94" s="66"/>
      <c r="C94" s="66"/>
      <c r="D94" s="66"/>
      <c r="E94" s="59"/>
      <c r="F94" s="59"/>
      <c r="G94" s="59"/>
      <c r="H94" s="59"/>
      <c r="I94" s="59"/>
      <c r="J94" s="59"/>
      <c r="K94" s="59"/>
      <c r="L94" s="68"/>
      <c r="M94" s="63"/>
      <c r="N94" s="59"/>
      <c r="O94" s="69"/>
      <c r="P94" s="70"/>
      <c r="Q94" s="70"/>
      <c r="R94" s="70"/>
      <c r="S94" s="70"/>
      <c r="T94" s="70"/>
      <c r="U94" s="70"/>
      <c r="V94" s="70"/>
      <c r="W94" s="70"/>
      <c r="X94" s="70"/>
      <c r="Y94" s="70"/>
      <c r="Z94" s="70"/>
      <c r="AA94" s="70"/>
      <c r="AB94" s="70"/>
      <c r="AC94" s="70"/>
      <c r="AD94" s="70"/>
      <c r="AE94" s="70"/>
      <c r="AF94" s="70"/>
      <c r="AG94" s="70"/>
      <c r="AH94" s="70"/>
      <c r="AI94" s="70"/>
      <c r="AJ94" s="70"/>
      <c r="AK94" s="70"/>
      <c r="AL94" s="70"/>
      <c r="AM94" s="70"/>
      <c r="AN94" s="70"/>
      <c r="AO94" s="70"/>
      <c r="AP94" s="70"/>
      <c r="AQ94" s="70"/>
      <c r="AR94" s="70"/>
      <c r="AS94" s="70"/>
      <c r="AT94" s="70"/>
      <c r="AU94" s="70"/>
      <c r="AV94" s="70"/>
      <c r="AW94" s="70"/>
      <c r="AX94" s="70"/>
      <c r="AY94" s="70"/>
      <c r="AZ94" s="70"/>
      <c r="BA94" s="70"/>
      <c r="BB94" s="70"/>
      <c r="BC94" s="70"/>
      <c r="BD94" s="70"/>
      <c r="BE94" s="70"/>
      <c r="BF94" s="70"/>
      <c r="BG94" s="70"/>
      <c r="BH94" s="70"/>
      <c r="BI94" s="70"/>
      <c r="BJ94" s="70"/>
      <c r="BK94" s="70"/>
      <c r="BL94" s="70"/>
      <c r="BM94" s="70"/>
      <c r="BN94" s="70"/>
      <c r="BO94" s="70"/>
      <c r="BP94" s="70"/>
      <c r="BQ94" s="70"/>
      <c r="BR94" s="70"/>
      <c r="BS94" s="70"/>
      <c r="BT94" s="70"/>
      <c r="BU94" s="70"/>
      <c r="BV94" s="70"/>
      <c r="BW94" s="70"/>
      <c r="BX94" s="70"/>
      <c r="BY94" s="70"/>
      <c r="BZ94" s="70"/>
      <c r="CA94" s="70"/>
      <c r="CB94" s="70"/>
      <c r="CC94" s="70"/>
      <c r="CD94" s="70"/>
      <c r="CE94" s="70"/>
      <c r="CF94" s="70"/>
      <c r="CG94" s="70"/>
      <c r="CH94" s="70"/>
      <c r="CI94" s="70"/>
      <c r="CJ94" s="70"/>
      <c r="CK94" s="70"/>
      <c r="CL94" s="70"/>
      <c r="CM94" s="70"/>
      <c r="CN94" s="70"/>
      <c r="CO94" s="70"/>
      <c r="CP94" s="70"/>
      <c r="CR94" s="180"/>
    </row>
    <row r="95" spans="1:96" x14ac:dyDescent="0.2">
      <c r="A95" s="59"/>
      <c r="B95" s="66"/>
      <c r="C95" s="66"/>
      <c r="D95" s="66"/>
      <c r="E95" s="59"/>
      <c r="F95" s="59"/>
      <c r="G95" s="59"/>
      <c r="H95" s="59"/>
      <c r="I95" s="59"/>
      <c r="J95" s="59"/>
      <c r="K95" s="59"/>
      <c r="L95" s="68"/>
      <c r="M95" s="63"/>
      <c r="N95" s="59"/>
      <c r="O95" s="69"/>
      <c r="P95" s="70"/>
      <c r="Q95" s="70"/>
      <c r="R95" s="70"/>
      <c r="S95" s="70"/>
      <c r="T95" s="70"/>
      <c r="U95" s="70"/>
      <c r="V95" s="70"/>
      <c r="W95" s="70"/>
      <c r="X95" s="70"/>
      <c r="Y95" s="70"/>
      <c r="Z95" s="70"/>
      <c r="AA95" s="70"/>
      <c r="AB95" s="70"/>
      <c r="AC95" s="70"/>
      <c r="AD95" s="70"/>
      <c r="AE95" s="70"/>
      <c r="AF95" s="70"/>
      <c r="AG95" s="70"/>
      <c r="AH95" s="70"/>
      <c r="AI95" s="70"/>
      <c r="AJ95" s="70"/>
      <c r="AK95" s="70"/>
      <c r="AL95" s="70"/>
      <c r="AM95" s="70"/>
      <c r="AN95" s="70"/>
      <c r="AO95" s="70"/>
      <c r="AP95" s="70"/>
      <c r="AQ95" s="70"/>
      <c r="AR95" s="70"/>
      <c r="AS95" s="70"/>
      <c r="AT95" s="70"/>
      <c r="AU95" s="70"/>
      <c r="AV95" s="70"/>
      <c r="AW95" s="70"/>
      <c r="AX95" s="70"/>
      <c r="AY95" s="70"/>
      <c r="AZ95" s="70"/>
      <c r="BA95" s="70"/>
      <c r="BB95" s="70"/>
      <c r="BC95" s="70"/>
      <c r="BD95" s="70"/>
      <c r="BE95" s="70"/>
      <c r="BF95" s="70"/>
      <c r="BG95" s="70"/>
      <c r="BH95" s="70"/>
      <c r="BI95" s="70"/>
      <c r="BJ95" s="70"/>
      <c r="BK95" s="70"/>
      <c r="BL95" s="70"/>
      <c r="BM95" s="70"/>
      <c r="BN95" s="70"/>
      <c r="BO95" s="70"/>
      <c r="BP95" s="70"/>
      <c r="BQ95" s="70"/>
      <c r="BR95" s="70"/>
      <c r="BS95" s="70"/>
      <c r="BT95" s="70"/>
      <c r="BU95" s="70"/>
      <c r="BV95" s="70"/>
      <c r="BW95" s="70"/>
      <c r="BX95" s="70"/>
      <c r="BY95" s="70"/>
      <c r="BZ95" s="70"/>
      <c r="CA95" s="70"/>
      <c r="CB95" s="70"/>
      <c r="CC95" s="70"/>
      <c r="CD95" s="70"/>
      <c r="CE95" s="70"/>
      <c r="CF95" s="70"/>
      <c r="CG95" s="70"/>
      <c r="CH95" s="70"/>
      <c r="CI95" s="70"/>
      <c r="CJ95" s="70"/>
      <c r="CK95" s="70"/>
      <c r="CL95" s="70"/>
      <c r="CM95" s="70"/>
      <c r="CN95" s="70"/>
      <c r="CO95" s="70"/>
      <c r="CP95" s="70"/>
      <c r="CR95" s="180"/>
    </row>
    <row r="96" spans="1:96" x14ac:dyDescent="0.2">
      <c r="B96" s="66"/>
      <c r="C96" s="66"/>
      <c r="D96" s="66"/>
      <c r="E96" s="59"/>
      <c r="F96" s="59"/>
      <c r="G96" s="59"/>
      <c r="H96" s="59"/>
      <c r="I96" s="59"/>
      <c r="J96" s="59"/>
      <c r="K96" s="59"/>
      <c r="L96" s="68"/>
      <c r="M96" s="63"/>
      <c r="N96" s="59"/>
      <c r="O96" s="69"/>
      <c r="P96" s="70"/>
      <c r="Q96" s="70"/>
      <c r="R96" s="70"/>
      <c r="S96" s="70"/>
      <c r="T96" s="70"/>
      <c r="U96" s="70"/>
      <c r="V96" s="70"/>
      <c r="W96" s="70"/>
      <c r="X96" s="70"/>
      <c r="Y96" s="70"/>
      <c r="Z96" s="70"/>
      <c r="AA96" s="70"/>
      <c r="AB96" s="70"/>
      <c r="AC96" s="70"/>
      <c r="AD96" s="70"/>
      <c r="AE96" s="70"/>
      <c r="AF96" s="70"/>
      <c r="AG96" s="70"/>
      <c r="AH96" s="70"/>
      <c r="AI96" s="70"/>
      <c r="AJ96" s="70"/>
      <c r="AK96" s="70"/>
      <c r="AL96" s="70"/>
      <c r="AM96" s="70"/>
      <c r="AN96" s="70"/>
      <c r="AO96" s="70"/>
      <c r="AP96" s="70"/>
      <c r="AQ96" s="70"/>
      <c r="AR96" s="70"/>
      <c r="AS96" s="70"/>
      <c r="AT96" s="70"/>
      <c r="AU96" s="70"/>
      <c r="AV96" s="70"/>
      <c r="AW96" s="70"/>
      <c r="AX96" s="70"/>
      <c r="AY96" s="70"/>
      <c r="AZ96" s="70"/>
      <c r="BA96" s="70"/>
      <c r="BB96" s="70"/>
      <c r="BC96" s="70"/>
      <c r="BD96" s="70"/>
      <c r="BE96" s="70"/>
      <c r="BF96" s="70"/>
      <c r="BG96" s="70"/>
      <c r="BH96" s="70"/>
      <c r="BI96" s="70"/>
      <c r="BJ96" s="70"/>
      <c r="BK96" s="70"/>
      <c r="BL96" s="70"/>
      <c r="BM96" s="70"/>
      <c r="BN96" s="70"/>
      <c r="BO96" s="70"/>
      <c r="BP96" s="70"/>
      <c r="BQ96" s="70"/>
      <c r="BR96" s="70"/>
      <c r="BS96" s="70"/>
      <c r="BT96" s="70"/>
      <c r="BU96" s="70"/>
      <c r="BV96" s="70"/>
      <c r="BW96" s="70"/>
      <c r="BX96" s="70"/>
      <c r="BY96" s="70"/>
      <c r="BZ96" s="70"/>
      <c r="CA96" s="70"/>
      <c r="CB96" s="70"/>
      <c r="CC96" s="70"/>
      <c r="CD96" s="70"/>
      <c r="CE96" s="70"/>
      <c r="CF96" s="70"/>
      <c r="CG96" s="70"/>
      <c r="CH96" s="70"/>
      <c r="CI96" s="70"/>
      <c r="CJ96" s="70"/>
      <c r="CK96" s="70"/>
      <c r="CL96" s="70"/>
      <c r="CM96" s="70"/>
      <c r="CN96" s="70"/>
      <c r="CO96" s="70"/>
      <c r="CP96" s="70"/>
      <c r="CR96" s="180"/>
    </row>
    <row r="97" spans="1:96" x14ac:dyDescent="0.2">
      <c r="A97" s="59"/>
      <c r="B97" s="66"/>
      <c r="C97" s="66"/>
      <c r="D97" s="66"/>
      <c r="E97" s="59"/>
      <c r="F97" s="59"/>
      <c r="G97" s="59"/>
      <c r="H97" s="59"/>
      <c r="I97" s="59"/>
      <c r="J97" s="59"/>
      <c r="K97" s="59"/>
      <c r="L97" s="68"/>
      <c r="M97" s="63"/>
      <c r="N97" s="59"/>
      <c r="O97" s="69"/>
      <c r="P97" s="70"/>
      <c r="Q97" s="70"/>
      <c r="R97" s="70"/>
      <c r="S97" s="70"/>
      <c r="T97" s="70"/>
      <c r="U97" s="70"/>
      <c r="V97" s="70"/>
      <c r="W97" s="70"/>
      <c r="X97" s="70"/>
      <c r="Y97" s="70"/>
      <c r="Z97" s="70"/>
      <c r="AA97" s="70"/>
      <c r="AB97" s="70"/>
      <c r="AC97" s="70"/>
      <c r="AD97" s="70"/>
      <c r="AE97" s="70"/>
      <c r="AF97" s="70"/>
      <c r="AG97" s="70"/>
      <c r="AH97" s="70"/>
      <c r="AI97" s="70"/>
      <c r="AJ97" s="70"/>
      <c r="AK97" s="70"/>
      <c r="AL97" s="70"/>
      <c r="AM97" s="70"/>
      <c r="AN97" s="70"/>
      <c r="AO97" s="70"/>
      <c r="AP97" s="70"/>
      <c r="AQ97" s="70"/>
      <c r="AR97" s="70"/>
      <c r="AS97" s="70"/>
      <c r="AT97" s="70"/>
      <c r="AU97" s="70"/>
      <c r="AV97" s="70"/>
      <c r="AW97" s="70"/>
      <c r="AX97" s="70"/>
      <c r="AY97" s="70"/>
      <c r="AZ97" s="70"/>
      <c r="BA97" s="70"/>
      <c r="BB97" s="70"/>
      <c r="BC97" s="70"/>
      <c r="BD97" s="70"/>
      <c r="BE97" s="70"/>
      <c r="BF97" s="70"/>
      <c r="BG97" s="70"/>
      <c r="BH97" s="70"/>
      <c r="BI97" s="70"/>
      <c r="BJ97" s="70"/>
      <c r="BK97" s="70"/>
      <c r="BL97" s="70"/>
      <c r="BM97" s="70"/>
      <c r="BN97" s="70"/>
      <c r="BO97" s="70"/>
      <c r="BP97" s="70"/>
      <c r="BQ97" s="70"/>
      <c r="BR97" s="70"/>
      <c r="BS97" s="70"/>
      <c r="BT97" s="70"/>
      <c r="BU97" s="70"/>
      <c r="BV97" s="70"/>
      <c r="BW97" s="70"/>
      <c r="BX97" s="70"/>
      <c r="BY97" s="70"/>
      <c r="BZ97" s="70"/>
      <c r="CA97" s="70"/>
      <c r="CB97" s="70"/>
      <c r="CC97" s="70"/>
      <c r="CD97" s="70"/>
      <c r="CE97" s="70"/>
      <c r="CF97" s="70"/>
      <c r="CG97" s="70"/>
      <c r="CH97" s="70"/>
      <c r="CI97" s="70"/>
      <c r="CJ97" s="70"/>
      <c r="CK97" s="70"/>
      <c r="CL97" s="70"/>
      <c r="CM97" s="70"/>
      <c r="CN97" s="70"/>
      <c r="CO97" s="70"/>
      <c r="CP97" s="70"/>
      <c r="CR97" s="180"/>
    </row>
    <row r="98" spans="1:96" x14ac:dyDescent="0.2">
      <c r="B98" s="66"/>
      <c r="C98" s="66"/>
      <c r="D98" s="66"/>
      <c r="E98" s="59"/>
      <c r="F98" s="59"/>
      <c r="G98" s="59"/>
      <c r="H98" s="59"/>
      <c r="I98" s="59"/>
      <c r="J98" s="59"/>
      <c r="K98" s="59"/>
      <c r="L98" s="68"/>
      <c r="M98" s="63"/>
      <c r="N98" s="59"/>
      <c r="O98" s="69"/>
      <c r="P98" s="70"/>
      <c r="Q98" s="70"/>
      <c r="R98" s="70"/>
      <c r="S98" s="70"/>
      <c r="T98" s="70"/>
      <c r="U98" s="70"/>
      <c r="V98" s="70"/>
      <c r="W98" s="70"/>
      <c r="X98" s="70"/>
      <c r="Y98" s="70"/>
      <c r="Z98" s="70"/>
      <c r="AA98" s="70"/>
      <c r="AB98" s="70"/>
      <c r="AC98" s="70"/>
      <c r="AD98" s="70"/>
      <c r="AE98" s="70"/>
      <c r="AF98" s="70"/>
      <c r="AG98" s="70"/>
      <c r="AH98" s="70"/>
      <c r="AI98" s="70"/>
      <c r="AJ98" s="70"/>
      <c r="AK98" s="70"/>
      <c r="AL98" s="70"/>
      <c r="AM98" s="70"/>
      <c r="AN98" s="70"/>
      <c r="AO98" s="70"/>
      <c r="AP98" s="70"/>
      <c r="AQ98" s="70"/>
      <c r="AR98" s="70"/>
      <c r="AS98" s="70"/>
      <c r="AT98" s="70"/>
      <c r="AU98" s="70"/>
      <c r="AV98" s="70"/>
      <c r="AW98" s="70"/>
      <c r="AX98" s="70"/>
      <c r="AY98" s="70"/>
      <c r="AZ98" s="70"/>
      <c r="BA98" s="70"/>
      <c r="BB98" s="70"/>
      <c r="BC98" s="70"/>
      <c r="BD98" s="70"/>
      <c r="BE98" s="70"/>
      <c r="BF98" s="70"/>
      <c r="BG98" s="70"/>
      <c r="BH98" s="70"/>
      <c r="BI98" s="70"/>
      <c r="BJ98" s="70"/>
      <c r="BK98" s="70"/>
      <c r="BL98" s="70"/>
      <c r="BM98" s="70"/>
      <c r="BN98" s="70"/>
      <c r="BO98" s="70"/>
      <c r="BP98" s="70"/>
      <c r="BQ98" s="70"/>
      <c r="BR98" s="70"/>
      <c r="BS98" s="70"/>
      <c r="BT98" s="70"/>
      <c r="BU98" s="70"/>
      <c r="BV98" s="70"/>
      <c r="BW98" s="70"/>
      <c r="BX98" s="70"/>
      <c r="BY98" s="70"/>
      <c r="BZ98" s="70"/>
      <c r="CA98" s="70"/>
      <c r="CB98" s="70"/>
      <c r="CC98" s="70"/>
      <c r="CD98" s="70"/>
      <c r="CE98" s="70"/>
      <c r="CF98" s="70"/>
      <c r="CG98" s="70"/>
      <c r="CH98" s="70"/>
      <c r="CI98" s="70"/>
      <c r="CJ98" s="70"/>
      <c r="CK98" s="70"/>
      <c r="CL98" s="70"/>
      <c r="CM98" s="70"/>
      <c r="CN98" s="70"/>
      <c r="CO98" s="70"/>
      <c r="CP98" s="70"/>
      <c r="CR98" s="180"/>
    </row>
    <row r="99" spans="1:96" x14ac:dyDescent="0.2">
      <c r="A99" s="59"/>
      <c r="B99" s="66"/>
      <c r="C99" s="66"/>
      <c r="D99" s="66"/>
      <c r="E99" s="59"/>
      <c r="F99" s="59"/>
      <c r="G99" s="59"/>
      <c r="H99" s="59"/>
      <c r="I99" s="59"/>
      <c r="J99" s="59"/>
      <c r="K99" s="59"/>
      <c r="L99" s="68"/>
      <c r="M99" s="63"/>
      <c r="N99" s="59"/>
      <c r="O99" s="69"/>
      <c r="P99" s="70"/>
      <c r="Q99" s="70"/>
      <c r="R99" s="70"/>
      <c r="S99" s="70"/>
      <c r="T99" s="70"/>
      <c r="U99" s="70"/>
      <c r="V99" s="70"/>
      <c r="W99" s="70"/>
      <c r="X99" s="70"/>
      <c r="Y99" s="70"/>
      <c r="Z99" s="70"/>
      <c r="AA99" s="70"/>
      <c r="AB99" s="70"/>
      <c r="AC99" s="70"/>
      <c r="AD99" s="70"/>
      <c r="AE99" s="70"/>
      <c r="AF99" s="70"/>
      <c r="AG99" s="70"/>
      <c r="AH99" s="70"/>
      <c r="AI99" s="70"/>
      <c r="AJ99" s="70"/>
      <c r="AK99" s="70"/>
      <c r="AL99" s="70"/>
      <c r="AM99" s="70"/>
      <c r="AN99" s="70"/>
      <c r="AO99" s="70"/>
      <c r="AP99" s="70"/>
      <c r="AQ99" s="70"/>
      <c r="AR99" s="70"/>
      <c r="AS99" s="70"/>
      <c r="AT99" s="70"/>
      <c r="AU99" s="70"/>
      <c r="AV99" s="70"/>
      <c r="AW99" s="70"/>
      <c r="AX99" s="70"/>
      <c r="AY99" s="70"/>
      <c r="AZ99" s="70"/>
      <c r="BA99" s="70"/>
      <c r="BB99" s="70"/>
      <c r="BC99" s="70"/>
      <c r="BD99" s="70"/>
      <c r="BE99" s="70"/>
      <c r="BF99" s="70"/>
      <c r="BG99" s="70"/>
      <c r="BH99" s="70"/>
      <c r="BI99" s="70"/>
      <c r="BJ99" s="70"/>
      <c r="BK99" s="70"/>
      <c r="BL99" s="70"/>
      <c r="BM99" s="70"/>
      <c r="BN99" s="70"/>
      <c r="BO99" s="70"/>
      <c r="BP99" s="70"/>
      <c r="BQ99" s="70"/>
      <c r="BR99" s="70"/>
      <c r="BS99" s="70"/>
      <c r="BT99" s="70"/>
      <c r="BU99" s="70"/>
      <c r="BV99" s="70"/>
      <c r="BW99" s="70"/>
      <c r="BX99" s="70"/>
      <c r="BY99" s="70"/>
      <c r="BZ99" s="70"/>
      <c r="CA99" s="70"/>
      <c r="CB99" s="70"/>
      <c r="CC99" s="70"/>
      <c r="CD99" s="70"/>
      <c r="CE99" s="70"/>
      <c r="CF99" s="70"/>
      <c r="CG99" s="70"/>
      <c r="CH99" s="70"/>
      <c r="CI99" s="70"/>
      <c r="CJ99" s="70"/>
      <c r="CK99" s="70"/>
      <c r="CL99" s="70"/>
      <c r="CM99" s="70"/>
      <c r="CN99" s="70"/>
      <c r="CO99" s="70"/>
      <c r="CP99" s="70"/>
      <c r="CR99" s="180"/>
    </row>
    <row r="100" spans="1:96" x14ac:dyDescent="0.2">
      <c r="B100" s="66"/>
      <c r="C100" s="66"/>
      <c r="D100" s="66"/>
      <c r="E100" s="59"/>
      <c r="F100" s="59"/>
      <c r="G100" s="59"/>
      <c r="H100" s="59"/>
      <c r="I100" s="59"/>
      <c r="J100" s="59"/>
      <c r="K100" s="59"/>
      <c r="L100" s="68"/>
      <c r="M100" s="63"/>
      <c r="N100" s="59"/>
      <c r="O100" s="69"/>
      <c r="P100" s="70"/>
      <c r="Q100" s="70"/>
      <c r="R100" s="70"/>
      <c r="S100" s="70"/>
      <c r="T100" s="70"/>
      <c r="U100" s="70"/>
      <c r="V100" s="70"/>
      <c r="W100" s="70"/>
      <c r="X100" s="70"/>
      <c r="Y100" s="70"/>
      <c r="Z100" s="70"/>
      <c r="AA100" s="70"/>
      <c r="AB100" s="70"/>
      <c r="AC100" s="70"/>
      <c r="AD100" s="70"/>
      <c r="AE100" s="70"/>
      <c r="AF100" s="70"/>
      <c r="AG100" s="70"/>
      <c r="AH100" s="70"/>
      <c r="AI100" s="70"/>
      <c r="AJ100" s="70"/>
      <c r="AK100" s="70"/>
      <c r="AL100" s="70"/>
      <c r="AM100" s="70"/>
      <c r="AN100" s="70"/>
      <c r="AO100" s="70"/>
      <c r="AP100" s="70"/>
      <c r="AQ100" s="70"/>
      <c r="AR100" s="70"/>
      <c r="AS100" s="70"/>
      <c r="AT100" s="70"/>
      <c r="AU100" s="70"/>
      <c r="AV100" s="70"/>
      <c r="AW100" s="70"/>
      <c r="AX100" s="70"/>
      <c r="AY100" s="70"/>
      <c r="AZ100" s="70"/>
      <c r="BA100" s="70"/>
      <c r="BB100" s="70"/>
      <c r="BC100" s="70"/>
      <c r="BD100" s="70"/>
      <c r="BE100" s="70"/>
      <c r="BF100" s="70"/>
      <c r="BG100" s="70"/>
      <c r="BH100" s="70"/>
      <c r="BI100" s="70"/>
      <c r="BJ100" s="70"/>
      <c r="BK100" s="70"/>
      <c r="BL100" s="70"/>
      <c r="BM100" s="70"/>
      <c r="BN100" s="70"/>
      <c r="BO100" s="70"/>
      <c r="BP100" s="70"/>
      <c r="BQ100" s="70"/>
      <c r="BR100" s="70"/>
      <c r="BS100" s="70"/>
      <c r="BT100" s="70"/>
      <c r="BU100" s="70"/>
      <c r="BV100" s="70"/>
      <c r="BW100" s="70"/>
      <c r="BX100" s="70"/>
      <c r="BY100" s="70"/>
      <c r="BZ100" s="70"/>
      <c r="CA100" s="70"/>
      <c r="CB100" s="70"/>
      <c r="CC100" s="70"/>
      <c r="CD100" s="70"/>
      <c r="CE100" s="70"/>
      <c r="CF100" s="70"/>
      <c r="CG100" s="70"/>
      <c r="CH100" s="70"/>
      <c r="CI100" s="70"/>
      <c r="CJ100" s="70"/>
      <c r="CK100" s="70"/>
      <c r="CL100" s="70"/>
      <c r="CM100" s="70"/>
      <c r="CN100" s="70"/>
      <c r="CO100" s="70"/>
      <c r="CP100" s="70"/>
      <c r="CR100" s="180"/>
    </row>
    <row r="101" spans="1:96" x14ac:dyDescent="0.2">
      <c r="A101" s="59"/>
      <c r="B101" s="66"/>
      <c r="C101" s="66"/>
      <c r="D101" s="66"/>
      <c r="E101" s="59"/>
      <c r="F101" s="59"/>
      <c r="G101" s="59"/>
      <c r="H101" s="59"/>
      <c r="I101" s="59"/>
      <c r="J101" s="59"/>
      <c r="K101" s="59"/>
      <c r="L101" s="68"/>
      <c r="M101" s="63"/>
      <c r="N101" s="59"/>
      <c r="O101" s="69"/>
      <c r="P101" s="70"/>
      <c r="Q101" s="70"/>
      <c r="R101" s="70"/>
      <c r="S101" s="70"/>
      <c r="T101" s="70"/>
      <c r="U101" s="70"/>
      <c r="V101" s="70"/>
      <c r="W101" s="70"/>
      <c r="X101" s="70"/>
      <c r="Y101" s="70"/>
      <c r="Z101" s="70"/>
      <c r="AA101" s="70"/>
      <c r="AB101" s="70"/>
      <c r="AC101" s="70"/>
      <c r="AD101" s="70"/>
      <c r="AE101" s="70"/>
      <c r="AF101" s="70"/>
      <c r="AG101" s="70"/>
      <c r="AH101" s="70"/>
      <c r="AI101" s="70"/>
      <c r="AJ101" s="70"/>
      <c r="AK101" s="70"/>
      <c r="AL101" s="70"/>
      <c r="AM101" s="70"/>
      <c r="AN101" s="70"/>
      <c r="AO101" s="70"/>
      <c r="AP101" s="70"/>
      <c r="AQ101" s="70"/>
      <c r="AR101" s="70"/>
      <c r="AS101" s="70"/>
      <c r="AT101" s="70"/>
      <c r="AU101" s="70"/>
      <c r="AV101" s="70"/>
      <c r="AW101" s="70"/>
      <c r="AX101" s="70"/>
      <c r="AY101" s="70"/>
      <c r="AZ101" s="70"/>
      <c r="BA101" s="70"/>
      <c r="BB101" s="70"/>
      <c r="BC101" s="70"/>
      <c r="BD101" s="70"/>
      <c r="BE101" s="70"/>
      <c r="BF101" s="70"/>
      <c r="BG101" s="70"/>
      <c r="BH101" s="70"/>
      <c r="BI101" s="70"/>
      <c r="BJ101" s="70"/>
      <c r="BK101" s="70"/>
      <c r="BL101" s="70"/>
      <c r="BM101" s="70"/>
      <c r="BN101" s="70"/>
      <c r="BO101" s="70"/>
      <c r="BP101" s="70"/>
      <c r="BQ101" s="70"/>
      <c r="BR101" s="70"/>
      <c r="BS101" s="70"/>
      <c r="BT101" s="70"/>
      <c r="BU101" s="70"/>
      <c r="BV101" s="70"/>
      <c r="BW101" s="70"/>
      <c r="BX101" s="70"/>
      <c r="BY101" s="70"/>
      <c r="BZ101" s="70"/>
      <c r="CA101" s="70"/>
      <c r="CB101" s="70"/>
      <c r="CC101" s="70"/>
      <c r="CD101" s="70"/>
      <c r="CE101" s="70"/>
      <c r="CF101" s="70"/>
      <c r="CG101" s="70"/>
      <c r="CH101" s="70"/>
      <c r="CI101" s="70"/>
      <c r="CJ101" s="70"/>
      <c r="CK101" s="70"/>
      <c r="CL101" s="70"/>
      <c r="CM101" s="70"/>
      <c r="CN101" s="70"/>
      <c r="CO101" s="70"/>
      <c r="CP101" s="70"/>
      <c r="CR101" s="180"/>
    </row>
    <row r="102" spans="1:96" x14ac:dyDescent="0.2">
      <c r="B102" s="66"/>
      <c r="C102" s="66"/>
      <c r="D102" s="66"/>
      <c r="E102" s="59"/>
      <c r="F102" s="59"/>
      <c r="G102" s="59"/>
      <c r="H102" s="59"/>
      <c r="I102" s="59"/>
      <c r="J102" s="59"/>
      <c r="K102" s="59"/>
      <c r="L102" s="68"/>
      <c r="M102" s="63"/>
      <c r="N102" s="59"/>
      <c r="O102" s="69"/>
      <c r="P102" s="70"/>
      <c r="Q102" s="70"/>
      <c r="R102" s="70"/>
      <c r="S102" s="70"/>
      <c r="T102" s="70"/>
      <c r="U102" s="70"/>
      <c r="V102" s="70"/>
      <c r="W102" s="70"/>
      <c r="X102" s="70"/>
      <c r="Y102" s="70"/>
      <c r="Z102" s="70"/>
      <c r="AA102" s="70"/>
      <c r="AB102" s="70"/>
      <c r="AC102" s="70"/>
      <c r="AD102" s="70"/>
      <c r="AE102" s="70"/>
      <c r="AF102" s="70"/>
      <c r="AG102" s="70"/>
      <c r="AH102" s="70"/>
      <c r="AI102" s="70"/>
      <c r="AJ102" s="70"/>
      <c r="AK102" s="70"/>
      <c r="AL102" s="70"/>
      <c r="AM102" s="70"/>
      <c r="AN102" s="70"/>
      <c r="AO102" s="70"/>
      <c r="AP102" s="70"/>
      <c r="AQ102" s="70"/>
      <c r="AR102" s="70"/>
      <c r="AS102" s="70"/>
      <c r="AT102" s="70"/>
      <c r="AU102" s="70"/>
      <c r="AV102" s="70"/>
      <c r="AW102" s="70"/>
      <c r="AX102" s="70"/>
      <c r="AY102" s="70"/>
      <c r="AZ102" s="70"/>
      <c r="BA102" s="70"/>
      <c r="BB102" s="70"/>
      <c r="BC102" s="70"/>
      <c r="BD102" s="70"/>
      <c r="BE102" s="70"/>
      <c r="BF102" s="70"/>
      <c r="BG102" s="70"/>
      <c r="BH102" s="70"/>
      <c r="BI102" s="70"/>
      <c r="BJ102" s="70"/>
      <c r="BK102" s="70"/>
      <c r="BL102" s="70"/>
      <c r="BM102" s="70"/>
      <c r="BN102" s="70"/>
      <c r="BO102" s="70"/>
      <c r="BP102" s="70"/>
      <c r="BQ102" s="70"/>
      <c r="BR102" s="70"/>
      <c r="BS102" s="70"/>
      <c r="BT102" s="70"/>
      <c r="BU102" s="70"/>
      <c r="BV102" s="70"/>
      <c r="BW102" s="70"/>
      <c r="BX102" s="70"/>
      <c r="BY102" s="70"/>
      <c r="BZ102" s="70"/>
      <c r="CA102" s="70"/>
      <c r="CB102" s="70"/>
      <c r="CC102" s="70"/>
      <c r="CD102" s="70"/>
      <c r="CE102" s="70"/>
      <c r="CF102" s="70"/>
      <c r="CG102" s="70"/>
      <c r="CH102" s="70"/>
      <c r="CI102" s="70"/>
      <c r="CJ102" s="70"/>
      <c r="CK102" s="70"/>
      <c r="CL102" s="70"/>
      <c r="CM102" s="70"/>
      <c r="CN102" s="70"/>
      <c r="CO102" s="70"/>
      <c r="CP102" s="70"/>
      <c r="CR102" s="180"/>
    </row>
    <row r="103" spans="1:96" x14ac:dyDescent="0.2">
      <c r="A103" s="59"/>
      <c r="B103" s="66"/>
      <c r="C103" s="66"/>
      <c r="D103" s="66"/>
      <c r="E103" s="59"/>
      <c r="F103" s="59"/>
      <c r="G103" s="59"/>
      <c r="H103" s="59"/>
      <c r="I103" s="59"/>
      <c r="J103" s="59"/>
      <c r="K103" s="59"/>
      <c r="L103" s="68"/>
      <c r="M103" s="63"/>
      <c r="N103" s="59"/>
      <c r="O103" s="69"/>
      <c r="P103" s="70"/>
      <c r="Q103" s="70"/>
      <c r="R103" s="70"/>
      <c r="S103" s="70"/>
      <c r="T103" s="70"/>
      <c r="U103" s="70"/>
      <c r="V103" s="70"/>
      <c r="W103" s="70"/>
      <c r="X103" s="70"/>
      <c r="Y103" s="70"/>
      <c r="Z103" s="70"/>
      <c r="AA103" s="70"/>
      <c r="AB103" s="70"/>
      <c r="AC103" s="70"/>
      <c r="AD103" s="70"/>
      <c r="AE103" s="70"/>
      <c r="AF103" s="70"/>
      <c r="AG103" s="70"/>
      <c r="AH103" s="70"/>
      <c r="AI103" s="70"/>
      <c r="AJ103" s="70"/>
      <c r="AK103" s="70"/>
      <c r="AL103" s="70"/>
      <c r="AM103" s="70"/>
      <c r="AN103" s="70"/>
      <c r="AO103" s="70"/>
      <c r="AP103" s="70"/>
      <c r="AQ103" s="70"/>
      <c r="AR103" s="70"/>
      <c r="AS103" s="70"/>
      <c r="AT103" s="70"/>
      <c r="AU103" s="70"/>
      <c r="AV103" s="70"/>
      <c r="AW103" s="70"/>
      <c r="AX103" s="70"/>
      <c r="AY103" s="70"/>
      <c r="AZ103" s="70"/>
      <c r="BA103" s="70"/>
      <c r="BB103" s="70"/>
      <c r="BC103" s="70"/>
      <c r="BD103" s="70"/>
      <c r="BE103" s="70"/>
      <c r="BF103" s="70"/>
      <c r="BG103" s="70"/>
      <c r="BH103" s="70"/>
      <c r="BI103" s="70"/>
      <c r="BJ103" s="70"/>
      <c r="BK103" s="70"/>
      <c r="BL103" s="70"/>
      <c r="BM103" s="70"/>
      <c r="BN103" s="70"/>
      <c r="BO103" s="70"/>
      <c r="BP103" s="70"/>
      <c r="BQ103" s="70"/>
      <c r="BR103" s="70"/>
      <c r="BS103" s="70"/>
      <c r="BT103" s="70"/>
      <c r="BU103" s="70"/>
      <c r="BV103" s="70"/>
      <c r="BW103" s="70"/>
      <c r="BX103" s="70"/>
      <c r="BY103" s="70"/>
      <c r="BZ103" s="70"/>
      <c r="CA103" s="70"/>
      <c r="CB103" s="70"/>
      <c r="CC103" s="70"/>
      <c r="CD103" s="70"/>
      <c r="CE103" s="70"/>
      <c r="CF103" s="70"/>
      <c r="CG103" s="70"/>
      <c r="CH103" s="70"/>
      <c r="CI103" s="70"/>
      <c r="CJ103" s="70"/>
      <c r="CK103" s="70"/>
      <c r="CL103" s="70"/>
      <c r="CM103" s="70"/>
      <c r="CN103" s="70"/>
      <c r="CO103" s="70"/>
      <c r="CP103" s="70"/>
      <c r="CR103" s="180"/>
    </row>
    <row r="104" spans="1:96" x14ac:dyDescent="0.2">
      <c r="B104" s="66"/>
      <c r="C104" s="66"/>
      <c r="D104" s="66"/>
      <c r="E104" s="59"/>
      <c r="F104" s="59"/>
      <c r="G104" s="59"/>
      <c r="H104" s="59"/>
      <c r="I104" s="59"/>
      <c r="J104" s="59"/>
      <c r="K104" s="59"/>
      <c r="L104" s="68"/>
      <c r="M104" s="63"/>
      <c r="N104" s="59"/>
      <c r="O104" s="69"/>
      <c r="P104" s="70"/>
      <c r="Q104" s="70"/>
      <c r="R104" s="70"/>
      <c r="S104" s="70"/>
      <c r="T104" s="70"/>
      <c r="U104" s="70"/>
      <c r="V104" s="70"/>
      <c r="W104" s="70"/>
      <c r="X104" s="70"/>
      <c r="Y104" s="70"/>
      <c r="Z104" s="70"/>
      <c r="AA104" s="70"/>
      <c r="AB104" s="70"/>
      <c r="AC104" s="70"/>
      <c r="AD104" s="70"/>
      <c r="AE104" s="70"/>
      <c r="AF104" s="70"/>
      <c r="AG104" s="70"/>
      <c r="AH104" s="70"/>
      <c r="AI104" s="70"/>
      <c r="AJ104" s="70"/>
      <c r="AK104" s="70"/>
      <c r="AL104" s="70"/>
      <c r="AM104" s="70"/>
      <c r="AN104" s="70"/>
      <c r="AO104" s="70"/>
      <c r="AP104" s="70"/>
      <c r="AQ104" s="70"/>
      <c r="AR104" s="70"/>
      <c r="AS104" s="70"/>
      <c r="AT104" s="70"/>
      <c r="AU104" s="70"/>
      <c r="AV104" s="70"/>
      <c r="AW104" s="70"/>
      <c r="AX104" s="70"/>
      <c r="AY104" s="70"/>
      <c r="AZ104" s="70"/>
      <c r="BA104" s="70"/>
      <c r="BB104" s="70"/>
      <c r="BC104" s="70"/>
      <c r="BD104" s="70"/>
      <c r="BE104" s="70"/>
      <c r="BF104" s="70"/>
      <c r="BG104" s="70"/>
      <c r="BH104" s="70"/>
      <c r="BI104" s="70"/>
      <c r="BJ104" s="70"/>
      <c r="BK104" s="70"/>
      <c r="BL104" s="70"/>
      <c r="BM104" s="70"/>
      <c r="BN104" s="70"/>
      <c r="BO104" s="70"/>
      <c r="BP104" s="70"/>
      <c r="BQ104" s="70"/>
      <c r="BR104" s="70"/>
      <c r="BS104" s="70"/>
      <c r="BT104" s="70"/>
      <c r="BU104" s="70"/>
      <c r="BV104" s="70"/>
      <c r="BW104" s="70"/>
      <c r="BX104" s="70"/>
      <c r="BY104" s="70"/>
      <c r="BZ104" s="70"/>
      <c r="CA104" s="70"/>
      <c r="CB104" s="70"/>
      <c r="CC104" s="70"/>
      <c r="CD104" s="70"/>
      <c r="CE104" s="70"/>
      <c r="CF104" s="70"/>
      <c r="CG104" s="70"/>
      <c r="CH104" s="70"/>
      <c r="CI104" s="70"/>
      <c r="CJ104" s="70"/>
      <c r="CK104" s="70"/>
      <c r="CL104" s="70"/>
      <c r="CM104" s="70"/>
      <c r="CN104" s="70"/>
      <c r="CO104" s="70"/>
      <c r="CP104" s="70"/>
      <c r="CR104" s="180"/>
    </row>
    <row r="105" spans="1:96" x14ac:dyDescent="0.2">
      <c r="A105" s="59"/>
      <c r="B105" s="66"/>
      <c r="C105" s="66"/>
      <c r="D105" s="66"/>
      <c r="E105" s="59"/>
      <c r="F105" s="59"/>
      <c r="G105" s="59"/>
      <c r="H105" s="59"/>
      <c r="I105" s="59"/>
      <c r="J105" s="59"/>
      <c r="K105" s="59"/>
      <c r="L105" s="68"/>
      <c r="M105" s="63"/>
      <c r="N105" s="59"/>
      <c r="O105" s="69"/>
      <c r="P105" s="70"/>
      <c r="Q105" s="70"/>
      <c r="R105" s="70"/>
      <c r="S105" s="70"/>
      <c r="T105" s="70"/>
      <c r="U105" s="70"/>
      <c r="V105" s="70"/>
      <c r="W105" s="70"/>
      <c r="X105" s="70"/>
      <c r="Y105" s="70"/>
      <c r="Z105" s="70"/>
      <c r="AA105" s="70"/>
      <c r="AB105" s="70"/>
      <c r="AC105" s="70"/>
      <c r="AD105" s="70"/>
      <c r="AE105" s="70"/>
      <c r="AF105" s="70"/>
      <c r="AG105" s="70"/>
      <c r="AH105" s="70"/>
      <c r="AI105" s="70"/>
      <c r="AJ105" s="70"/>
      <c r="AK105" s="70"/>
      <c r="AL105" s="70"/>
      <c r="AM105" s="70"/>
      <c r="AN105" s="70"/>
      <c r="AO105" s="70"/>
      <c r="AP105" s="70"/>
      <c r="AQ105" s="70"/>
      <c r="AR105" s="70"/>
      <c r="AS105" s="70"/>
      <c r="AT105" s="70"/>
      <c r="AU105" s="70"/>
      <c r="AV105" s="70"/>
      <c r="AW105" s="70"/>
      <c r="AX105" s="70"/>
      <c r="AY105" s="70"/>
      <c r="AZ105" s="70"/>
      <c r="BA105" s="70"/>
      <c r="BB105" s="70"/>
      <c r="BC105" s="70"/>
      <c r="BD105" s="70"/>
      <c r="BE105" s="70"/>
      <c r="BF105" s="70"/>
      <c r="BG105" s="70"/>
      <c r="BH105" s="70"/>
      <c r="BI105" s="70"/>
      <c r="BJ105" s="70"/>
      <c r="BK105" s="70"/>
      <c r="BL105" s="70"/>
      <c r="BM105" s="70"/>
      <c r="BN105" s="70"/>
      <c r="BO105" s="70"/>
      <c r="BP105" s="70"/>
      <c r="BQ105" s="70"/>
      <c r="BR105" s="70"/>
      <c r="BS105" s="70"/>
      <c r="BT105" s="70"/>
      <c r="BU105" s="70"/>
      <c r="BV105" s="70"/>
      <c r="BW105" s="70"/>
      <c r="BX105" s="70"/>
      <c r="BY105" s="70"/>
      <c r="BZ105" s="70"/>
      <c r="CA105" s="70"/>
      <c r="CB105" s="70"/>
      <c r="CC105" s="70"/>
      <c r="CD105" s="70"/>
      <c r="CE105" s="70"/>
      <c r="CF105" s="70"/>
      <c r="CG105" s="70"/>
      <c r="CH105" s="70"/>
      <c r="CI105" s="70"/>
      <c r="CJ105" s="70"/>
      <c r="CK105" s="70"/>
      <c r="CL105" s="70"/>
      <c r="CM105" s="70"/>
      <c r="CN105" s="70"/>
      <c r="CO105" s="70"/>
      <c r="CP105" s="70"/>
      <c r="CR105" s="180"/>
    </row>
    <row r="106" spans="1:96" x14ac:dyDescent="0.2">
      <c r="B106" s="66"/>
      <c r="C106" s="66"/>
      <c r="D106" s="66"/>
      <c r="E106" s="59"/>
      <c r="F106" s="59"/>
      <c r="G106" s="59"/>
      <c r="H106" s="59"/>
      <c r="I106" s="59"/>
      <c r="J106" s="59"/>
      <c r="K106" s="59"/>
      <c r="L106" s="68"/>
      <c r="M106" s="63"/>
      <c r="N106" s="59"/>
      <c r="O106" s="69"/>
      <c r="P106" s="70"/>
      <c r="Q106" s="70"/>
      <c r="R106" s="70"/>
      <c r="S106" s="70"/>
      <c r="T106" s="70"/>
      <c r="U106" s="70"/>
      <c r="V106" s="70"/>
      <c r="W106" s="70"/>
      <c r="X106" s="70"/>
      <c r="Y106" s="70"/>
      <c r="Z106" s="70"/>
      <c r="AA106" s="70"/>
      <c r="AB106" s="70"/>
      <c r="AC106" s="70"/>
      <c r="AD106" s="70"/>
      <c r="AE106" s="70"/>
      <c r="AF106" s="70"/>
      <c r="AG106" s="70"/>
      <c r="AH106" s="70"/>
      <c r="AI106" s="70"/>
      <c r="AJ106" s="70"/>
      <c r="AK106" s="70"/>
      <c r="AL106" s="70"/>
      <c r="AM106" s="70"/>
      <c r="AN106" s="70"/>
      <c r="AO106" s="70"/>
      <c r="AP106" s="70"/>
      <c r="AQ106" s="70"/>
      <c r="AR106" s="70"/>
      <c r="AS106" s="70"/>
      <c r="AT106" s="70"/>
      <c r="AU106" s="70"/>
      <c r="AV106" s="70"/>
      <c r="AW106" s="70"/>
      <c r="AX106" s="70"/>
      <c r="AY106" s="70"/>
      <c r="AZ106" s="70"/>
      <c r="BA106" s="70"/>
      <c r="BB106" s="70"/>
      <c r="BC106" s="70"/>
      <c r="BD106" s="70"/>
      <c r="BE106" s="70"/>
      <c r="BF106" s="70"/>
      <c r="BG106" s="70"/>
      <c r="BH106" s="70"/>
      <c r="BI106" s="70"/>
      <c r="BJ106" s="70"/>
      <c r="BK106" s="70"/>
      <c r="BL106" s="70"/>
      <c r="BM106" s="70"/>
      <c r="BN106" s="70"/>
      <c r="BO106" s="70"/>
      <c r="BP106" s="70"/>
      <c r="BQ106" s="70"/>
      <c r="BR106" s="70"/>
      <c r="BS106" s="70"/>
      <c r="BT106" s="70"/>
      <c r="BU106" s="70"/>
      <c r="BV106" s="70"/>
      <c r="BW106" s="70"/>
      <c r="BX106" s="70"/>
      <c r="BY106" s="70"/>
      <c r="BZ106" s="70"/>
      <c r="CA106" s="70"/>
      <c r="CB106" s="70"/>
      <c r="CC106" s="70"/>
      <c r="CD106" s="70"/>
      <c r="CE106" s="70"/>
      <c r="CF106" s="70"/>
      <c r="CG106" s="70"/>
      <c r="CH106" s="70"/>
      <c r="CI106" s="70"/>
      <c r="CJ106" s="70"/>
      <c r="CK106" s="70"/>
      <c r="CL106" s="70"/>
      <c r="CM106" s="70"/>
      <c r="CN106" s="70"/>
      <c r="CO106" s="70"/>
      <c r="CP106" s="70"/>
      <c r="CR106" s="180"/>
    </row>
    <row r="107" spans="1:96" x14ac:dyDescent="0.2">
      <c r="A107" s="59"/>
      <c r="B107" s="66"/>
      <c r="C107" s="66"/>
      <c r="D107" s="66"/>
      <c r="E107" s="59"/>
      <c r="F107" s="59"/>
      <c r="G107" s="59"/>
      <c r="H107" s="59"/>
      <c r="I107" s="59"/>
      <c r="J107" s="59"/>
      <c r="K107" s="59"/>
      <c r="L107" s="68"/>
      <c r="M107" s="63"/>
      <c r="N107" s="59"/>
      <c r="O107" s="69"/>
      <c r="P107" s="70"/>
      <c r="Q107" s="70"/>
      <c r="R107" s="70"/>
      <c r="S107" s="70"/>
      <c r="T107" s="70"/>
      <c r="U107" s="70"/>
      <c r="V107" s="70"/>
      <c r="W107" s="70"/>
      <c r="X107" s="70"/>
      <c r="Y107" s="70"/>
      <c r="Z107" s="70"/>
      <c r="AA107" s="70"/>
      <c r="AB107" s="70"/>
      <c r="AC107" s="70"/>
      <c r="AD107" s="70"/>
      <c r="AE107" s="70"/>
      <c r="AF107" s="70"/>
      <c r="AG107" s="70"/>
      <c r="AH107" s="70"/>
      <c r="AI107" s="70"/>
      <c r="AJ107" s="70"/>
      <c r="AK107" s="70"/>
      <c r="AL107" s="70"/>
      <c r="AM107" s="70"/>
      <c r="AN107" s="70"/>
      <c r="AO107" s="70"/>
      <c r="AP107" s="70"/>
      <c r="AQ107" s="70"/>
      <c r="AR107" s="70"/>
      <c r="AS107" s="70"/>
      <c r="AT107" s="70"/>
      <c r="AU107" s="70"/>
      <c r="AV107" s="70"/>
      <c r="AW107" s="70"/>
      <c r="AX107" s="70"/>
      <c r="AY107" s="70"/>
      <c r="AZ107" s="70"/>
      <c r="BA107" s="70"/>
      <c r="BB107" s="70"/>
      <c r="BC107" s="70"/>
      <c r="BD107" s="70"/>
      <c r="BE107" s="70"/>
      <c r="BF107" s="70"/>
      <c r="BG107" s="70"/>
      <c r="BH107" s="70"/>
      <c r="BI107" s="70"/>
      <c r="BJ107" s="70"/>
      <c r="BK107" s="70"/>
      <c r="BL107" s="70"/>
      <c r="BM107" s="70"/>
      <c r="BN107" s="70"/>
      <c r="BO107" s="70"/>
      <c r="BP107" s="70"/>
      <c r="BQ107" s="70"/>
      <c r="BR107" s="70"/>
      <c r="BS107" s="70"/>
      <c r="BT107" s="70"/>
      <c r="BU107" s="70"/>
      <c r="BV107" s="70"/>
      <c r="BW107" s="70"/>
      <c r="BX107" s="70"/>
      <c r="BY107" s="70"/>
      <c r="BZ107" s="70"/>
      <c r="CA107" s="70"/>
      <c r="CB107" s="70"/>
      <c r="CC107" s="70"/>
      <c r="CD107" s="70"/>
      <c r="CE107" s="70"/>
      <c r="CF107" s="70"/>
      <c r="CG107" s="70"/>
      <c r="CH107" s="70"/>
      <c r="CI107" s="70"/>
      <c r="CJ107" s="70"/>
      <c r="CK107" s="70"/>
      <c r="CL107" s="70"/>
      <c r="CM107" s="70"/>
      <c r="CN107" s="70"/>
      <c r="CO107" s="70"/>
      <c r="CP107" s="70"/>
      <c r="CR107" s="180"/>
    </row>
    <row r="108" spans="1:96" x14ac:dyDescent="0.2">
      <c r="B108" s="66"/>
      <c r="C108" s="66"/>
      <c r="D108" s="66"/>
      <c r="E108" s="59"/>
      <c r="F108" s="59"/>
      <c r="G108" s="59"/>
      <c r="H108" s="59"/>
      <c r="I108" s="59"/>
      <c r="J108" s="59"/>
      <c r="K108" s="59"/>
      <c r="L108" s="68"/>
      <c r="M108" s="63"/>
      <c r="N108" s="59"/>
      <c r="O108" s="69"/>
      <c r="P108" s="70"/>
      <c r="Q108" s="70"/>
      <c r="R108" s="70"/>
      <c r="S108" s="70"/>
      <c r="T108" s="70"/>
      <c r="U108" s="70"/>
      <c r="V108" s="70"/>
      <c r="W108" s="70"/>
      <c r="X108" s="70"/>
      <c r="Y108" s="70"/>
      <c r="Z108" s="70"/>
      <c r="AA108" s="70"/>
      <c r="AB108" s="70"/>
      <c r="AC108" s="70"/>
      <c r="AD108" s="70"/>
      <c r="AE108" s="70"/>
      <c r="AF108" s="70"/>
      <c r="AG108" s="70"/>
      <c r="AH108" s="70"/>
      <c r="AI108" s="70"/>
      <c r="AJ108" s="70"/>
      <c r="AK108" s="70"/>
      <c r="AL108" s="70"/>
      <c r="AM108" s="70"/>
      <c r="AN108" s="70"/>
      <c r="AO108" s="70"/>
      <c r="AP108" s="70"/>
      <c r="AQ108" s="70"/>
      <c r="AR108" s="70"/>
      <c r="AS108" s="70"/>
      <c r="AT108" s="70"/>
      <c r="AU108" s="70"/>
      <c r="AV108" s="70"/>
      <c r="AW108" s="70"/>
      <c r="AX108" s="70"/>
      <c r="AY108" s="70"/>
      <c r="AZ108" s="70"/>
      <c r="BA108" s="70"/>
      <c r="BB108" s="70"/>
      <c r="BC108" s="70"/>
      <c r="BD108" s="70"/>
      <c r="BE108" s="70"/>
      <c r="BF108" s="70"/>
      <c r="BG108" s="70"/>
      <c r="BH108" s="70"/>
      <c r="BI108" s="70"/>
      <c r="BJ108" s="70"/>
      <c r="BK108" s="70"/>
      <c r="BL108" s="70"/>
      <c r="BM108" s="70"/>
      <c r="BN108" s="70"/>
      <c r="BO108" s="70"/>
      <c r="BP108" s="70"/>
      <c r="BQ108" s="70"/>
      <c r="BR108" s="70"/>
      <c r="BS108" s="70"/>
      <c r="BT108" s="70"/>
      <c r="BU108" s="70"/>
      <c r="BV108" s="70"/>
      <c r="BW108" s="70"/>
      <c r="BX108" s="70"/>
      <c r="BY108" s="70"/>
      <c r="BZ108" s="70"/>
      <c r="CA108" s="70"/>
      <c r="CB108" s="70"/>
      <c r="CC108" s="70"/>
      <c r="CD108" s="70"/>
      <c r="CE108" s="70"/>
      <c r="CF108" s="70"/>
      <c r="CG108" s="70"/>
      <c r="CH108" s="70"/>
      <c r="CI108" s="70"/>
      <c r="CJ108" s="70"/>
      <c r="CK108" s="70"/>
      <c r="CL108" s="70"/>
      <c r="CM108" s="70"/>
      <c r="CN108" s="70"/>
      <c r="CO108" s="70"/>
      <c r="CP108" s="70"/>
      <c r="CR108" s="180"/>
    </row>
    <row r="109" spans="1:96" x14ac:dyDescent="0.2">
      <c r="A109" s="59"/>
      <c r="B109" s="66"/>
      <c r="C109" s="66"/>
      <c r="D109" s="66"/>
      <c r="E109" s="59"/>
      <c r="F109" s="59"/>
      <c r="G109" s="59"/>
      <c r="H109" s="59"/>
      <c r="I109" s="59"/>
      <c r="J109" s="59"/>
      <c r="K109" s="59"/>
      <c r="L109" s="68"/>
      <c r="M109" s="63"/>
      <c r="N109" s="59"/>
      <c r="O109" s="69"/>
      <c r="P109" s="70"/>
      <c r="Q109" s="70"/>
      <c r="R109" s="70"/>
      <c r="S109" s="70"/>
      <c r="T109" s="70"/>
      <c r="U109" s="70"/>
      <c r="V109" s="70"/>
      <c r="W109" s="70"/>
      <c r="X109" s="70"/>
      <c r="Y109" s="70"/>
      <c r="Z109" s="70"/>
      <c r="AA109" s="70"/>
      <c r="AB109" s="70"/>
      <c r="AC109" s="70"/>
      <c r="AD109" s="70"/>
      <c r="AE109" s="70"/>
      <c r="AF109" s="70"/>
      <c r="AG109" s="70"/>
      <c r="AH109" s="70"/>
      <c r="AI109" s="70"/>
      <c r="AJ109" s="70"/>
      <c r="AK109" s="70"/>
      <c r="AL109" s="70"/>
      <c r="AM109" s="70"/>
      <c r="AN109" s="70"/>
      <c r="AO109" s="70"/>
      <c r="AP109" s="70"/>
      <c r="AQ109" s="70"/>
      <c r="AR109" s="70"/>
      <c r="AS109" s="70"/>
      <c r="AT109" s="70"/>
      <c r="AU109" s="70"/>
      <c r="AV109" s="70"/>
      <c r="AW109" s="70"/>
      <c r="AX109" s="70"/>
      <c r="AY109" s="70"/>
      <c r="AZ109" s="70"/>
      <c r="BA109" s="70"/>
      <c r="BB109" s="70"/>
      <c r="BC109" s="70"/>
      <c r="BD109" s="70"/>
      <c r="BE109" s="70"/>
      <c r="BF109" s="70"/>
      <c r="BG109" s="70"/>
      <c r="BH109" s="70"/>
      <c r="BI109" s="70"/>
      <c r="BJ109" s="70"/>
      <c r="BK109" s="70"/>
      <c r="BL109" s="70"/>
      <c r="BM109" s="70"/>
      <c r="BN109" s="70"/>
      <c r="BO109" s="70"/>
      <c r="BP109" s="70"/>
      <c r="BQ109" s="70"/>
      <c r="BR109" s="70"/>
      <c r="BS109" s="70"/>
      <c r="BT109" s="70"/>
      <c r="BU109" s="70"/>
      <c r="BV109" s="70"/>
      <c r="BW109" s="70"/>
      <c r="BX109" s="70"/>
      <c r="BY109" s="70"/>
      <c r="BZ109" s="70"/>
      <c r="CA109" s="70"/>
      <c r="CB109" s="70"/>
      <c r="CC109" s="70"/>
      <c r="CD109" s="70"/>
      <c r="CE109" s="70"/>
      <c r="CF109" s="70"/>
      <c r="CG109" s="70"/>
      <c r="CH109" s="70"/>
      <c r="CI109" s="70"/>
      <c r="CJ109" s="70"/>
      <c r="CK109" s="70"/>
      <c r="CL109" s="70"/>
      <c r="CM109" s="70"/>
      <c r="CN109" s="70"/>
      <c r="CO109" s="70"/>
      <c r="CP109" s="70"/>
      <c r="CR109" s="180"/>
    </row>
    <row r="110" spans="1:96" x14ac:dyDescent="0.2">
      <c r="B110" s="66"/>
      <c r="C110" s="66"/>
      <c r="D110" s="66"/>
      <c r="E110" s="59"/>
      <c r="F110" s="59"/>
      <c r="G110" s="59"/>
      <c r="H110" s="59"/>
      <c r="I110" s="59"/>
      <c r="J110" s="59"/>
      <c r="K110" s="59"/>
      <c r="L110" s="68"/>
      <c r="M110" s="63"/>
      <c r="N110" s="59"/>
      <c r="O110" s="69"/>
      <c r="P110" s="70"/>
      <c r="Q110" s="70"/>
      <c r="R110" s="70"/>
      <c r="S110" s="70"/>
      <c r="T110" s="70"/>
      <c r="U110" s="70"/>
      <c r="V110" s="70"/>
      <c r="W110" s="70"/>
      <c r="X110" s="70"/>
      <c r="Y110" s="70"/>
      <c r="Z110" s="70"/>
      <c r="AA110" s="70"/>
      <c r="AB110" s="70"/>
      <c r="AC110" s="70"/>
      <c r="AD110" s="70"/>
      <c r="AE110" s="70"/>
      <c r="AF110" s="70"/>
      <c r="AG110" s="70"/>
      <c r="AH110" s="70"/>
      <c r="AI110" s="70"/>
      <c r="AJ110" s="70"/>
      <c r="AK110" s="70"/>
      <c r="AL110" s="70"/>
      <c r="AM110" s="70"/>
      <c r="AN110" s="70"/>
      <c r="AO110" s="70"/>
      <c r="AP110" s="70"/>
      <c r="AQ110" s="70"/>
      <c r="AR110" s="70"/>
      <c r="AS110" s="70"/>
      <c r="AT110" s="70"/>
      <c r="AU110" s="70"/>
      <c r="AV110" s="70"/>
      <c r="AW110" s="70"/>
      <c r="AX110" s="70"/>
      <c r="AY110" s="70"/>
      <c r="AZ110" s="70"/>
      <c r="BA110" s="70"/>
      <c r="BB110" s="70"/>
      <c r="BC110" s="70"/>
      <c r="BD110" s="70"/>
      <c r="BE110" s="70"/>
      <c r="BF110" s="70"/>
      <c r="BG110" s="70"/>
      <c r="BH110" s="70"/>
      <c r="BI110" s="70"/>
      <c r="BJ110" s="70"/>
      <c r="BK110" s="70"/>
      <c r="BL110" s="70"/>
      <c r="BM110" s="70"/>
      <c r="BN110" s="70"/>
      <c r="BO110" s="70"/>
      <c r="BP110" s="70"/>
      <c r="BQ110" s="70"/>
      <c r="BR110" s="70"/>
      <c r="BS110" s="70"/>
      <c r="BT110" s="70"/>
      <c r="BU110" s="70"/>
      <c r="BV110" s="70"/>
      <c r="BW110" s="70"/>
      <c r="BX110" s="70"/>
      <c r="BY110" s="70"/>
      <c r="BZ110" s="70"/>
      <c r="CA110" s="70"/>
      <c r="CB110" s="70"/>
      <c r="CC110" s="70"/>
      <c r="CD110" s="70"/>
      <c r="CE110" s="70"/>
      <c r="CF110" s="70"/>
      <c r="CG110" s="70"/>
      <c r="CH110" s="70"/>
      <c r="CI110" s="70"/>
      <c r="CJ110" s="70"/>
      <c r="CK110" s="70"/>
      <c r="CL110" s="70"/>
      <c r="CM110" s="70"/>
      <c r="CN110" s="70"/>
      <c r="CO110" s="70"/>
      <c r="CP110" s="70"/>
      <c r="CR110" s="180"/>
    </row>
    <row r="111" spans="1:96" x14ac:dyDescent="0.2">
      <c r="A111" s="59"/>
      <c r="B111" s="66"/>
      <c r="C111" s="66"/>
      <c r="D111" s="66"/>
      <c r="E111" s="59"/>
      <c r="F111" s="59"/>
      <c r="G111" s="59"/>
      <c r="H111" s="59"/>
      <c r="I111" s="59"/>
      <c r="J111" s="59"/>
      <c r="K111" s="59"/>
      <c r="L111" s="68"/>
      <c r="M111" s="63"/>
      <c r="N111" s="59"/>
      <c r="O111" s="69"/>
      <c r="P111" s="70"/>
      <c r="Q111" s="70"/>
      <c r="R111" s="70"/>
      <c r="S111" s="70"/>
      <c r="T111" s="70"/>
      <c r="U111" s="70"/>
      <c r="V111" s="70"/>
      <c r="W111" s="70"/>
      <c r="X111" s="70"/>
      <c r="Y111" s="70"/>
      <c r="Z111" s="70"/>
      <c r="AA111" s="70"/>
      <c r="AB111" s="70"/>
      <c r="AC111" s="70"/>
      <c r="AD111" s="70"/>
      <c r="AE111" s="70"/>
      <c r="AF111" s="70"/>
      <c r="AG111" s="70"/>
      <c r="AH111" s="70"/>
      <c r="AI111" s="70"/>
      <c r="AJ111" s="70"/>
      <c r="AK111" s="70"/>
      <c r="AL111" s="70"/>
      <c r="AM111" s="70"/>
      <c r="AN111" s="70"/>
      <c r="AO111" s="70"/>
      <c r="AP111" s="70"/>
      <c r="AQ111" s="70"/>
      <c r="AR111" s="70"/>
      <c r="AS111" s="70"/>
      <c r="AT111" s="70"/>
      <c r="AU111" s="70"/>
      <c r="AV111" s="70"/>
      <c r="AW111" s="70"/>
      <c r="AX111" s="70"/>
      <c r="AY111" s="70"/>
      <c r="AZ111" s="70"/>
      <c r="BA111" s="70"/>
      <c r="BB111" s="70"/>
      <c r="BC111" s="70"/>
      <c r="BD111" s="70"/>
      <c r="BE111" s="70"/>
      <c r="BF111" s="70"/>
      <c r="BG111" s="70"/>
      <c r="BH111" s="70"/>
      <c r="BI111" s="70"/>
      <c r="BJ111" s="70"/>
      <c r="BK111" s="70"/>
      <c r="BL111" s="70"/>
      <c r="BM111" s="70"/>
      <c r="BN111" s="70"/>
      <c r="BO111" s="70"/>
      <c r="BP111" s="70"/>
      <c r="BQ111" s="70"/>
      <c r="BR111" s="70"/>
      <c r="BS111" s="70"/>
      <c r="BT111" s="70"/>
      <c r="BU111" s="70"/>
      <c r="BV111" s="70"/>
      <c r="BW111" s="70"/>
      <c r="BX111" s="70"/>
      <c r="BY111" s="70"/>
      <c r="BZ111" s="70"/>
      <c r="CA111" s="70"/>
      <c r="CB111" s="70"/>
      <c r="CC111" s="70"/>
      <c r="CD111" s="70"/>
      <c r="CE111" s="70"/>
      <c r="CF111" s="70"/>
      <c r="CG111" s="70"/>
      <c r="CH111" s="70"/>
      <c r="CI111" s="70"/>
      <c r="CJ111" s="70"/>
      <c r="CK111" s="70"/>
      <c r="CL111" s="70"/>
      <c r="CM111" s="70"/>
      <c r="CN111" s="70"/>
      <c r="CO111" s="70"/>
      <c r="CP111" s="70"/>
      <c r="CR111" s="180"/>
    </row>
    <row r="112" spans="1:96" x14ac:dyDescent="0.2">
      <c r="B112" s="66"/>
      <c r="C112" s="66"/>
      <c r="D112" s="66"/>
      <c r="E112" s="59"/>
      <c r="F112" s="59"/>
      <c r="G112" s="59"/>
      <c r="H112" s="59"/>
      <c r="I112" s="59"/>
      <c r="J112" s="59"/>
      <c r="K112" s="59"/>
      <c r="L112" s="68"/>
      <c r="M112" s="63"/>
      <c r="N112" s="59"/>
      <c r="O112" s="69"/>
      <c r="P112" s="70"/>
      <c r="Q112" s="70"/>
      <c r="R112" s="70"/>
      <c r="S112" s="70"/>
      <c r="T112" s="70"/>
      <c r="U112" s="70"/>
      <c r="V112" s="70"/>
      <c r="W112" s="70"/>
      <c r="X112" s="70"/>
      <c r="Y112" s="70"/>
      <c r="Z112" s="70"/>
      <c r="AA112" s="70"/>
      <c r="AB112" s="70"/>
      <c r="AC112" s="70"/>
      <c r="AD112" s="70"/>
      <c r="AE112" s="70"/>
      <c r="AF112" s="70"/>
      <c r="AG112" s="70"/>
      <c r="AH112" s="70"/>
      <c r="AI112" s="70"/>
      <c r="AJ112" s="70"/>
      <c r="AK112" s="70"/>
      <c r="AL112" s="70"/>
      <c r="AM112" s="70"/>
      <c r="AN112" s="70"/>
      <c r="AO112" s="70"/>
      <c r="AP112" s="70"/>
      <c r="AQ112" s="70"/>
      <c r="AR112" s="70"/>
      <c r="AS112" s="70"/>
      <c r="AT112" s="70"/>
      <c r="AU112" s="70"/>
      <c r="AV112" s="70"/>
      <c r="AW112" s="70"/>
      <c r="AX112" s="70"/>
      <c r="AY112" s="70"/>
      <c r="AZ112" s="70"/>
      <c r="BA112" s="70"/>
      <c r="BB112" s="70"/>
      <c r="BC112" s="70"/>
      <c r="BD112" s="70"/>
      <c r="BE112" s="70"/>
      <c r="BF112" s="70"/>
      <c r="BG112" s="70"/>
      <c r="BH112" s="70"/>
      <c r="BI112" s="70"/>
      <c r="BJ112" s="70"/>
      <c r="BK112" s="70"/>
      <c r="BL112" s="70"/>
      <c r="BM112" s="70"/>
      <c r="BN112" s="70"/>
      <c r="BO112" s="70"/>
      <c r="BP112" s="70"/>
      <c r="BQ112" s="70"/>
      <c r="BR112" s="70"/>
      <c r="BS112" s="70"/>
      <c r="BT112" s="70"/>
      <c r="BU112" s="70"/>
      <c r="BV112" s="70"/>
      <c r="BW112" s="70"/>
      <c r="BX112" s="70"/>
      <c r="BY112" s="70"/>
      <c r="BZ112" s="70"/>
      <c r="CA112" s="70"/>
      <c r="CB112" s="70"/>
      <c r="CC112" s="70"/>
      <c r="CD112" s="70"/>
      <c r="CE112" s="70"/>
      <c r="CF112" s="70"/>
      <c r="CG112" s="70"/>
      <c r="CH112" s="70"/>
      <c r="CI112" s="70"/>
      <c r="CJ112" s="70"/>
      <c r="CK112" s="70"/>
      <c r="CL112" s="70"/>
      <c r="CM112" s="70"/>
      <c r="CN112" s="70"/>
      <c r="CO112" s="70"/>
      <c r="CP112" s="70"/>
      <c r="CR112" s="180"/>
    </row>
    <row r="113" spans="1:96" x14ac:dyDescent="0.2">
      <c r="A113" s="59"/>
      <c r="B113" s="66"/>
      <c r="C113" s="66"/>
      <c r="D113" s="66"/>
      <c r="E113" s="59"/>
      <c r="F113" s="59"/>
      <c r="G113" s="59"/>
      <c r="H113" s="59"/>
      <c r="I113" s="59"/>
      <c r="J113" s="59"/>
      <c r="K113" s="59"/>
      <c r="L113" s="68"/>
      <c r="M113" s="63"/>
      <c r="N113" s="59"/>
      <c r="O113" s="69"/>
      <c r="P113" s="70"/>
      <c r="Q113" s="70"/>
      <c r="R113" s="70"/>
      <c r="S113" s="70"/>
      <c r="T113" s="70"/>
      <c r="U113" s="70"/>
      <c r="V113" s="70"/>
      <c r="W113" s="70"/>
      <c r="X113" s="70"/>
      <c r="Y113" s="70"/>
      <c r="Z113" s="70"/>
      <c r="AA113" s="70"/>
      <c r="AB113" s="70"/>
      <c r="AC113" s="70"/>
      <c r="AD113" s="70"/>
      <c r="AE113" s="70"/>
      <c r="AF113" s="70"/>
      <c r="AG113" s="70"/>
      <c r="AH113" s="70"/>
      <c r="AI113" s="70"/>
      <c r="AJ113" s="70"/>
      <c r="AK113" s="70"/>
      <c r="AL113" s="70"/>
      <c r="AM113" s="70"/>
      <c r="AN113" s="70"/>
      <c r="AO113" s="70"/>
      <c r="AP113" s="70"/>
      <c r="AQ113" s="70"/>
      <c r="AR113" s="70"/>
      <c r="AS113" s="70"/>
      <c r="AT113" s="70"/>
      <c r="AU113" s="70"/>
      <c r="AV113" s="70"/>
      <c r="AW113" s="70"/>
      <c r="AX113" s="70"/>
      <c r="AY113" s="70"/>
      <c r="AZ113" s="70"/>
      <c r="BA113" s="70"/>
      <c r="BB113" s="70"/>
      <c r="BC113" s="70"/>
      <c r="BD113" s="70"/>
      <c r="BE113" s="70"/>
      <c r="BF113" s="70"/>
      <c r="BG113" s="70"/>
      <c r="BH113" s="70"/>
      <c r="BI113" s="70"/>
      <c r="BJ113" s="70"/>
      <c r="BK113" s="70"/>
      <c r="BL113" s="70"/>
      <c r="BM113" s="70"/>
      <c r="BN113" s="70"/>
      <c r="BO113" s="70"/>
      <c r="BP113" s="70"/>
      <c r="BQ113" s="70"/>
      <c r="BR113" s="70"/>
      <c r="BS113" s="70"/>
      <c r="BT113" s="70"/>
      <c r="BU113" s="70"/>
      <c r="BV113" s="70"/>
      <c r="BW113" s="70"/>
      <c r="BX113" s="70"/>
      <c r="BY113" s="70"/>
      <c r="BZ113" s="70"/>
      <c r="CA113" s="70"/>
      <c r="CB113" s="70"/>
      <c r="CC113" s="70"/>
      <c r="CD113" s="70"/>
      <c r="CE113" s="70"/>
      <c r="CF113" s="70"/>
      <c r="CG113" s="70"/>
      <c r="CH113" s="70"/>
      <c r="CI113" s="70"/>
      <c r="CJ113" s="70"/>
      <c r="CK113" s="70"/>
      <c r="CL113" s="70"/>
      <c r="CM113" s="70"/>
      <c r="CN113" s="70"/>
      <c r="CO113" s="70"/>
      <c r="CP113" s="70"/>
      <c r="CR113" s="180"/>
    </row>
    <row r="114" spans="1:96" x14ac:dyDescent="0.2">
      <c r="B114" s="66"/>
      <c r="C114" s="66"/>
      <c r="D114" s="66"/>
      <c r="E114" s="59"/>
      <c r="F114" s="59"/>
      <c r="G114" s="59"/>
      <c r="H114" s="59"/>
      <c r="I114" s="59"/>
      <c r="J114" s="59"/>
      <c r="K114" s="59"/>
      <c r="L114" s="68"/>
      <c r="M114" s="63"/>
      <c r="N114" s="59"/>
      <c r="O114" s="69"/>
      <c r="P114" s="70"/>
      <c r="Q114" s="70"/>
      <c r="R114" s="70"/>
      <c r="S114" s="70"/>
      <c r="T114" s="70"/>
      <c r="U114" s="70"/>
      <c r="V114" s="70"/>
      <c r="W114" s="70"/>
      <c r="X114" s="70"/>
      <c r="Y114" s="70"/>
      <c r="Z114" s="70"/>
      <c r="AA114" s="70"/>
      <c r="AB114" s="70"/>
      <c r="AC114" s="70"/>
      <c r="AD114" s="70"/>
      <c r="AE114" s="70"/>
      <c r="AF114" s="70"/>
      <c r="AG114" s="70"/>
      <c r="AH114" s="70"/>
      <c r="AI114" s="70"/>
      <c r="AJ114" s="70"/>
      <c r="AK114" s="70"/>
      <c r="AL114" s="70"/>
      <c r="AM114" s="70"/>
      <c r="AN114" s="70"/>
      <c r="AO114" s="70"/>
      <c r="AP114" s="70"/>
      <c r="AQ114" s="70"/>
      <c r="AR114" s="70"/>
      <c r="AS114" s="70"/>
      <c r="AT114" s="70"/>
      <c r="AU114" s="70"/>
      <c r="AV114" s="70"/>
      <c r="AW114" s="70"/>
      <c r="AX114" s="70"/>
      <c r="AY114" s="70"/>
      <c r="AZ114" s="70"/>
      <c r="BA114" s="70"/>
      <c r="BB114" s="70"/>
      <c r="BC114" s="70"/>
      <c r="BD114" s="70"/>
      <c r="BE114" s="70"/>
      <c r="BF114" s="70"/>
      <c r="BG114" s="70"/>
      <c r="BH114" s="70"/>
      <c r="BI114" s="70"/>
      <c r="BJ114" s="70"/>
      <c r="BK114" s="70"/>
      <c r="BL114" s="70"/>
      <c r="BM114" s="70"/>
      <c r="BN114" s="70"/>
      <c r="BO114" s="70"/>
      <c r="BP114" s="70"/>
      <c r="BQ114" s="70"/>
      <c r="BR114" s="70"/>
      <c r="BS114" s="70"/>
      <c r="BT114" s="70"/>
      <c r="BU114" s="70"/>
      <c r="BV114" s="70"/>
      <c r="BW114" s="70"/>
      <c r="BX114" s="70"/>
      <c r="BY114" s="70"/>
      <c r="BZ114" s="70"/>
      <c r="CA114" s="70"/>
      <c r="CB114" s="70"/>
      <c r="CC114" s="70"/>
      <c r="CD114" s="70"/>
      <c r="CE114" s="70"/>
      <c r="CF114" s="70"/>
      <c r="CG114" s="70"/>
      <c r="CH114" s="70"/>
      <c r="CI114" s="70"/>
      <c r="CJ114" s="70"/>
      <c r="CK114" s="70"/>
      <c r="CL114" s="70"/>
      <c r="CM114" s="70"/>
      <c r="CN114" s="70"/>
      <c r="CO114" s="70"/>
      <c r="CP114" s="70"/>
      <c r="CR114" s="180"/>
    </row>
    <row r="115" spans="1:96" x14ac:dyDescent="0.2">
      <c r="A115" s="59"/>
      <c r="B115" s="66"/>
      <c r="C115" s="66"/>
      <c r="D115" s="66"/>
      <c r="E115" s="59"/>
      <c r="F115" s="59"/>
      <c r="G115" s="59"/>
      <c r="H115" s="59"/>
      <c r="I115" s="59"/>
      <c r="J115" s="59"/>
      <c r="K115" s="59"/>
      <c r="L115" s="68"/>
      <c r="M115" s="63"/>
      <c r="N115" s="59"/>
      <c r="O115" s="69"/>
      <c r="P115" s="70"/>
      <c r="Q115" s="70"/>
      <c r="R115" s="70"/>
      <c r="S115" s="70"/>
      <c r="T115" s="70"/>
      <c r="U115" s="70"/>
      <c r="V115" s="70"/>
      <c r="W115" s="70"/>
      <c r="X115" s="70"/>
      <c r="Y115" s="70"/>
      <c r="Z115" s="70"/>
      <c r="AA115" s="70"/>
      <c r="AB115" s="70"/>
      <c r="AC115" s="70"/>
      <c r="AD115" s="70"/>
      <c r="AE115" s="70"/>
      <c r="AF115" s="70"/>
      <c r="AG115" s="70"/>
      <c r="AH115" s="70"/>
      <c r="AI115" s="70"/>
      <c r="AJ115" s="70"/>
      <c r="AK115" s="70"/>
      <c r="AL115" s="70"/>
      <c r="AM115" s="70"/>
      <c r="AN115" s="70"/>
      <c r="AO115" s="70"/>
      <c r="AP115" s="70"/>
      <c r="AQ115" s="70"/>
      <c r="AR115" s="70"/>
      <c r="AS115" s="70"/>
      <c r="AT115" s="70"/>
      <c r="AU115" s="70"/>
      <c r="AV115" s="70"/>
      <c r="AW115" s="70"/>
      <c r="AX115" s="70"/>
      <c r="AY115" s="70"/>
      <c r="AZ115" s="70"/>
      <c r="BA115" s="70"/>
      <c r="BB115" s="70"/>
      <c r="BC115" s="70"/>
      <c r="BD115" s="70"/>
      <c r="BE115" s="70"/>
      <c r="BF115" s="70"/>
      <c r="BG115" s="70"/>
      <c r="BH115" s="70"/>
      <c r="BI115" s="70"/>
      <c r="BJ115" s="70"/>
      <c r="BK115" s="70"/>
      <c r="BL115" s="70"/>
      <c r="BM115" s="70"/>
      <c r="BN115" s="70"/>
      <c r="BO115" s="70"/>
      <c r="BP115" s="70"/>
      <c r="BQ115" s="70"/>
      <c r="BR115" s="70"/>
      <c r="BS115" s="70"/>
      <c r="BT115" s="70"/>
      <c r="BU115" s="70"/>
      <c r="BV115" s="70"/>
      <c r="BW115" s="70"/>
      <c r="BX115" s="70"/>
      <c r="BY115" s="70"/>
      <c r="BZ115" s="70"/>
      <c r="CA115" s="70"/>
      <c r="CB115" s="70"/>
      <c r="CC115" s="70"/>
      <c r="CD115" s="70"/>
      <c r="CE115" s="70"/>
      <c r="CF115" s="70"/>
      <c r="CG115" s="70"/>
      <c r="CH115" s="70"/>
      <c r="CI115" s="70"/>
      <c r="CJ115" s="70"/>
      <c r="CK115" s="70"/>
      <c r="CL115" s="70"/>
      <c r="CM115" s="70"/>
      <c r="CN115" s="70"/>
      <c r="CO115" s="70"/>
      <c r="CP115" s="70"/>
      <c r="CR115" s="180"/>
    </row>
    <row r="116" spans="1:96" x14ac:dyDescent="0.2">
      <c r="B116" s="66"/>
      <c r="C116" s="66"/>
      <c r="D116" s="66"/>
      <c r="E116" s="59"/>
      <c r="F116" s="59"/>
      <c r="G116" s="59"/>
      <c r="H116" s="59"/>
      <c r="I116" s="59"/>
      <c r="J116" s="59"/>
      <c r="K116" s="59"/>
      <c r="L116" s="68"/>
      <c r="M116" s="63"/>
      <c r="N116" s="59"/>
      <c r="O116" s="69"/>
      <c r="P116" s="70"/>
      <c r="Q116" s="70"/>
      <c r="R116" s="70"/>
      <c r="S116" s="70"/>
      <c r="T116" s="70"/>
      <c r="U116" s="70"/>
      <c r="V116" s="70"/>
      <c r="W116" s="70"/>
      <c r="X116" s="70"/>
      <c r="Y116" s="70"/>
      <c r="Z116" s="70"/>
      <c r="AA116" s="70"/>
      <c r="AB116" s="70"/>
      <c r="AC116" s="70"/>
      <c r="AD116" s="70"/>
      <c r="AE116" s="70"/>
      <c r="AF116" s="70"/>
      <c r="AG116" s="70"/>
      <c r="AH116" s="70"/>
      <c r="AI116" s="70"/>
      <c r="AJ116" s="70"/>
      <c r="AK116" s="70"/>
      <c r="AL116" s="70"/>
      <c r="AM116" s="70"/>
      <c r="AN116" s="70"/>
      <c r="AO116" s="70"/>
      <c r="AP116" s="70"/>
      <c r="AQ116" s="70"/>
      <c r="AR116" s="70"/>
      <c r="AS116" s="70"/>
      <c r="AT116" s="70"/>
      <c r="AU116" s="70"/>
      <c r="AV116" s="70"/>
      <c r="AW116" s="70"/>
      <c r="AX116" s="70"/>
      <c r="AY116" s="70"/>
      <c r="AZ116" s="70"/>
      <c r="BA116" s="70"/>
      <c r="BB116" s="70"/>
      <c r="BC116" s="70"/>
      <c r="BD116" s="70"/>
      <c r="BE116" s="70"/>
      <c r="BF116" s="70"/>
      <c r="BG116" s="70"/>
      <c r="BH116" s="70"/>
      <c r="BI116" s="70"/>
      <c r="BJ116" s="70"/>
      <c r="BK116" s="70"/>
      <c r="BL116" s="70"/>
      <c r="BM116" s="70"/>
      <c r="BN116" s="70"/>
      <c r="BO116" s="70"/>
      <c r="BP116" s="70"/>
      <c r="BQ116" s="70"/>
      <c r="BR116" s="70"/>
      <c r="BS116" s="70"/>
      <c r="BT116" s="70"/>
      <c r="BU116" s="70"/>
      <c r="BV116" s="70"/>
      <c r="BW116" s="70"/>
      <c r="BX116" s="70"/>
      <c r="BY116" s="70"/>
      <c r="BZ116" s="70"/>
      <c r="CA116" s="70"/>
      <c r="CB116" s="70"/>
      <c r="CC116" s="70"/>
      <c r="CD116" s="70"/>
      <c r="CE116" s="70"/>
      <c r="CF116" s="70"/>
      <c r="CG116" s="70"/>
      <c r="CH116" s="70"/>
      <c r="CI116" s="70"/>
      <c r="CJ116" s="70"/>
      <c r="CK116" s="70"/>
      <c r="CL116" s="70"/>
      <c r="CM116" s="70"/>
      <c r="CN116" s="70"/>
      <c r="CO116" s="70"/>
      <c r="CP116" s="70"/>
      <c r="CR116" s="180"/>
    </row>
    <row r="117" spans="1:96" x14ac:dyDescent="0.2">
      <c r="A117" s="59"/>
      <c r="B117" s="66"/>
      <c r="C117" s="66"/>
      <c r="D117" s="66"/>
      <c r="E117" s="59"/>
      <c r="F117" s="59"/>
      <c r="G117" s="59"/>
      <c r="H117" s="59"/>
      <c r="I117" s="59"/>
      <c r="J117" s="59"/>
      <c r="K117" s="59"/>
      <c r="L117" s="68"/>
      <c r="M117" s="63"/>
      <c r="N117" s="59"/>
      <c r="O117" s="69"/>
      <c r="P117" s="70"/>
      <c r="Q117" s="70"/>
      <c r="R117" s="70"/>
      <c r="S117" s="70"/>
      <c r="T117" s="70"/>
      <c r="U117" s="70"/>
      <c r="V117" s="70"/>
      <c r="W117" s="70"/>
      <c r="X117" s="70"/>
      <c r="Y117" s="70"/>
      <c r="Z117" s="70"/>
      <c r="AA117" s="70"/>
      <c r="AB117" s="70"/>
      <c r="AC117" s="70"/>
      <c r="AD117" s="70"/>
      <c r="AE117" s="70"/>
      <c r="AF117" s="70"/>
      <c r="AG117" s="70"/>
      <c r="AH117" s="70"/>
      <c r="AI117" s="70"/>
      <c r="AJ117" s="70"/>
      <c r="AK117" s="70"/>
      <c r="AL117" s="70"/>
      <c r="AM117" s="70"/>
      <c r="AN117" s="70"/>
      <c r="AO117" s="70"/>
      <c r="AP117" s="70"/>
      <c r="AQ117" s="70"/>
      <c r="AR117" s="70"/>
      <c r="AS117" s="70"/>
      <c r="AT117" s="70"/>
      <c r="AU117" s="70"/>
      <c r="AV117" s="70"/>
      <c r="AW117" s="70"/>
      <c r="AX117" s="70"/>
      <c r="AY117" s="70"/>
      <c r="AZ117" s="70"/>
      <c r="BA117" s="70"/>
      <c r="BB117" s="70"/>
      <c r="BC117" s="70"/>
      <c r="BD117" s="70"/>
      <c r="BE117" s="70"/>
      <c r="BF117" s="70"/>
      <c r="BG117" s="70"/>
      <c r="BH117" s="70"/>
      <c r="BI117" s="70"/>
      <c r="BJ117" s="70"/>
      <c r="BK117" s="70"/>
      <c r="BL117" s="70"/>
      <c r="BM117" s="70"/>
      <c r="BN117" s="70"/>
      <c r="BO117" s="70"/>
      <c r="BP117" s="70"/>
      <c r="BQ117" s="70"/>
      <c r="BR117" s="70"/>
      <c r="BS117" s="70"/>
      <c r="BT117" s="70"/>
      <c r="BU117" s="70"/>
      <c r="BV117" s="70"/>
      <c r="BW117" s="70"/>
      <c r="BX117" s="70"/>
      <c r="BY117" s="70"/>
      <c r="BZ117" s="70"/>
      <c r="CA117" s="70"/>
      <c r="CB117" s="70"/>
      <c r="CC117" s="70"/>
      <c r="CD117" s="70"/>
      <c r="CE117" s="70"/>
      <c r="CF117" s="70"/>
      <c r="CG117" s="70"/>
      <c r="CH117" s="70"/>
      <c r="CI117" s="70"/>
      <c r="CJ117" s="70"/>
      <c r="CK117" s="70"/>
      <c r="CL117" s="70"/>
      <c r="CM117" s="70"/>
      <c r="CN117" s="70"/>
      <c r="CO117" s="70"/>
      <c r="CP117" s="70"/>
      <c r="CR117" s="180"/>
    </row>
    <row r="118" spans="1:96" x14ac:dyDescent="0.2">
      <c r="B118" s="66"/>
      <c r="C118" s="66"/>
      <c r="D118" s="66"/>
      <c r="E118" s="59"/>
      <c r="F118" s="59"/>
      <c r="G118" s="59"/>
      <c r="H118" s="59"/>
      <c r="I118" s="59"/>
      <c r="J118" s="59"/>
      <c r="K118" s="59"/>
      <c r="L118" s="68"/>
      <c r="M118" s="63"/>
      <c r="N118" s="59"/>
      <c r="O118" s="69"/>
      <c r="P118" s="70"/>
      <c r="Q118" s="70"/>
      <c r="R118" s="70"/>
      <c r="S118" s="70"/>
      <c r="T118" s="70"/>
      <c r="U118" s="70"/>
      <c r="V118" s="70"/>
      <c r="W118" s="70"/>
      <c r="X118" s="70"/>
      <c r="Y118" s="70"/>
      <c r="Z118" s="70"/>
      <c r="AA118" s="70"/>
      <c r="AB118" s="70"/>
      <c r="AC118" s="70"/>
      <c r="AD118" s="70"/>
      <c r="AE118" s="70"/>
      <c r="AF118" s="70"/>
      <c r="AG118" s="70"/>
      <c r="AH118" s="70"/>
      <c r="AI118" s="70"/>
      <c r="AJ118" s="70"/>
      <c r="AK118" s="70"/>
      <c r="AL118" s="70"/>
      <c r="AM118" s="70"/>
      <c r="AN118" s="70"/>
      <c r="AO118" s="70"/>
      <c r="AP118" s="70"/>
      <c r="AQ118" s="70"/>
      <c r="AR118" s="70"/>
      <c r="AS118" s="70"/>
      <c r="AT118" s="70"/>
      <c r="AU118" s="70"/>
      <c r="AV118" s="70"/>
      <c r="AW118" s="70"/>
      <c r="AX118" s="70"/>
      <c r="AY118" s="70"/>
      <c r="AZ118" s="70"/>
      <c r="BA118" s="70"/>
      <c r="BB118" s="70"/>
      <c r="BC118" s="70"/>
      <c r="BD118" s="70"/>
      <c r="BE118" s="70"/>
      <c r="BF118" s="70"/>
      <c r="BG118" s="70"/>
      <c r="BH118" s="70"/>
      <c r="BI118" s="70"/>
      <c r="BJ118" s="70"/>
      <c r="BK118" s="70"/>
      <c r="BL118" s="70"/>
      <c r="BM118" s="70"/>
      <c r="BN118" s="70"/>
      <c r="BO118" s="70"/>
      <c r="BP118" s="70"/>
      <c r="BQ118" s="70"/>
      <c r="BR118" s="70"/>
      <c r="BS118" s="70"/>
      <c r="BT118" s="70"/>
      <c r="BU118" s="70"/>
      <c r="BV118" s="70"/>
      <c r="BW118" s="70"/>
      <c r="BX118" s="70"/>
      <c r="BY118" s="70"/>
      <c r="BZ118" s="70"/>
      <c r="CA118" s="70"/>
      <c r="CB118" s="70"/>
      <c r="CC118" s="70"/>
      <c r="CD118" s="70"/>
      <c r="CE118" s="70"/>
      <c r="CF118" s="70"/>
      <c r="CG118" s="70"/>
      <c r="CH118" s="70"/>
      <c r="CI118" s="70"/>
      <c r="CJ118" s="70"/>
      <c r="CK118" s="70"/>
      <c r="CL118" s="70"/>
      <c r="CM118" s="70"/>
      <c r="CN118" s="70"/>
      <c r="CO118" s="70"/>
      <c r="CP118" s="70"/>
      <c r="CR118" s="180"/>
    </row>
    <row r="119" spans="1:96" x14ac:dyDescent="0.2">
      <c r="A119" s="59"/>
      <c r="B119" s="66"/>
      <c r="C119" s="66"/>
      <c r="D119" s="66"/>
      <c r="E119" s="59"/>
      <c r="F119" s="59"/>
      <c r="G119" s="59"/>
      <c r="H119" s="59"/>
      <c r="I119" s="59"/>
      <c r="J119" s="59"/>
      <c r="K119" s="59"/>
      <c r="L119" s="68"/>
      <c r="M119" s="63"/>
      <c r="N119" s="59"/>
      <c r="O119" s="69"/>
      <c r="P119" s="70"/>
      <c r="Q119" s="70"/>
      <c r="R119" s="70"/>
      <c r="S119" s="70"/>
      <c r="T119" s="70"/>
      <c r="U119" s="70"/>
      <c r="V119" s="70"/>
      <c r="W119" s="70"/>
      <c r="X119" s="70"/>
      <c r="Y119" s="70"/>
      <c r="Z119" s="70"/>
      <c r="AA119" s="70"/>
      <c r="AB119" s="70"/>
      <c r="AC119" s="70"/>
      <c r="AD119" s="70"/>
      <c r="AE119" s="70"/>
      <c r="AF119" s="70"/>
      <c r="AG119" s="70"/>
      <c r="AH119" s="70"/>
      <c r="AI119" s="70"/>
      <c r="AJ119" s="70"/>
      <c r="AK119" s="70"/>
      <c r="AL119" s="70"/>
      <c r="AM119" s="70"/>
      <c r="AN119" s="70"/>
      <c r="AO119" s="70"/>
      <c r="AP119" s="70"/>
      <c r="AQ119" s="70"/>
      <c r="AR119" s="70"/>
      <c r="AS119" s="70"/>
      <c r="AT119" s="70"/>
      <c r="AU119" s="70"/>
      <c r="AV119" s="70"/>
      <c r="AW119" s="70"/>
      <c r="AX119" s="70"/>
      <c r="AY119" s="70"/>
      <c r="AZ119" s="70"/>
      <c r="BA119" s="70"/>
      <c r="BB119" s="70"/>
      <c r="BC119" s="70"/>
      <c r="BD119" s="70"/>
      <c r="BE119" s="70"/>
      <c r="BF119" s="70"/>
      <c r="BG119" s="70"/>
      <c r="BH119" s="70"/>
      <c r="BI119" s="70"/>
      <c r="BJ119" s="70"/>
      <c r="BK119" s="70"/>
      <c r="BL119" s="70"/>
      <c r="BM119" s="70"/>
      <c r="BN119" s="70"/>
      <c r="BO119" s="70"/>
      <c r="BP119" s="70"/>
      <c r="BQ119" s="70"/>
      <c r="BR119" s="70"/>
      <c r="BS119" s="70"/>
      <c r="BT119" s="70"/>
      <c r="BU119" s="70"/>
      <c r="BV119" s="70"/>
      <c r="BW119" s="70"/>
      <c r="BX119" s="70"/>
      <c r="BY119" s="70"/>
      <c r="BZ119" s="70"/>
      <c r="CA119" s="70"/>
      <c r="CB119" s="70"/>
      <c r="CC119" s="70"/>
      <c r="CD119" s="70"/>
      <c r="CE119" s="70"/>
      <c r="CF119" s="70"/>
      <c r="CG119" s="70"/>
      <c r="CH119" s="70"/>
      <c r="CI119" s="70"/>
      <c r="CJ119" s="70"/>
      <c r="CK119" s="70"/>
      <c r="CL119" s="70"/>
      <c r="CM119" s="70"/>
      <c r="CN119" s="70"/>
      <c r="CO119" s="70"/>
      <c r="CP119" s="70"/>
      <c r="CR119" s="180"/>
    </row>
    <row r="120" spans="1:96" x14ac:dyDescent="0.2">
      <c r="B120" s="66"/>
      <c r="C120" s="66"/>
      <c r="D120" s="66"/>
      <c r="E120" s="59"/>
      <c r="F120" s="59"/>
      <c r="G120" s="59"/>
      <c r="H120" s="59"/>
      <c r="I120" s="59"/>
      <c r="J120" s="59"/>
      <c r="K120" s="59"/>
      <c r="L120" s="68"/>
      <c r="M120" s="63"/>
      <c r="N120" s="59"/>
      <c r="O120" s="69"/>
      <c r="P120" s="70"/>
      <c r="Q120" s="70"/>
      <c r="R120" s="70"/>
      <c r="S120" s="70"/>
      <c r="T120" s="70"/>
      <c r="U120" s="70"/>
      <c r="V120" s="70"/>
      <c r="W120" s="70"/>
      <c r="X120" s="70"/>
      <c r="Y120" s="70"/>
      <c r="Z120" s="70"/>
      <c r="AA120" s="70"/>
      <c r="AB120" s="70"/>
      <c r="AC120" s="70"/>
      <c r="AD120" s="70"/>
      <c r="AE120" s="70"/>
      <c r="AF120" s="70"/>
      <c r="AG120" s="70"/>
      <c r="AH120" s="70"/>
      <c r="AI120" s="70"/>
      <c r="AJ120" s="70"/>
      <c r="AK120" s="70"/>
      <c r="AL120" s="70"/>
      <c r="AM120" s="70"/>
      <c r="AN120" s="70"/>
      <c r="AO120" s="70"/>
      <c r="AP120" s="70"/>
      <c r="AQ120" s="70"/>
      <c r="AR120" s="70"/>
      <c r="AS120" s="70"/>
      <c r="AT120" s="70"/>
      <c r="AU120" s="70"/>
      <c r="AV120" s="70"/>
      <c r="AW120" s="70"/>
      <c r="AX120" s="70"/>
      <c r="AY120" s="70"/>
      <c r="AZ120" s="70"/>
      <c r="BA120" s="70"/>
      <c r="BB120" s="70"/>
      <c r="BC120" s="70"/>
      <c r="BD120" s="70"/>
      <c r="BE120" s="70"/>
      <c r="BF120" s="70"/>
      <c r="BG120" s="70"/>
      <c r="BH120" s="70"/>
      <c r="BI120" s="70"/>
      <c r="BJ120" s="70"/>
      <c r="BK120" s="70"/>
      <c r="BL120" s="70"/>
      <c r="BM120" s="70"/>
      <c r="BN120" s="70"/>
      <c r="BO120" s="70"/>
      <c r="BP120" s="70"/>
      <c r="BQ120" s="70"/>
      <c r="BR120" s="70"/>
      <c r="BS120" s="70"/>
      <c r="BT120" s="70"/>
      <c r="BU120" s="70"/>
      <c r="BV120" s="70"/>
      <c r="BW120" s="70"/>
      <c r="BX120" s="70"/>
      <c r="BY120" s="70"/>
      <c r="BZ120" s="70"/>
      <c r="CA120" s="70"/>
      <c r="CB120" s="70"/>
      <c r="CC120" s="70"/>
      <c r="CD120" s="70"/>
      <c r="CE120" s="70"/>
      <c r="CF120" s="70"/>
      <c r="CG120" s="70"/>
      <c r="CH120" s="70"/>
      <c r="CI120" s="70"/>
      <c r="CJ120" s="70"/>
      <c r="CK120" s="70"/>
      <c r="CL120" s="70"/>
      <c r="CM120" s="70"/>
      <c r="CN120" s="70"/>
      <c r="CO120" s="70"/>
      <c r="CP120" s="70"/>
      <c r="CR120" s="180"/>
    </row>
    <row r="121" spans="1:96" x14ac:dyDescent="0.2">
      <c r="A121" s="59"/>
      <c r="B121" s="66"/>
      <c r="C121" s="66"/>
      <c r="D121" s="66"/>
      <c r="E121" s="59"/>
      <c r="F121" s="59"/>
      <c r="G121" s="59"/>
      <c r="H121" s="59"/>
      <c r="I121" s="59"/>
      <c r="J121" s="59"/>
      <c r="K121" s="59"/>
      <c r="L121" s="68"/>
      <c r="M121" s="63"/>
      <c r="N121" s="59"/>
      <c r="O121" s="69"/>
      <c r="P121" s="70"/>
      <c r="Q121" s="70"/>
      <c r="R121" s="70"/>
      <c r="S121" s="70"/>
      <c r="T121" s="70"/>
      <c r="U121" s="70"/>
      <c r="V121" s="70"/>
      <c r="W121" s="70"/>
      <c r="X121" s="70"/>
      <c r="Y121" s="70"/>
      <c r="Z121" s="70"/>
      <c r="AA121" s="70"/>
      <c r="AB121" s="70"/>
      <c r="AC121" s="70"/>
      <c r="AD121" s="70"/>
      <c r="AE121" s="70"/>
      <c r="AF121" s="70"/>
      <c r="AG121" s="70"/>
      <c r="AH121" s="70"/>
      <c r="AI121" s="70"/>
      <c r="AJ121" s="70"/>
      <c r="AK121" s="70"/>
      <c r="AL121" s="70"/>
      <c r="AM121" s="70"/>
      <c r="AN121" s="70"/>
      <c r="AO121" s="70"/>
      <c r="AP121" s="70"/>
      <c r="AQ121" s="70"/>
      <c r="AR121" s="70"/>
      <c r="AS121" s="70"/>
      <c r="AT121" s="70"/>
      <c r="AU121" s="70"/>
      <c r="AV121" s="70"/>
      <c r="AW121" s="70"/>
      <c r="AX121" s="70"/>
      <c r="AY121" s="70"/>
      <c r="AZ121" s="70"/>
      <c r="BA121" s="70"/>
      <c r="BB121" s="70"/>
      <c r="BC121" s="70"/>
      <c r="BD121" s="70"/>
      <c r="BE121" s="70"/>
      <c r="BF121" s="70"/>
      <c r="BG121" s="70"/>
      <c r="BH121" s="70"/>
      <c r="BI121" s="70"/>
      <c r="BJ121" s="70"/>
      <c r="BK121" s="70"/>
      <c r="BL121" s="70"/>
      <c r="BM121" s="70"/>
      <c r="BN121" s="70"/>
      <c r="BO121" s="70"/>
      <c r="BP121" s="70"/>
      <c r="BQ121" s="70"/>
      <c r="BR121" s="70"/>
      <c r="BS121" s="70"/>
      <c r="BT121" s="70"/>
      <c r="BU121" s="70"/>
      <c r="BV121" s="70"/>
      <c r="BW121" s="70"/>
      <c r="BX121" s="70"/>
      <c r="BY121" s="70"/>
      <c r="BZ121" s="70"/>
      <c r="CA121" s="70"/>
      <c r="CB121" s="70"/>
      <c r="CC121" s="70"/>
      <c r="CD121" s="70"/>
      <c r="CE121" s="70"/>
      <c r="CF121" s="70"/>
      <c r="CG121" s="70"/>
      <c r="CH121" s="70"/>
      <c r="CI121" s="70"/>
      <c r="CJ121" s="70"/>
      <c r="CK121" s="70"/>
      <c r="CL121" s="70"/>
      <c r="CM121" s="70"/>
      <c r="CN121" s="70"/>
      <c r="CO121" s="70"/>
      <c r="CP121" s="70"/>
      <c r="CR121" s="180"/>
    </row>
    <row r="122" spans="1:96" x14ac:dyDescent="0.2">
      <c r="B122" s="66"/>
      <c r="C122" s="66"/>
      <c r="D122" s="66"/>
      <c r="E122" s="59"/>
      <c r="F122" s="59"/>
      <c r="G122" s="59"/>
      <c r="H122" s="59"/>
      <c r="I122" s="59"/>
      <c r="J122" s="59"/>
      <c r="K122" s="59"/>
      <c r="L122" s="68"/>
      <c r="M122" s="63"/>
      <c r="N122" s="59"/>
      <c r="O122" s="69"/>
      <c r="P122" s="70"/>
      <c r="Q122" s="70"/>
      <c r="R122" s="70"/>
      <c r="S122" s="70"/>
      <c r="T122" s="70"/>
      <c r="U122" s="70"/>
      <c r="V122" s="70"/>
      <c r="W122" s="70"/>
      <c r="X122" s="70"/>
      <c r="Y122" s="70"/>
      <c r="Z122" s="70"/>
      <c r="AA122" s="70"/>
      <c r="AB122" s="70"/>
      <c r="AC122" s="70"/>
      <c r="AD122" s="70"/>
      <c r="AE122" s="70"/>
      <c r="AF122" s="70"/>
      <c r="AG122" s="70"/>
      <c r="AH122" s="70"/>
      <c r="AI122" s="70"/>
      <c r="AJ122" s="70"/>
      <c r="AK122" s="70"/>
      <c r="AL122" s="70"/>
      <c r="AM122" s="70"/>
      <c r="AN122" s="70"/>
      <c r="AO122" s="70"/>
      <c r="AP122" s="70"/>
      <c r="AQ122" s="70"/>
      <c r="AR122" s="70"/>
      <c r="AS122" s="70"/>
      <c r="AT122" s="70"/>
      <c r="AU122" s="70"/>
      <c r="AV122" s="70"/>
      <c r="AW122" s="70"/>
      <c r="AX122" s="70"/>
      <c r="AY122" s="70"/>
      <c r="AZ122" s="70"/>
      <c r="BA122" s="70"/>
      <c r="BB122" s="70"/>
      <c r="BC122" s="70"/>
      <c r="BD122" s="70"/>
      <c r="BE122" s="70"/>
      <c r="BF122" s="70"/>
      <c r="BG122" s="70"/>
      <c r="BH122" s="70"/>
      <c r="BI122" s="70"/>
      <c r="BJ122" s="70"/>
      <c r="BK122" s="70"/>
      <c r="BL122" s="70"/>
      <c r="BM122" s="70"/>
      <c r="BN122" s="70"/>
      <c r="BO122" s="70"/>
      <c r="BP122" s="70"/>
      <c r="BQ122" s="70"/>
      <c r="BR122" s="70"/>
      <c r="BS122" s="70"/>
      <c r="BT122" s="70"/>
      <c r="BU122" s="70"/>
      <c r="BV122" s="70"/>
      <c r="BW122" s="70"/>
      <c r="BX122" s="70"/>
      <c r="BY122" s="70"/>
      <c r="BZ122" s="70"/>
      <c r="CA122" s="70"/>
      <c r="CB122" s="70"/>
      <c r="CC122" s="70"/>
      <c r="CD122" s="70"/>
      <c r="CE122" s="70"/>
      <c r="CF122" s="70"/>
      <c r="CG122" s="70"/>
      <c r="CH122" s="70"/>
      <c r="CI122" s="70"/>
      <c r="CJ122" s="70"/>
      <c r="CK122" s="70"/>
      <c r="CL122" s="70"/>
      <c r="CM122" s="70"/>
      <c r="CN122" s="70"/>
      <c r="CO122" s="70"/>
      <c r="CP122" s="70"/>
      <c r="CR122" s="180"/>
    </row>
    <row r="123" spans="1:96" x14ac:dyDescent="0.2">
      <c r="A123" s="59"/>
      <c r="B123" s="66"/>
      <c r="C123" s="66"/>
      <c r="D123" s="66"/>
      <c r="E123" s="59"/>
      <c r="F123" s="59"/>
      <c r="G123" s="59"/>
      <c r="H123" s="59"/>
      <c r="I123" s="59"/>
      <c r="J123" s="59"/>
      <c r="K123" s="59"/>
      <c r="L123" s="68"/>
      <c r="M123" s="63"/>
      <c r="N123" s="59"/>
      <c r="O123" s="69"/>
      <c r="P123" s="70"/>
      <c r="Q123" s="70"/>
      <c r="R123" s="70"/>
      <c r="S123" s="70"/>
      <c r="T123" s="70"/>
      <c r="U123" s="70"/>
      <c r="V123" s="70"/>
      <c r="W123" s="70"/>
      <c r="X123" s="70"/>
      <c r="Y123" s="70"/>
      <c r="Z123" s="70"/>
      <c r="AA123" s="70"/>
      <c r="AB123" s="70"/>
      <c r="AC123" s="70"/>
      <c r="AD123" s="70"/>
      <c r="AE123" s="70"/>
      <c r="AF123" s="70"/>
      <c r="AG123" s="70"/>
      <c r="AH123" s="70"/>
      <c r="AI123" s="70"/>
      <c r="AJ123" s="70"/>
      <c r="AK123" s="70"/>
      <c r="AL123" s="70"/>
      <c r="AM123" s="70"/>
      <c r="AN123" s="70"/>
      <c r="AO123" s="70"/>
      <c r="AP123" s="70"/>
      <c r="AQ123" s="70"/>
      <c r="AR123" s="70"/>
      <c r="AS123" s="70"/>
      <c r="AT123" s="70"/>
      <c r="AU123" s="70"/>
      <c r="AV123" s="70"/>
      <c r="AW123" s="70"/>
      <c r="AX123" s="70"/>
      <c r="AY123" s="70"/>
      <c r="AZ123" s="70"/>
      <c r="BA123" s="70"/>
      <c r="BB123" s="70"/>
      <c r="BC123" s="70"/>
      <c r="BD123" s="70"/>
      <c r="BE123" s="70"/>
      <c r="BF123" s="70"/>
      <c r="BG123" s="70"/>
      <c r="BH123" s="70"/>
      <c r="BI123" s="70"/>
      <c r="BJ123" s="70"/>
      <c r="BK123" s="70"/>
      <c r="BL123" s="70"/>
      <c r="BM123" s="70"/>
      <c r="BN123" s="70"/>
      <c r="BO123" s="70"/>
      <c r="BP123" s="70"/>
      <c r="BQ123" s="70"/>
      <c r="BR123" s="70"/>
      <c r="BS123" s="70"/>
      <c r="BT123" s="70"/>
      <c r="BU123" s="70"/>
      <c r="BV123" s="70"/>
      <c r="BW123" s="70"/>
      <c r="BX123" s="70"/>
      <c r="BY123" s="70"/>
      <c r="BZ123" s="70"/>
      <c r="CA123" s="70"/>
      <c r="CB123" s="70"/>
      <c r="CC123" s="70"/>
      <c r="CD123" s="70"/>
      <c r="CE123" s="70"/>
      <c r="CF123" s="70"/>
      <c r="CG123" s="70"/>
      <c r="CH123" s="70"/>
      <c r="CI123" s="70"/>
      <c r="CJ123" s="70"/>
      <c r="CK123" s="70"/>
      <c r="CL123" s="70"/>
      <c r="CM123" s="70"/>
      <c r="CN123" s="70"/>
      <c r="CO123" s="70"/>
      <c r="CP123" s="70"/>
      <c r="CR123" s="180"/>
    </row>
    <row r="124" spans="1:96" x14ac:dyDescent="0.2">
      <c r="B124" s="66"/>
      <c r="C124" s="66"/>
      <c r="D124" s="66"/>
      <c r="E124" s="59"/>
      <c r="F124" s="59"/>
      <c r="G124" s="59"/>
      <c r="H124" s="59"/>
      <c r="I124" s="59"/>
      <c r="J124" s="59"/>
      <c r="K124" s="59"/>
      <c r="L124" s="68"/>
      <c r="M124" s="63"/>
      <c r="N124" s="59"/>
      <c r="O124" s="69"/>
      <c r="P124" s="70"/>
      <c r="Q124" s="70"/>
      <c r="R124" s="70"/>
      <c r="S124" s="70"/>
      <c r="T124" s="70"/>
      <c r="U124" s="70"/>
      <c r="V124" s="70"/>
      <c r="W124" s="70"/>
      <c r="X124" s="70"/>
      <c r="Y124" s="70"/>
      <c r="Z124" s="70"/>
      <c r="AA124" s="70"/>
      <c r="AB124" s="70"/>
      <c r="AC124" s="70"/>
      <c r="AD124" s="70"/>
      <c r="AE124" s="70"/>
      <c r="AF124" s="70"/>
      <c r="AG124" s="70"/>
      <c r="AH124" s="70"/>
      <c r="AI124" s="70"/>
      <c r="AJ124" s="70"/>
      <c r="AK124" s="70"/>
      <c r="AL124" s="70"/>
      <c r="AM124" s="70"/>
      <c r="AN124" s="70"/>
      <c r="AO124" s="70"/>
      <c r="AP124" s="70"/>
      <c r="AQ124" s="70"/>
      <c r="AR124" s="70"/>
      <c r="AS124" s="70"/>
      <c r="AT124" s="70"/>
      <c r="AU124" s="70"/>
      <c r="AV124" s="70"/>
      <c r="AW124" s="70"/>
      <c r="AX124" s="70"/>
      <c r="AY124" s="70"/>
      <c r="AZ124" s="70"/>
      <c r="BA124" s="70"/>
      <c r="BB124" s="70"/>
      <c r="BC124" s="70"/>
      <c r="BD124" s="70"/>
      <c r="BE124" s="70"/>
      <c r="BF124" s="70"/>
      <c r="BG124" s="70"/>
      <c r="BH124" s="70"/>
      <c r="BI124" s="70"/>
      <c r="BJ124" s="70"/>
      <c r="BK124" s="70"/>
      <c r="BL124" s="70"/>
      <c r="BM124" s="70"/>
      <c r="BN124" s="70"/>
      <c r="BO124" s="70"/>
      <c r="BP124" s="70"/>
      <c r="BQ124" s="70"/>
      <c r="BR124" s="70"/>
      <c r="BS124" s="70"/>
      <c r="BT124" s="70"/>
      <c r="BU124" s="70"/>
      <c r="BV124" s="70"/>
      <c r="BW124" s="70"/>
      <c r="BX124" s="70"/>
      <c r="BY124" s="70"/>
      <c r="BZ124" s="70"/>
      <c r="CA124" s="70"/>
      <c r="CB124" s="70"/>
      <c r="CC124" s="70"/>
      <c r="CD124" s="70"/>
      <c r="CE124" s="70"/>
      <c r="CF124" s="70"/>
      <c r="CG124" s="70"/>
      <c r="CH124" s="70"/>
      <c r="CI124" s="70"/>
      <c r="CJ124" s="70"/>
      <c r="CK124" s="70"/>
      <c r="CL124" s="70"/>
      <c r="CM124" s="70"/>
      <c r="CN124" s="70"/>
      <c r="CO124" s="70"/>
      <c r="CP124" s="70"/>
      <c r="CR124" s="180"/>
    </row>
    <row r="125" spans="1:96" x14ac:dyDescent="0.2">
      <c r="A125" s="59"/>
      <c r="B125" s="66"/>
      <c r="C125" s="66"/>
      <c r="D125" s="66"/>
      <c r="E125" s="59"/>
      <c r="F125" s="59"/>
      <c r="G125" s="59"/>
      <c r="H125" s="59"/>
      <c r="I125" s="59"/>
      <c r="J125" s="59"/>
      <c r="K125" s="59"/>
      <c r="L125" s="68"/>
      <c r="M125" s="63"/>
      <c r="N125" s="59"/>
      <c r="O125" s="69"/>
      <c r="P125" s="70"/>
      <c r="Q125" s="70"/>
      <c r="R125" s="70"/>
      <c r="S125" s="70"/>
      <c r="T125" s="70"/>
      <c r="U125" s="70"/>
      <c r="V125" s="70"/>
      <c r="W125" s="70"/>
      <c r="X125" s="70"/>
      <c r="Y125" s="70"/>
      <c r="Z125" s="70"/>
      <c r="AA125" s="70"/>
      <c r="AB125" s="70"/>
      <c r="AC125" s="70"/>
      <c r="AD125" s="70"/>
      <c r="AE125" s="70"/>
      <c r="AF125" s="70"/>
      <c r="AG125" s="70"/>
      <c r="AH125" s="70"/>
      <c r="AI125" s="70"/>
      <c r="AJ125" s="70"/>
      <c r="AK125" s="70"/>
      <c r="AL125" s="70"/>
      <c r="AM125" s="70"/>
      <c r="AN125" s="70"/>
      <c r="AO125" s="70"/>
      <c r="AP125" s="70"/>
      <c r="AQ125" s="70"/>
      <c r="AR125" s="70"/>
      <c r="AS125" s="70"/>
      <c r="AT125" s="70"/>
      <c r="AU125" s="70"/>
      <c r="AV125" s="70"/>
      <c r="AW125" s="70"/>
      <c r="AX125" s="70"/>
      <c r="AY125" s="70"/>
      <c r="AZ125" s="70"/>
      <c r="BA125" s="70"/>
      <c r="BB125" s="70"/>
      <c r="BC125" s="70"/>
      <c r="BD125" s="70"/>
      <c r="BE125" s="70"/>
      <c r="BF125" s="70"/>
      <c r="BG125" s="70"/>
      <c r="BH125" s="70"/>
      <c r="BI125" s="70"/>
      <c r="BJ125" s="70"/>
      <c r="BK125" s="70"/>
      <c r="BL125" s="70"/>
      <c r="BM125" s="70"/>
      <c r="BN125" s="70"/>
      <c r="BO125" s="70"/>
      <c r="BP125" s="70"/>
      <c r="BQ125" s="70"/>
      <c r="BR125" s="70"/>
      <c r="BS125" s="70"/>
      <c r="BT125" s="70"/>
      <c r="BU125" s="70"/>
      <c r="BV125" s="70"/>
      <c r="BW125" s="70"/>
      <c r="BX125" s="70"/>
      <c r="BY125" s="70"/>
      <c r="BZ125" s="70"/>
      <c r="CA125" s="70"/>
      <c r="CB125" s="70"/>
      <c r="CC125" s="70"/>
      <c r="CD125" s="70"/>
      <c r="CE125" s="70"/>
      <c r="CF125" s="70"/>
      <c r="CG125" s="70"/>
      <c r="CH125" s="70"/>
      <c r="CI125" s="70"/>
      <c r="CJ125" s="70"/>
      <c r="CK125" s="70"/>
      <c r="CL125" s="70"/>
      <c r="CM125" s="70"/>
      <c r="CN125" s="70"/>
      <c r="CO125" s="70"/>
      <c r="CP125" s="70"/>
      <c r="CR125" s="180"/>
    </row>
    <row r="126" spans="1:96" x14ac:dyDescent="0.2">
      <c r="B126" s="66"/>
      <c r="C126" s="66"/>
      <c r="D126" s="66"/>
      <c r="E126" s="59"/>
      <c r="F126" s="59"/>
      <c r="G126" s="59"/>
      <c r="H126" s="59"/>
      <c r="I126" s="59"/>
      <c r="J126" s="59"/>
      <c r="K126" s="59"/>
      <c r="L126" s="68"/>
      <c r="M126" s="63"/>
      <c r="N126" s="59"/>
      <c r="O126" s="69"/>
      <c r="P126" s="70"/>
      <c r="Q126" s="70"/>
      <c r="R126" s="70"/>
      <c r="S126" s="70"/>
      <c r="T126" s="70"/>
      <c r="U126" s="70"/>
      <c r="V126" s="70"/>
      <c r="W126" s="70"/>
      <c r="X126" s="70"/>
      <c r="Y126" s="70"/>
      <c r="Z126" s="70"/>
      <c r="AA126" s="70"/>
      <c r="AB126" s="70"/>
      <c r="AC126" s="70"/>
      <c r="AD126" s="70"/>
      <c r="AE126" s="70"/>
      <c r="AF126" s="70"/>
      <c r="AG126" s="70"/>
      <c r="AH126" s="70"/>
      <c r="AI126" s="70"/>
      <c r="AJ126" s="70"/>
      <c r="AK126" s="70"/>
      <c r="AL126" s="70"/>
      <c r="AM126" s="70"/>
      <c r="AN126" s="70"/>
      <c r="AO126" s="70"/>
      <c r="AP126" s="70"/>
      <c r="AQ126" s="70"/>
      <c r="AR126" s="70"/>
      <c r="AS126" s="70"/>
      <c r="AT126" s="70"/>
      <c r="AU126" s="70"/>
      <c r="AV126" s="70"/>
      <c r="AW126" s="70"/>
      <c r="AX126" s="70"/>
      <c r="AY126" s="70"/>
      <c r="AZ126" s="70"/>
      <c r="BA126" s="70"/>
      <c r="BB126" s="70"/>
      <c r="BC126" s="70"/>
      <c r="BD126" s="70"/>
      <c r="BE126" s="70"/>
      <c r="BF126" s="70"/>
      <c r="BG126" s="70"/>
      <c r="BH126" s="70"/>
      <c r="BI126" s="70"/>
      <c r="BJ126" s="70"/>
      <c r="BK126" s="70"/>
      <c r="BL126" s="70"/>
      <c r="BM126" s="70"/>
      <c r="BN126" s="70"/>
      <c r="BO126" s="70"/>
      <c r="BP126" s="70"/>
      <c r="BQ126" s="70"/>
      <c r="BR126" s="70"/>
      <c r="BS126" s="70"/>
      <c r="BT126" s="70"/>
      <c r="BU126" s="70"/>
      <c r="BV126" s="70"/>
      <c r="BW126" s="70"/>
      <c r="BX126" s="70"/>
      <c r="BY126" s="70"/>
      <c r="BZ126" s="70"/>
      <c r="CA126" s="70"/>
      <c r="CB126" s="70"/>
      <c r="CC126" s="70"/>
      <c r="CD126" s="70"/>
      <c r="CE126" s="70"/>
      <c r="CF126" s="70"/>
      <c r="CG126" s="70"/>
      <c r="CH126" s="70"/>
      <c r="CI126" s="70"/>
      <c r="CJ126" s="70"/>
      <c r="CK126" s="70"/>
      <c r="CL126" s="70"/>
      <c r="CM126" s="70"/>
      <c r="CN126" s="70"/>
      <c r="CO126" s="70"/>
      <c r="CP126" s="70"/>
      <c r="CR126" s="180"/>
    </row>
    <row r="127" spans="1:96" x14ac:dyDescent="0.2">
      <c r="A127" s="59"/>
      <c r="B127" s="66"/>
      <c r="C127" s="66"/>
      <c r="D127" s="66"/>
      <c r="E127" s="59"/>
      <c r="F127" s="59"/>
      <c r="G127" s="59"/>
      <c r="H127" s="59"/>
      <c r="I127" s="59"/>
      <c r="J127" s="59"/>
      <c r="K127" s="59"/>
      <c r="L127" s="68"/>
      <c r="M127" s="63"/>
      <c r="N127" s="59"/>
      <c r="O127" s="69"/>
      <c r="P127" s="70"/>
      <c r="Q127" s="70"/>
      <c r="R127" s="70"/>
      <c r="S127" s="70"/>
      <c r="T127" s="70"/>
      <c r="U127" s="70"/>
      <c r="V127" s="70"/>
      <c r="W127" s="70"/>
      <c r="X127" s="70"/>
      <c r="Y127" s="70"/>
      <c r="Z127" s="70"/>
      <c r="AA127" s="70"/>
      <c r="AB127" s="70"/>
      <c r="AC127" s="70"/>
      <c r="AD127" s="70"/>
      <c r="AE127" s="70"/>
      <c r="AF127" s="70"/>
      <c r="AG127" s="70"/>
      <c r="AH127" s="70"/>
      <c r="AI127" s="70"/>
      <c r="AJ127" s="70"/>
      <c r="AK127" s="70"/>
      <c r="AL127" s="70"/>
      <c r="AM127" s="70"/>
      <c r="AN127" s="70"/>
      <c r="AO127" s="70"/>
      <c r="AP127" s="70"/>
      <c r="AQ127" s="70"/>
      <c r="AR127" s="70"/>
      <c r="AS127" s="70"/>
      <c r="AT127" s="70"/>
      <c r="AU127" s="70"/>
      <c r="AV127" s="70"/>
      <c r="AW127" s="70"/>
      <c r="AX127" s="70"/>
      <c r="AY127" s="70"/>
      <c r="AZ127" s="70"/>
      <c r="BA127" s="70"/>
      <c r="BB127" s="70"/>
      <c r="BC127" s="70"/>
      <c r="BD127" s="70"/>
      <c r="BE127" s="70"/>
      <c r="BF127" s="70"/>
      <c r="BG127" s="70"/>
      <c r="BH127" s="70"/>
      <c r="BI127" s="70"/>
      <c r="BJ127" s="70"/>
      <c r="BK127" s="70"/>
      <c r="BL127" s="70"/>
      <c r="BM127" s="70"/>
      <c r="BN127" s="70"/>
      <c r="BO127" s="70"/>
      <c r="BP127" s="70"/>
      <c r="BQ127" s="70"/>
      <c r="BR127" s="70"/>
      <c r="BS127" s="70"/>
      <c r="BT127" s="70"/>
      <c r="BU127" s="70"/>
      <c r="BV127" s="70"/>
      <c r="BW127" s="70"/>
      <c r="BX127" s="70"/>
      <c r="BY127" s="70"/>
      <c r="BZ127" s="70"/>
      <c r="CA127" s="70"/>
      <c r="CB127" s="70"/>
      <c r="CC127" s="70"/>
      <c r="CD127" s="70"/>
      <c r="CE127" s="70"/>
      <c r="CF127" s="70"/>
      <c r="CG127" s="70"/>
      <c r="CH127" s="70"/>
      <c r="CI127" s="70"/>
      <c r="CJ127" s="70"/>
      <c r="CK127" s="70"/>
      <c r="CL127" s="70"/>
      <c r="CM127" s="70"/>
      <c r="CN127" s="70"/>
      <c r="CO127" s="70"/>
      <c r="CP127" s="70"/>
      <c r="CR127" s="180"/>
    </row>
    <row r="128" spans="1:96" x14ac:dyDescent="0.2">
      <c r="B128" s="66"/>
      <c r="C128" s="66"/>
      <c r="D128" s="66"/>
      <c r="E128" s="59"/>
      <c r="F128" s="59"/>
      <c r="G128" s="59"/>
      <c r="H128" s="59"/>
      <c r="I128" s="59"/>
      <c r="J128" s="59"/>
      <c r="K128" s="59"/>
      <c r="L128" s="68"/>
      <c r="M128" s="63"/>
      <c r="N128" s="59"/>
      <c r="O128" s="69"/>
      <c r="P128" s="70"/>
      <c r="Q128" s="70"/>
      <c r="R128" s="70"/>
      <c r="S128" s="70"/>
      <c r="T128" s="70"/>
      <c r="U128" s="70"/>
      <c r="V128" s="70"/>
      <c r="W128" s="70"/>
      <c r="X128" s="70"/>
      <c r="Y128" s="70"/>
      <c r="Z128" s="70"/>
      <c r="AA128" s="70"/>
      <c r="AB128" s="70"/>
      <c r="AC128" s="70"/>
      <c r="AD128" s="70"/>
      <c r="AE128" s="70"/>
      <c r="AF128" s="70"/>
      <c r="AG128" s="70"/>
      <c r="AH128" s="70"/>
      <c r="AI128" s="70"/>
      <c r="AJ128" s="70"/>
      <c r="AK128" s="70"/>
      <c r="AL128" s="70"/>
      <c r="AM128" s="70"/>
      <c r="AN128" s="70"/>
      <c r="AO128" s="70"/>
      <c r="AP128" s="70"/>
      <c r="AQ128" s="70"/>
      <c r="AR128" s="70"/>
      <c r="AS128" s="70"/>
      <c r="AT128" s="70"/>
      <c r="AU128" s="70"/>
      <c r="AV128" s="70"/>
      <c r="AW128" s="70"/>
      <c r="AX128" s="70"/>
      <c r="AY128" s="70"/>
      <c r="AZ128" s="70"/>
      <c r="BA128" s="70"/>
      <c r="BB128" s="70"/>
      <c r="BC128" s="70"/>
      <c r="BD128" s="70"/>
      <c r="BE128" s="70"/>
      <c r="BF128" s="70"/>
      <c r="BG128" s="70"/>
      <c r="BH128" s="70"/>
      <c r="BI128" s="70"/>
      <c r="BJ128" s="70"/>
      <c r="BK128" s="70"/>
      <c r="BL128" s="70"/>
      <c r="BM128" s="70"/>
      <c r="BN128" s="70"/>
      <c r="BO128" s="70"/>
      <c r="BP128" s="70"/>
      <c r="BQ128" s="70"/>
      <c r="BR128" s="70"/>
      <c r="BS128" s="70"/>
      <c r="BT128" s="70"/>
      <c r="BU128" s="70"/>
      <c r="BV128" s="70"/>
      <c r="BW128" s="70"/>
      <c r="BX128" s="70"/>
      <c r="BY128" s="70"/>
      <c r="BZ128" s="70"/>
      <c r="CA128" s="70"/>
      <c r="CB128" s="70"/>
      <c r="CC128" s="70"/>
      <c r="CD128" s="70"/>
      <c r="CE128" s="70"/>
      <c r="CF128" s="70"/>
      <c r="CG128" s="70"/>
      <c r="CH128" s="70"/>
      <c r="CI128" s="70"/>
      <c r="CJ128" s="70"/>
      <c r="CK128" s="70"/>
      <c r="CL128" s="70"/>
      <c r="CM128" s="70"/>
      <c r="CN128" s="70"/>
      <c r="CO128" s="70"/>
      <c r="CP128" s="70"/>
      <c r="CR128" s="180"/>
    </row>
    <row r="129" spans="1:96" x14ac:dyDescent="0.2">
      <c r="A129" s="59"/>
      <c r="B129" s="66"/>
      <c r="C129" s="66"/>
      <c r="D129" s="66"/>
      <c r="E129" s="59"/>
      <c r="F129" s="59"/>
      <c r="G129" s="59"/>
      <c r="H129" s="59"/>
      <c r="I129" s="59"/>
      <c r="J129" s="59"/>
      <c r="K129" s="59"/>
      <c r="L129" s="68"/>
      <c r="M129" s="63"/>
      <c r="N129" s="59"/>
      <c r="O129" s="69"/>
      <c r="P129" s="70"/>
      <c r="Q129" s="70"/>
      <c r="R129" s="70"/>
      <c r="S129" s="70"/>
      <c r="T129" s="70"/>
      <c r="U129" s="70"/>
      <c r="V129" s="70"/>
      <c r="W129" s="70"/>
      <c r="X129" s="70"/>
      <c r="Y129" s="70"/>
      <c r="Z129" s="70"/>
      <c r="AA129" s="70"/>
      <c r="AB129" s="70"/>
      <c r="AC129" s="70"/>
      <c r="AD129" s="70"/>
      <c r="AE129" s="70"/>
      <c r="AF129" s="70"/>
      <c r="AG129" s="70"/>
      <c r="AH129" s="70"/>
      <c r="AI129" s="70"/>
      <c r="AJ129" s="70"/>
      <c r="AK129" s="70"/>
      <c r="AL129" s="70"/>
      <c r="AM129" s="70"/>
      <c r="AN129" s="70"/>
      <c r="AO129" s="70"/>
      <c r="AP129" s="70"/>
      <c r="AQ129" s="70"/>
      <c r="AR129" s="70"/>
      <c r="AS129" s="70"/>
      <c r="AT129" s="70"/>
      <c r="AU129" s="70"/>
      <c r="AV129" s="70"/>
      <c r="AW129" s="70"/>
      <c r="AX129" s="70"/>
      <c r="AY129" s="70"/>
      <c r="AZ129" s="70"/>
      <c r="BA129" s="70"/>
      <c r="BB129" s="70"/>
      <c r="BC129" s="70"/>
      <c r="BD129" s="70"/>
      <c r="BE129" s="70"/>
      <c r="BF129" s="70"/>
      <c r="BG129" s="70"/>
      <c r="BH129" s="70"/>
      <c r="BI129" s="70"/>
      <c r="BJ129" s="70"/>
      <c r="BK129" s="70"/>
      <c r="BL129" s="70"/>
      <c r="BM129" s="70"/>
      <c r="BN129" s="70"/>
      <c r="BO129" s="70"/>
      <c r="BP129" s="70"/>
      <c r="BQ129" s="70"/>
      <c r="BR129" s="70"/>
      <c r="BS129" s="70"/>
      <c r="BT129" s="70"/>
      <c r="BU129" s="70"/>
      <c r="BV129" s="70"/>
      <c r="BW129" s="70"/>
      <c r="BX129" s="70"/>
      <c r="BY129" s="70"/>
      <c r="BZ129" s="70"/>
      <c r="CA129" s="70"/>
      <c r="CB129" s="70"/>
      <c r="CC129" s="70"/>
      <c r="CD129" s="70"/>
      <c r="CE129" s="70"/>
      <c r="CF129" s="70"/>
      <c r="CG129" s="70"/>
      <c r="CH129" s="70"/>
      <c r="CI129" s="70"/>
      <c r="CJ129" s="70"/>
      <c r="CK129" s="70"/>
      <c r="CL129" s="70"/>
      <c r="CM129" s="70"/>
      <c r="CN129" s="70"/>
      <c r="CO129" s="70"/>
      <c r="CP129" s="70"/>
      <c r="CR129" s="180"/>
    </row>
    <row r="130" spans="1:96" x14ac:dyDescent="0.2">
      <c r="B130" s="66"/>
      <c r="C130" s="66"/>
      <c r="D130" s="66"/>
      <c r="E130" s="59"/>
      <c r="F130" s="59"/>
      <c r="G130" s="59"/>
      <c r="H130" s="59"/>
      <c r="I130" s="59"/>
      <c r="J130" s="59"/>
      <c r="K130" s="59"/>
      <c r="L130" s="68"/>
      <c r="M130" s="63"/>
      <c r="N130" s="59"/>
      <c r="O130" s="69"/>
      <c r="P130" s="70"/>
      <c r="Q130" s="70"/>
      <c r="R130" s="70"/>
      <c r="S130" s="70"/>
      <c r="T130" s="70"/>
      <c r="U130" s="70"/>
      <c r="V130" s="70"/>
      <c r="W130" s="70"/>
      <c r="X130" s="70"/>
      <c r="Y130" s="70"/>
      <c r="Z130" s="70"/>
      <c r="AA130" s="70"/>
      <c r="AB130" s="70"/>
      <c r="AC130" s="70"/>
      <c r="AD130" s="70"/>
      <c r="AE130" s="70"/>
      <c r="AF130" s="70"/>
      <c r="AG130" s="70"/>
      <c r="AH130" s="70"/>
      <c r="AI130" s="70"/>
      <c r="AJ130" s="70"/>
      <c r="AK130" s="70"/>
      <c r="AL130" s="70"/>
      <c r="AM130" s="70"/>
      <c r="AN130" s="70"/>
      <c r="AO130" s="70"/>
      <c r="AP130" s="70"/>
      <c r="AQ130" s="70"/>
      <c r="AR130" s="70"/>
      <c r="AS130" s="70"/>
      <c r="AT130" s="70"/>
      <c r="AU130" s="70"/>
      <c r="AV130" s="70"/>
      <c r="AW130" s="70"/>
      <c r="AX130" s="70"/>
      <c r="AY130" s="70"/>
      <c r="AZ130" s="70"/>
      <c r="BA130" s="70"/>
      <c r="BB130" s="70"/>
      <c r="BC130" s="70"/>
      <c r="BD130" s="70"/>
      <c r="BE130" s="70"/>
      <c r="BF130" s="70"/>
      <c r="BG130" s="70"/>
      <c r="BH130" s="70"/>
      <c r="BI130" s="70"/>
      <c r="BJ130" s="70"/>
      <c r="BK130" s="70"/>
      <c r="BL130" s="70"/>
      <c r="BM130" s="70"/>
      <c r="BN130" s="70"/>
      <c r="BO130" s="70"/>
      <c r="BP130" s="70"/>
      <c r="BQ130" s="70"/>
      <c r="BR130" s="70"/>
      <c r="BS130" s="70"/>
      <c r="BT130" s="70"/>
      <c r="BU130" s="70"/>
      <c r="BV130" s="70"/>
      <c r="BW130" s="70"/>
      <c r="BX130" s="70"/>
      <c r="BY130" s="70"/>
      <c r="BZ130" s="70"/>
      <c r="CA130" s="70"/>
      <c r="CB130" s="70"/>
      <c r="CC130" s="70"/>
      <c r="CD130" s="70"/>
      <c r="CE130" s="70"/>
      <c r="CF130" s="70"/>
      <c r="CG130" s="70"/>
      <c r="CH130" s="70"/>
      <c r="CI130" s="70"/>
      <c r="CJ130" s="70"/>
      <c r="CK130" s="70"/>
      <c r="CL130" s="70"/>
      <c r="CM130" s="70"/>
      <c r="CN130" s="70"/>
      <c r="CO130" s="70"/>
      <c r="CP130" s="70"/>
      <c r="CR130" s="180"/>
    </row>
    <row r="131" spans="1:96" x14ac:dyDescent="0.2">
      <c r="A131" s="59"/>
      <c r="B131" s="66"/>
      <c r="C131" s="66"/>
      <c r="D131" s="66"/>
      <c r="E131" s="59"/>
      <c r="F131" s="59"/>
      <c r="G131" s="59"/>
      <c r="H131" s="59"/>
      <c r="I131" s="59"/>
      <c r="J131" s="59"/>
      <c r="K131" s="59"/>
      <c r="L131" s="68"/>
      <c r="M131" s="63"/>
      <c r="N131" s="59"/>
      <c r="O131" s="69"/>
      <c r="P131" s="70"/>
      <c r="Q131" s="70"/>
      <c r="R131" s="70"/>
      <c r="S131" s="70"/>
      <c r="T131" s="70"/>
      <c r="U131" s="70"/>
      <c r="V131" s="70"/>
      <c r="W131" s="70"/>
      <c r="X131" s="70"/>
      <c r="Y131" s="70"/>
      <c r="Z131" s="70"/>
      <c r="AA131" s="70"/>
      <c r="AB131" s="70"/>
      <c r="AC131" s="70"/>
      <c r="AD131" s="70"/>
      <c r="AE131" s="70"/>
      <c r="AF131" s="70"/>
      <c r="AG131" s="70"/>
      <c r="AH131" s="70"/>
      <c r="AI131" s="70"/>
      <c r="AJ131" s="70"/>
      <c r="AK131" s="70"/>
      <c r="AL131" s="70"/>
      <c r="AM131" s="70"/>
      <c r="AN131" s="70"/>
      <c r="AO131" s="70"/>
      <c r="AP131" s="70"/>
      <c r="AQ131" s="70"/>
      <c r="AR131" s="70"/>
      <c r="AS131" s="70"/>
      <c r="AT131" s="70"/>
      <c r="AU131" s="70"/>
      <c r="AV131" s="70"/>
      <c r="AW131" s="70"/>
      <c r="AX131" s="70"/>
      <c r="AY131" s="70"/>
      <c r="AZ131" s="70"/>
      <c r="BA131" s="70"/>
      <c r="BB131" s="70"/>
      <c r="BC131" s="70"/>
      <c r="BD131" s="70"/>
      <c r="BE131" s="70"/>
      <c r="BF131" s="70"/>
      <c r="BG131" s="70"/>
      <c r="BH131" s="70"/>
      <c r="BI131" s="70"/>
      <c r="BJ131" s="70"/>
      <c r="BK131" s="70"/>
      <c r="BL131" s="70"/>
      <c r="BM131" s="70"/>
      <c r="BN131" s="70"/>
      <c r="BO131" s="70"/>
      <c r="BP131" s="70"/>
      <c r="BQ131" s="70"/>
      <c r="BR131" s="70"/>
      <c r="BS131" s="70"/>
      <c r="BT131" s="70"/>
      <c r="BU131" s="70"/>
      <c r="BV131" s="70"/>
      <c r="BW131" s="70"/>
      <c r="BX131" s="70"/>
      <c r="BY131" s="70"/>
      <c r="BZ131" s="70"/>
      <c r="CA131" s="70"/>
      <c r="CB131" s="70"/>
      <c r="CC131" s="70"/>
      <c r="CD131" s="70"/>
      <c r="CE131" s="70"/>
      <c r="CF131" s="70"/>
      <c r="CG131" s="70"/>
      <c r="CH131" s="70"/>
      <c r="CI131" s="70"/>
      <c r="CJ131" s="70"/>
      <c r="CK131" s="70"/>
      <c r="CL131" s="70"/>
      <c r="CM131" s="70"/>
      <c r="CN131" s="70"/>
      <c r="CO131" s="70"/>
      <c r="CP131" s="70"/>
      <c r="CR131" s="180"/>
    </row>
    <row r="132" spans="1:96" x14ac:dyDescent="0.2">
      <c r="B132" s="66"/>
      <c r="C132" s="66"/>
      <c r="D132" s="66"/>
      <c r="E132" s="59"/>
      <c r="F132" s="59"/>
      <c r="G132" s="59"/>
      <c r="H132" s="59"/>
      <c r="I132" s="59"/>
      <c r="J132" s="59"/>
      <c r="K132" s="59"/>
      <c r="L132" s="68"/>
      <c r="M132" s="63"/>
      <c r="N132" s="59"/>
      <c r="O132" s="69"/>
      <c r="P132" s="70"/>
      <c r="Q132" s="70"/>
      <c r="R132" s="70"/>
      <c r="S132" s="70"/>
      <c r="T132" s="70"/>
      <c r="U132" s="70"/>
      <c r="V132" s="70"/>
      <c r="W132" s="70"/>
      <c r="X132" s="70"/>
      <c r="Y132" s="70"/>
      <c r="Z132" s="70"/>
      <c r="AA132" s="70"/>
      <c r="AB132" s="70"/>
      <c r="AC132" s="70"/>
      <c r="AD132" s="70"/>
      <c r="AE132" s="70"/>
      <c r="AF132" s="70"/>
      <c r="AG132" s="70"/>
      <c r="AH132" s="70"/>
      <c r="AI132" s="70"/>
      <c r="AJ132" s="70"/>
      <c r="AK132" s="70"/>
      <c r="AL132" s="70"/>
      <c r="AM132" s="70"/>
      <c r="AN132" s="70"/>
      <c r="AO132" s="70"/>
      <c r="AP132" s="70"/>
      <c r="AQ132" s="70"/>
      <c r="AR132" s="70"/>
      <c r="AS132" s="70"/>
      <c r="AT132" s="70"/>
      <c r="AU132" s="70"/>
      <c r="AV132" s="70"/>
      <c r="AW132" s="70"/>
      <c r="AX132" s="70"/>
      <c r="AY132" s="70"/>
      <c r="AZ132" s="70"/>
      <c r="BA132" s="70"/>
      <c r="BB132" s="70"/>
      <c r="BC132" s="70"/>
      <c r="BD132" s="70"/>
      <c r="BE132" s="70"/>
      <c r="BF132" s="70"/>
      <c r="BG132" s="70"/>
      <c r="BH132" s="70"/>
      <c r="BI132" s="70"/>
      <c r="BJ132" s="70"/>
      <c r="BK132" s="70"/>
      <c r="BL132" s="70"/>
      <c r="BM132" s="70"/>
      <c r="BN132" s="70"/>
      <c r="BO132" s="70"/>
      <c r="BP132" s="70"/>
      <c r="BQ132" s="70"/>
      <c r="BR132" s="70"/>
      <c r="BS132" s="70"/>
      <c r="BT132" s="70"/>
      <c r="BU132" s="70"/>
      <c r="BV132" s="70"/>
      <c r="BW132" s="70"/>
      <c r="BX132" s="70"/>
      <c r="BY132" s="70"/>
      <c r="BZ132" s="70"/>
      <c r="CA132" s="70"/>
      <c r="CB132" s="70"/>
      <c r="CC132" s="70"/>
      <c r="CD132" s="70"/>
      <c r="CE132" s="70"/>
      <c r="CF132" s="70"/>
      <c r="CG132" s="70"/>
      <c r="CH132" s="70"/>
      <c r="CI132" s="70"/>
      <c r="CJ132" s="70"/>
      <c r="CK132" s="70"/>
      <c r="CL132" s="70"/>
      <c r="CM132" s="70"/>
      <c r="CN132" s="70"/>
      <c r="CO132" s="70"/>
      <c r="CP132" s="70"/>
      <c r="CR132" s="180"/>
    </row>
    <row r="133" spans="1:96" x14ac:dyDescent="0.2">
      <c r="A133" s="59"/>
      <c r="B133" s="66"/>
      <c r="C133" s="66"/>
      <c r="D133" s="66"/>
      <c r="E133" s="59"/>
      <c r="F133" s="59"/>
      <c r="G133" s="59"/>
      <c r="H133" s="59"/>
      <c r="I133" s="59"/>
      <c r="J133" s="59"/>
      <c r="K133" s="59"/>
      <c r="L133" s="68"/>
      <c r="M133" s="63"/>
      <c r="N133" s="59"/>
      <c r="O133" s="69"/>
      <c r="P133" s="70"/>
      <c r="Q133" s="70"/>
      <c r="R133" s="70"/>
      <c r="S133" s="70"/>
      <c r="T133" s="70"/>
      <c r="U133" s="70"/>
      <c r="V133" s="70"/>
      <c r="W133" s="70"/>
      <c r="X133" s="70"/>
      <c r="Y133" s="70"/>
      <c r="Z133" s="70"/>
      <c r="AA133" s="70"/>
      <c r="AB133" s="70"/>
      <c r="AC133" s="70"/>
      <c r="AD133" s="70"/>
      <c r="AE133" s="70"/>
      <c r="AF133" s="70"/>
      <c r="AG133" s="70"/>
      <c r="AH133" s="70"/>
      <c r="AI133" s="70"/>
      <c r="AJ133" s="70"/>
      <c r="AK133" s="70"/>
      <c r="AL133" s="70"/>
      <c r="AM133" s="70"/>
      <c r="AN133" s="70"/>
      <c r="AO133" s="70"/>
      <c r="AP133" s="70"/>
      <c r="AQ133" s="70"/>
      <c r="AR133" s="70"/>
      <c r="AS133" s="70"/>
      <c r="AT133" s="70"/>
      <c r="AU133" s="70"/>
      <c r="AV133" s="70"/>
      <c r="AW133" s="70"/>
      <c r="AX133" s="70"/>
      <c r="AY133" s="70"/>
      <c r="AZ133" s="70"/>
      <c r="BA133" s="70"/>
      <c r="BB133" s="70"/>
      <c r="BC133" s="70"/>
      <c r="BD133" s="70"/>
      <c r="BE133" s="70"/>
      <c r="BF133" s="70"/>
      <c r="BG133" s="70"/>
      <c r="BH133" s="70"/>
      <c r="BI133" s="70"/>
      <c r="BJ133" s="70"/>
      <c r="BK133" s="70"/>
      <c r="BL133" s="70"/>
      <c r="BM133" s="70"/>
      <c r="BN133" s="70"/>
      <c r="BO133" s="70"/>
      <c r="BP133" s="70"/>
      <c r="BQ133" s="70"/>
      <c r="BR133" s="70"/>
      <c r="BS133" s="70"/>
      <c r="BT133" s="70"/>
      <c r="BU133" s="70"/>
      <c r="BV133" s="70"/>
      <c r="BW133" s="70"/>
      <c r="BX133" s="70"/>
      <c r="BY133" s="70"/>
      <c r="BZ133" s="70"/>
      <c r="CA133" s="70"/>
      <c r="CB133" s="70"/>
      <c r="CC133" s="70"/>
      <c r="CD133" s="70"/>
      <c r="CE133" s="70"/>
      <c r="CF133" s="70"/>
      <c r="CG133" s="70"/>
      <c r="CH133" s="70"/>
      <c r="CI133" s="70"/>
      <c r="CJ133" s="70"/>
      <c r="CK133" s="70"/>
      <c r="CL133" s="70"/>
      <c r="CM133" s="70"/>
      <c r="CN133" s="70"/>
      <c r="CO133" s="70"/>
      <c r="CP133" s="70"/>
      <c r="CR133" s="180"/>
    </row>
    <row r="134" spans="1:96" x14ac:dyDescent="0.2">
      <c r="B134" s="66"/>
      <c r="C134" s="66"/>
      <c r="D134" s="66"/>
      <c r="E134" s="59"/>
      <c r="F134" s="59"/>
      <c r="G134" s="59"/>
      <c r="H134" s="59"/>
      <c r="I134" s="59"/>
      <c r="J134" s="59"/>
      <c r="K134" s="59"/>
      <c r="L134" s="68"/>
      <c r="M134" s="63"/>
      <c r="N134" s="59"/>
      <c r="O134" s="69"/>
      <c r="P134" s="70"/>
      <c r="Q134" s="70"/>
      <c r="R134" s="70"/>
      <c r="S134" s="70"/>
      <c r="T134" s="70"/>
      <c r="U134" s="70"/>
      <c r="V134" s="70"/>
      <c r="W134" s="70"/>
      <c r="X134" s="70"/>
      <c r="Y134" s="70"/>
      <c r="Z134" s="70"/>
      <c r="AA134" s="70"/>
      <c r="AB134" s="70"/>
      <c r="AC134" s="70"/>
      <c r="AD134" s="70"/>
      <c r="AE134" s="70"/>
      <c r="AF134" s="70"/>
      <c r="AG134" s="70"/>
      <c r="AH134" s="70"/>
      <c r="AI134" s="70"/>
      <c r="AJ134" s="70"/>
      <c r="AK134" s="70"/>
      <c r="AL134" s="70"/>
      <c r="AM134" s="70"/>
      <c r="AN134" s="70"/>
      <c r="AO134" s="70"/>
      <c r="AP134" s="70"/>
      <c r="AQ134" s="70"/>
      <c r="AR134" s="70"/>
      <c r="AS134" s="70"/>
      <c r="AT134" s="70"/>
      <c r="AU134" s="70"/>
      <c r="AV134" s="70"/>
      <c r="AW134" s="70"/>
      <c r="AX134" s="70"/>
      <c r="AY134" s="70"/>
      <c r="AZ134" s="70"/>
      <c r="BA134" s="70"/>
      <c r="BB134" s="70"/>
      <c r="BC134" s="70"/>
      <c r="BD134" s="70"/>
      <c r="BE134" s="70"/>
      <c r="BF134" s="70"/>
      <c r="BG134" s="70"/>
      <c r="BH134" s="70"/>
      <c r="BI134" s="70"/>
      <c r="BJ134" s="70"/>
      <c r="BK134" s="70"/>
      <c r="BL134" s="70"/>
      <c r="BM134" s="70"/>
      <c r="BN134" s="70"/>
      <c r="BO134" s="70"/>
      <c r="BP134" s="70"/>
      <c r="BQ134" s="70"/>
      <c r="BR134" s="70"/>
      <c r="BS134" s="70"/>
      <c r="BT134" s="70"/>
      <c r="BU134" s="70"/>
      <c r="BV134" s="70"/>
      <c r="BW134" s="70"/>
      <c r="BX134" s="70"/>
      <c r="BY134" s="70"/>
      <c r="BZ134" s="70"/>
      <c r="CA134" s="70"/>
      <c r="CB134" s="70"/>
      <c r="CC134" s="70"/>
      <c r="CD134" s="70"/>
      <c r="CE134" s="70"/>
      <c r="CF134" s="70"/>
      <c r="CG134" s="70"/>
      <c r="CH134" s="70"/>
      <c r="CI134" s="70"/>
      <c r="CJ134" s="70"/>
      <c r="CK134" s="70"/>
      <c r="CL134" s="70"/>
      <c r="CM134" s="70"/>
      <c r="CN134" s="70"/>
      <c r="CO134" s="70"/>
      <c r="CP134" s="70"/>
      <c r="CR134" s="180"/>
    </row>
    <row r="135" spans="1:96" x14ac:dyDescent="0.2">
      <c r="A135" s="59"/>
      <c r="B135" s="66"/>
      <c r="C135" s="66"/>
      <c r="D135" s="66"/>
      <c r="E135" s="59"/>
      <c r="F135" s="59"/>
      <c r="G135" s="59"/>
      <c r="H135" s="59"/>
      <c r="I135" s="59"/>
      <c r="J135" s="59"/>
      <c r="K135" s="59"/>
      <c r="L135" s="68"/>
      <c r="M135" s="63"/>
      <c r="N135" s="59"/>
      <c r="O135" s="69"/>
      <c r="P135" s="70"/>
      <c r="Q135" s="70"/>
      <c r="R135" s="70"/>
      <c r="S135" s="70"/>
      <c r="T135" s="70"/>
      <c r="U135" s="70"/>
      <c r="V135" s="70"/>
      <c r="W135" s="70"/>
      <c r="X135" s="70"/>
      <c r="Y135" s="70"/>
      <c r="Z135" s="70"/>
      <c r="AA135" s="70"/>
      <c r="AB135" s="70"/>
      <c r="AC135" s="70"/>
      <c r="AD135" s="70"/>
      <c r="AE135" s="70"/>
      <c r="AF135" s="70"/>
      <c r="AG135" s="70"/>
      <c r="AH135" s="70"/>
      <c r="AI135" s="70"/>
      <c r="AJ135" s="70"/>
      <c r="AK135" s="70"/>
      <c r="AL135" s="70"/>
      <c r="AM135" s="70"/>
      <c r="AN135" s="70"/>
      <c r="AO135" s="70"/>
      <c r="AP135" s="70"/>
      <c r="AQ135" s="70"/>
      <c r="AR135" s="70"/>
      <c r="AS135" s="70"/>
      <c r="AT135" s="70"/>
      <c r="AU135" s="70"/>
      <c r="AV135" s="70"/>
      <c r="AW135" s="70"/>
      <c r="AX135" s="70"/>
      <c r="AY135" s="70"/>
      <c r="AZ135" s="70"/>
      <c r="BA135" s="70"/>
      <c r="BB135" s="70"/>
      <c r="BC135" s="70"/>
      <c r="BD135" s="70"/>
      <c r="BE135" s="70"/>
      <c r="BF135" s="70"/>
      <c r="BG135" s="70"/>
      <c r="BH135" s="70"/>
      <c r="BI135" s="70"/>
      <c r="BJ135" s="70"/>
      <c r="BK135" s="70"/>
      <c r="BL135" s="70"/>
      <c r="BM135" s="70"/>
      <c r="BN135" s="70"/>
      <c r="BO135" s="70"/>
      <c r="BP135" s="70"/>
      <c r="BQ135" s="70"/>
      <c r="BR135" s="70"/>
      <c r="BS135" s="70"/>
      <c r="BT135" s="70"/>
      <c r="BU135" s="70"/>
      <c r="BV135" s="70"/>
      <c r="BW135" s="70"/>
      <c r="BX135" s="70"/>
      <c r="BY135" s="70"/>
      <c r="BZ135" s="70"/>
      <c r="CA135" s="70"/>
      <c r="CB135" s="70"/>
      <c r="CC135" s="70"/>
      <c r="CD135" s="70"/>
      <c r="CE135" s="70"/>
      <c r="CF135" s="70"/>
      <c r="CG135" s="70"/>
      <c r="CH135" s="70"/>
      <c r="CI135" s="70"/>
      <c r="CJ135" s="70"/>
      <c r="CK135" s="70"/>
      <c r="CL135" s="70"/>
      <c r="CM135" s="70"/>
      <c r="CN135" s="70"/>
      <c r="CO135" s="70"/>
      <c r="CP135" s="70"/>
      <c r="CR135" s="180"/>
    </row>
    <row r="136" spans="1:96" x14ac:dyDescent="0.2">
      <c r="B136" s="66"/>
      <c r="C136" s="66"/>
      <c r="D136" s="66"/>
      <c r="E136" s="59"/>
      <c r="F136" s="59"/>
      <c r="G136" s="59"/>
      <c r="H136" s="59"/>
      <c r="I136" s="59"/>
      <c r="J136" s="59"/>
      <c r="K136" s="59"/>
      <c r="L136" s="68"/>
      <c r="M136" s="63"/>
      <c r="N136" s="59"/>
      <c r="O136" s="69"/>
      <c r="P136" s="70"/>
      <c r="Q136" s="70"/>
      <c r="R136" s="70"/>
      <c r="S136" s="70"/>
      <c r="T136" s="70"/>
      <c r="U136" s="70"/>
      <c r="V136" s="70"/>
      <c r="W136" s="70"/>
      <c r="X136" s="70"/>
      <c r="Y136" s="70"/>
      <c r="Z136" s="70"/>
      <c r="AA136" s="70"/>
      <c r="AB136" s="70"/>
      <c r="AC136" s="70"/>
      <c r="AD136" s="70"/>
      <c r="AE136" s="70"/>
      <c r="AF136" s="70"/>
      <c r="AG136" s="70"/>
      <c r="AH136" s="70"/>
      <c r="AI136" s="70"/>
      <c r="AJ136" s="70"/>
      <c r="AK136" s="70"/>
      <c r="AL136" s="70"/>
      <c r="AM136" s="70"/>
      <c r="AN136" s="70"/>
      <c r="AO136" s="70"/>
      <c r="AP136" s="70"/>
      <c r="AQ136" s="70"/>
      <c r="AR136" s="70"/>
      <c r="AS136" s="70"/>
      <c r="AT136" s="70"/>
      <c r="AU136" s="70"/>
      <c r="AV136" s="70"/>
      <c r="AW136" s="70"/>
      <c r="AX136" s="70"/>
      <c r="AY136" s="70"/>
      <c r="AZ136" s="70"/>
      <c r="BA136" s="70"/>
      <c r="BB136" s="70"/>
      <c r="BC136" s="70"/>
      <c r="BD136" s="70"/>
      <c r="BE136" s="70"/>
      <c r="BF136" s="70"/>
      <c r="BG136" s="70"/>
      <c r="BH136" s="70"/>
      <c r="BI136" s="70"/>
      <c r="BJ136" s="70"/>
      <c r="BK136" s="70"/>
      <c r="BL136" s="70"/>
      <c r="BM136" s="70"/>
      <c r="BN136" s="70"/>
      <c r="BO136" s="70"/>
      <c r="BP136" s="70"/>
      <c r="BQ136" s="70"/>
      <c r="BR136" s="70"/>
      <c r="BS136" s="70"/>
      <c r="BT136" s="70"/>
      <c r="BU136" s="70"/>
      <c r="BV136" s="70"/>
      <c r="BW136" s="70"/>
      <c r="BX136" s="70"/>
      <c r="BY136" s="70"/>
      <c r="BZ136" s="70"/>
      <c r="CA136" s="70"/>
      <c r="CB136" s="70"/>
      <c r="CC136" s="70"/>
      <c r="CD136" s="70"/>
      <c r="CE136" s="70"/>
      <c r="CF136" s="70"/>
      <c r="CG136" s="70"/>
      <c r="CH136" s="70"/>
      <c r="CI136" s="70"/>
      <c r="CJ136" s="70"/>
      <c r="CK136" s="70"/>
      <c r="CL136" s="70"/>
      <c r="CM136" s="70"/>
      <c r="CN136" s="70"/>
      <c r="CO136" s="70"/>
      <c r="CP136" s="70"/>
      <c r="CR136" s="180"/>
    </row>
    <row r="137" spans="1:96" x14ac:dyDescent="0.2">
      <c r="A137" s="72"/>
      <c r="B137" s="98"/>
      <c r="C137" s="98"/>
      <c r="D137" s="98"/>
      <c r="E137" s="72"/>
      <c r="F137" s="72"/>
      <c r="G137" s="72"/>
      <c r="H137" s="72"/>
      <c r="I137" s="72"/>
      <c r="J137" s="72"/>
      <c r="K137" s="72"/>
      <c r="L137" s="73"/>
      <c r="M137" s="74"/>
      <c r="N137" s="72"/>
      <c r="O137" s="99"/>
      <c r="P137" s="100"/>
      <c r="Q137" s="100"/>
      <c r="R137" s="100"/>
      <c r="S137" s="100"/>
      <c r="T137" s="100"/>
      <c r="U137" s="100"/>
      <c r="V137" s="100"/>
      <c r="W137" s="100"/>
      <c r="X137" s="100"/>
      <c r="Y137" s="100"/>
      <c r="Z137" s="100"/>
      <c r="AA137" s="100"/>
      <c r="AB137" s="100"/>
      <c r="AC137" s="100"/>
      <c r="AD137" s="100"/>
      <c r="AE137" s="100"/>
      <c r="AF137" s="100"/>
      <c r="AG137" s="100"/>
      <c r="AH137" s="100"/>
      <c r="AI137" s="100"/>
      <c r="AJ137" s="100"/>
      <c r="AK137" s="100"/>
      <c r="AL137" s="100"/>
      <c r="AM137" s="100"/>
      <c r="AN137" s="100"/>
      <c r="AO137" s="100"/>
      <c r="AP137" s="100"/>
      <c r="AQ137" s="100"/>
      <c r="AR137" s="100"/>
      <c r="AS137" s="100"/>
      <c r="AT137" s="100"/>
      <c r="AU137" s="100"/>
      <c r="AV137" s="100"/>
      <c r="AW137" s="100"/>
      <c r="AX137" s="100"/>
      <c r="AY137" s="100"/>
      <c r="AZ137" s="100"/>
      <c r="BA137" s="100"/>
      <c r="BB137" s="100"/>
      <c r="BC137" s="100"/>
      <c r="BD137" s="100"/>
      <c r="BE137" s="100"/>
      <c r="BF137" s="100"/>
      <c r="BG137" s="100"/>
      <c r="BH137" s="100"/>
      <c r="BI137" s="100"/>
      <c r="BJ137" s="100"/>
      <c r="BK137" s="100"/>
      <c r="BL137" s="100"/>
      <c r="BM137" s="100"/>
      <c r="BN137" s="100"/>
      <c r="BO137" s="100"/>
      <c r="BP137" s="100"/>
      <c r="BQ137" s="100"/>
      <c r="BR137" s="100"/>
      <c r="BS137" s="100"/>
      <c r="BT137" s="100"/>
      <c r="BU137" s="100"/>
      <c r="BV137" s="100"/>
      <c r="BW137" s="100"/>
      <c r="BX137" s="100"/>
      <c r="BY137" s="100"/>
      <c r="BZ137" s="100"/>
      <c r="CA137" s="100"/>
      <c r="CB137" s="100"/>
      <c r="CC137" s="100"/>
      <c r="CD137" s="100"/>
      <c r="CE137" s="100"/>
      <c r="CF137" s="100"/>
      <c r="CG137" s="100"/>
      <c r="CH137" s="100"/>
      <c r="CI137" s="100"/>
      <c r="CJ137" s="100"/>
      <c r="CK137" s="100"/>
      <c r="CL137" s="100"/>
      <c r="CM137" s="100"/>
      <c r="CN137" s="100"/>
      <c r="CO137" s="100"/>
      <c r="CP137" s="100"/>
      <c r="CR137" s="181"/>
    </row>
  </sheetData>
  <sheetProtection sheet="1" selectLockedCells="1" selectUnlockedCells="1"/>
  <mergeCells count="1">
    <mergeCell ref="S1:Y1"/>
  </mergeCells>
  <phoneticPr fontId="1"/>
  <conditionalFormatting sqref="N967:N104857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8:N137 N10:N69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4 N9:N72 N77:N966">
    <cfRule type="colorScale" priority="78">
      <colorScale>
        <cfvo type="min"/>
        <cfvo type="max"/>
        <color rgb="FFFF7128"/>
        <color rgb="FFFFEF9C"/>
      </colorScale>
    </cfRule>
  </conditionalFormatting>
  <conditionalFormatting sqref="N5:N8">
    <cfRule type="colorScale" priority="7">
      <colorScale>
        <cfvo type="min"/>
        <cfvo type="max"/>
        <color rgb="FFFF7128"/>
        <color rgb="FFFFEF9C"/>
      </colorScale>
    </cfRule>
  </conditionalFormatting>
  <conditionalFormatting sqref="N75:N76 N73">
    <cfRule type="colorScale" priority="6">
      <colorScale>
        <cfvo type="min"/>
        <cfvo type="max"/>
        <color rgb="FFFF7128"/>
        <color rgb="FFFFEF9C"/>
      </colorScale>
    </cfRule>
  </conditionalFormatting>
  <conditionalFormatting sqref="N74">
    <cfRule type="colorScale" priority="5">
      <colorScale>
        <cfvo type="min"/>
        <cfvo type="max"/>
        <color rgb="FFFF7128"/>
        <color rgb="FFFFEF9C"/>
      </colorScale>
    </cfRule>
  </conditionalFormatting>
  <conditionalFormatting sqref="CR8">
    <cfRule type="colorScale" priority="2">
      <colorScale>
        <cfvo type="min"/>
        <cfvo type="max"/>
        <color rgb="FFFF7128"/>
        <color rgb="FFFFEF9C"/>
      </colorScale>
    </cfRule>
  </conditionalFormatting>
  <conditionalFormatting sqref="CR76">
    <cfRule type="colorScale" priority="1">
      <colorScale>
        <cfvo type="min"/>
        <cfvo type="max"/>
        <color rgb="FFFF7128"/>
        <color rgb="FFFFEF9C"/>
      </colorScale>
    </cfRule>
  </conditionalFormatting>
  <dataValidations count="3">
    <dataValidation type="list" allowBlank="1" showInputMessage="1" showErrorMessage="1" sqref="D10:D69 D78:D137" xr:uid="{A1326283-DDF8-4AA1-B20D-F59EC37C2027}">
      <formula1>"降車不可,予約必要"</formula1>
    </dataValidation>
    <dataValidation type="list" allowBlank="1" showInputMessage="1" showErrorMessage="1" sqref="C10:C69 C78:C137" xr:uid="{A3E1643F-A436-4532-AABA-B333BD7FA388}">
      <formula1>"乗車不可,予約必要"</formula1>
    </dataValidation>
    <dataValidation type="list" allowBlank="1" showInputMessage="1" showErrorMessage="1" sqref="B10:B69 B78:B137" xr:uid="{7AFF72C1-DDED-45D1-B45A-E0DAC16A37B8}">
      <formula1>"着,発,主要"</formula1>
    </dataValidation>
  </dataValidations>
  <hyperlinks>
    <hyperlink ref="O71" location="往路" display="往路へ" xr:uid="{56CA06DD-E49E-466C-8831-DF69740D02BD}"/>
    <hyperlink ref="O3" location="復路" display="復路へ" xr:uid="{C2D88005-E9CF-41A5-ADFE-7C157CA86757}"/>
    <hyperlink ref="A1" location="メニュー!A1" display="メニューへ" xr:uid="{EB81EAE7-7CD9-4E77-B9D1-E0FCFA8DC919}"/>
    <hyperlink ref="A71" location="メニュー!A1" display="メニューへ" xr:uid="{2C6F4B54-B503-43B9-989A-F8257562662B}"/>
  </hyperlinks>
  <pageMargins left="0.11811023622047245" right="0.11811023622047245" top="0.15748031496062992" bottom="0.15748031496062992" header="0.31496062992125984" footer="0.31496062992125984"/>
  <pageSetup paperSize="8" scale="69" fitToHeight="2" orientation="landscape" r:id="rId1"/>
  <rowBreaks count="1" manualBreakCount="1">
    <brk id="70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tn_ouro_newsheet">
              <controlPr defaultSize="0" print="0" autoFill="0" autoPict="0" macro="[0]!btn_newsheet_Click">
                <anchor moveWithCells="1" sizeWithCells="1">
                  <from>
                    <xdr:col>2</xdr:col>
                    <xdr:colOff>19050</xdr:colOff>
                    <xdr:row>0</xdr:row>
                    <xdr:rowOff>0</xdr:rowOff>
                  </from>
                  <to>
                    <xdr:col>6</xdr:col>
                    <xdr:colOff>57150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5" name="btn_ouro_chgtime">
              <controlPr defaultSize="0" print="0" autoFill="0" autoPict="0" macro="[0]!btn_chgtime_Click">
                <anchor moveWithCells="1" sizeWithCells="1">
                  <from>
                    <xdr:col>6</xdr:col>
                    <xdr:colOff>133350</xdr:colOff>
                    <xdr:row>0</xdr:row>
                    <xdr:rowOff>0</xdr:rowOff>
                  </from>
                  <to>
                    <xdr:col>11</xdr:col>
                    <xdr:colOff>133350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6" name="btn_ouro_keitoset">
              <controlPr defaultSize="0" print="0" autoFill="0" autoPict="0" macro="[0]!btn_KeitoSet_Click">
                <anchor moveWithCells="1" sizeWithCells="1">
                  <from>
                    <xdr:col>11</xdr:col>
                    <xdr:colOff>222250</xdr:colOff>
                    <xdr:row>0</xdr:row>
                    <xdr:rowOff>0</xdr:rowOff>
                  </from>
                  <to>
                    <xdr:col>13</xdr:col>
                    <xdr:colOff>184150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7" name="btn_ouro_jump_ikisaki">
              <controlPr defaultSize="0" print="0" autoFill="0" autoPict="0" macro="[0]!btn_ouro_jump_ikisaki_Click">
                <anchor moveWithCells="1" sizeWithCells="1">
                  <from>
                    <xdr:col>11</xdr:col>
                    <xdr:colOff>222250</xdr:colOff>
                    <xdr:row>0</xdr:row>
                    <xdr:rowOff>203200</xdr:rowOff>
                  </from>
                  <to>
                    <xdr:col>13</xdr:col>
                    <xdr:colOff>184150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8" name="btn_fuku_newsheet">
              <controlPr defaultSize="0" print="0" autoFill="0" autoPict="0" macro="[0]!btn_newsheet_Click">
                <anchor moveWithCells="1" sizeWithCells="1">
                  <from>
                    <xdr:col>2</xdr:col>
                    <xdr:colOff>38100</xdr:colOff>
                    <xdr:row>69</xdr:row>
                    <xdr:rowOff>88900</xdr:rowOff>
                  </from>
                  <to>
                    <xdr:col>6</xdr:col>
                    <xdr:colOff>76200</xdr:colOff>
                    <xdr:row>70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9" name="btn_fukuchgtime">
              <controlPr defaultSize="0" print="0" autoFill="0" autoPict="0" macro="[0]!btn_chgtime_Click">
                <anchor moveWithCells="1" sizeWithCells="1">
                  <from>
                    <xdr:col>6</xdr:col>
                    <xdr:colOff>152400</xdr:colOff>
                    <xdr:row>69</xdr:row>
                    <xdr:rowOff>88900</xdr:rowOff>
                  </from>
                  <to>
                    <xdr:col>11</xdr:col>
                    <xdr:colOff>152400</xdr:colOff>
                    <xdr:row>70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0" name="btn_fuku_chgtime">
              <controlPr defaultSize="0" print="0" autoFill="0" autoPict="0" macro="[0]!btn_KeitoSet_Click">
                <anchor moveWithCells="1" sizeWithCells="1">
                  <from>
                    <xdr:col>11</xdr:col>
                    <xdr:colOff>241300</xdr:colOff>
                    <xdr:row>69</xdr:row>
                    <xdr:rowOff>88900</xdr:rowOff>
                  </from>
                  <to>
                    <xdr:col>13</xdr:col>
                    <xdr:colOff>203200</xdr:colOff>
                    <xdr:row>70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1" name="btn_fuku_jump_ikisaki">
              <controlPr defaultSize="0" print="0" autoFill="0" autoPict="0" macro="[0]!btn_fuku_jump_ikisaki_Click">
                <anchor moveWithCells="1" sizeWithCells="1">
                  <from>
                    <xdr:col>11</xdr:col>
                    <xdr:colOff>241300</xdr:colOff>
                    <xdr:row>70</xdr:row>
                    <xdr:rowOff>114300</xdr:rowOff>
                  </from>
                  <to>
                    <xdr:col>13</xdr:col>
                    <xdr:colOff>203200</xdr:colOff>
                    <xdr:row>70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2" name="btn_ouro_jump_teiiryujo">
              <controlPr defaultSize="0" print="0" autoFill="0" autoPict="0" macro="[0]!btn_ouro_jump_teiryujo_Click">
                <anchor moveWithCells="1" sizeWithCells="1">
                  <from>
                    <xdr:col>94</xdr:col>
                    <xdr:colOff>660400</xdr:colOff>
                    <xdr:row>0</xdr:row>
                    <xdr:rowOff>190500</xdr:rowOff>
                  </from>
                  <to>
                    <xdr:col>96</xdr:col>
                    <xdr:colOff>152400</xdr:colOff>
                    <xdr:row>1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3" name="btn_fuku_jump_teiiryujo">
              <controlPr defaultSize="0" print="0" autoFill="0" autoPict="0" macro="[0]!btn_fuku_jump_teiryujo_Click">
                <anchor moveWithCells="1" sizeWithCells="1">
                  <from>
                    <xdr:col>94</xdr:col>
                    <xdr:colOff>666750</xdr:colOff>
                    <xdr:row>70</xdr:row>
                    <xdr:rowOff>57150</xdr:rowOff>
                  </from>
                  <to>
                    <xdr:col>96</xdr:col>
                    <xdr:colOff>165100</xdr:colOff>
                    <xdr:row>70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AAE5AB7-E8D6-418C-857E-BAB8B966E126}">
          <x14:formula1>
            <xm:f>'05運行日'!$L$2:$L$38</xm:f>
          </x14:formula1>
          <xm:sqref>O9:CP9 O77:CP77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F71F4-DBCC-4CD0-AAF3-65A68F2DE6E1}">
  <sheetPr codeName="Sheet12"/>
  <dimension ref="A1:DR137"/>
  <sheetViews>
    <sheetView showGridLines="0" zoomScale="110" zoomScaleNormal="110" workbookViewId="0">
      <pane xSplit="2" topLeftCell="C1" activePane="topRight" state="frozen"/>
      <selection activeCell="F6" sqref="F6"/>
      <selection pane="topRight" activeCell="S13" sqref="S13:S14"/>
    </sheetView>
  </sheetViews>
  <sheetFormatPr defaultColWidth="9" defaultRowHeight="13" x14ac:dyDescent="0.2"/>
  <cols>
    <col min="1" max="1" width="23" style="26" customWidth="1"/>
    <col min="2" max="2" width="5.08984375" style="96" customWidth="1"/>
    <col min="3" max="3" width="4.6328125" style="96" customWidth="1"/>
    <col min="4" max="4" width="5" style="96" customWidth="1"/>
    <col min="5" max="5" width="3.6328125" style="26" hidden="1" customWidth="1"/>
    <col min="6" max="8" width="5.08984375" style="26" bestFit="1" customWidth="1"/>
    <col min="9" max="9" width="5.08984375" style="26" customWidth="1"/>
    <col min="10" max="11" width="2" style="26" hidden="1" customWidth="1"/>
    <col min="12" max="12" width="5.7265625" customWidth="1"/>
    <col min="13" max="13" width="6.08984375" bestFit="1" customWidth="1"/>
    <col min="14" max="14" width="6.6328125" style="26" customWidth="1"/>
    <col min="15" max="94" width="6.90625" style="26" customWidth="1"/>
    <col min="95" max="96" width="9" style="26"/>
    <col min="97" max="122" width="14.6328125" style="183" customWidth="1"/>
    <col min="123" max="16384" width="9" style="26"/>
  </cols>
  <sheetData>
    <row r="1" spans="1:122" ht="16.5" x14ac:dyDescent="0.2">
      <c r="A1" s="19" t="s">
        <v>44</v>
      </c>
      <c r="B1" s="20"/>
      <c r="C1" s="20"/>
      <c r="D1" s="20"/>
      <c r="E1" s="21"/>
      <c r="F1" s="21"/>
      <c r="G1" s="21"/>
      <c r="H1" s="21"/>
      <c r="I1" s="21"/>
      <c r="J1" s="21"/>
      <c r="K1" s="21"/>
      <c r="L1" s="22"/>
      <c r="M1" s="22"/>
      <c r="N1" s="21"/>
      <c r="O1" s="23" t="s">
        <v>45</v>
      </c>
      <c r="P1" s="24">
        <v>1</v>
      </c>
      <c r="Q1" s="21"/>
      <c r="R1" s="21" t="s">
        <v>46</v>
      </c>
      <c r="S1" s="205" t="s">
        <v>1791</v>
      </c>
      <c r="T1" s="206"/>
      <c r="U1" s="206"/>
      <c r="V1" s="206"/>
      <c r="W1" s="206"/>
      <c r="X1" s="206"/>
      <c r="Y1" s="207"/>
      <c r="Z1" s="21"/>
      <c r="AA1" s="25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21"/>
      <c r="BC1" s="21"/>
      <c r="BD1" s="21"/>
      <c r="BE1" s="21"/>
      <c r="BF1" s="21"/>
      <c r="BG1" s="21"/>
      <c r="BH1" s="21"/>
      <c r="BI1" s="21"/>
      <c r="BJ1" s="21"/>
      <c r="BK1" s="21"/>
      <c r="BL1" s="21"/>
      <c r="BM1" s="21"/>
      <c r="BN1" s="21"/>
      <c r="BO1" s="21"/>
      <c r="BP1" s="21"/>
      <c r="BQ1" s="21"/>
      <c r="BR1" s="21"/>
      <c r="BS1" s="21"/>
      <c r="BT1" s="21"/>
      <c r="BU1" s="21"/>
      <c r="BV1" s="21"/>
      <c r="BW1" s="21"/>
      <c r="BX1" s="21"/>
      <c r="BY1" s="21"/>
      <c r="BZ1" s="21"/>
      <c r="CA1" s="21"/>
      <c r="CB1" s="21"/>
      <c r="CC1" s="21"/>
      <c r="CD1" s="21"/>
      <c r="CE1" s="21"/>
      <c r="CF1" s="21"/>
      <c r="CG1" s="21"/>
      <c r="CH1" s="21"/>
      <c r="CI1" s="21"/>
      <c r="CJ1" s="21"/>
      <c r="CK1" s="21"/>
      <c r="CL1" s="21"/>
      <c r="CM1" s="21"/>
      <c r="CN1" s="21"/>
      <c r="CO1" s="21"/>
      <c r="CP1" s="21"/>
    </row>
    <row r="2" spans="1:122" x14ac:dyDescent="0.2">
      <c r="A2" s="27" t="s">
        <v>47</v>
      </c>
      <c r="B2" s="28"/>
      <c r="C2" s="28"/>
      <c r="D2" s="28"/>
      <c r="E2" s="29"/>
      <c r="F2" s="21"/>
      <c r="G2" s="21"/>
      <c r="H2" s="21"/>
      <c r="I2" s="21"/>
      <c r="J2" s="21"/>
      <c r="K2" s="21"/>
      <c r="L2" s="30"/>
      <c r="M2" s="30"/>
      <c r="N2" s="29"/>
      <c r="O2" s="29"/>
      <c r="P2" s="29"/>
      <c r="Q2" s="21"/>
      <c r="R2" s="29"/>
      <c r="S2" s="21"/>
      <c r="T2" s="21"/>
      <c r="U2" s="21"/>
      <c r="V2" s="21"/>
      <c r="W2" s="31" t="s">
        <v>48</v>
      </c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  <c r="BO2" s="21"/>
      <c r="BP2" s="21"/>
      <c r="BQ2" s="21"/>
      <c r="BR2" s="21"/>
      <c r="BS2" s="21"/>
      <c r="BT2" s="21"/>
      <c r="BU2" s="21"/>
      <c r="BV2" s="21"/>
      <c r="BW2" s="21"/>
      <c r="BX2" s="21"/>
      <c r="BY2" s="21"/>
      <c r="BZ2" s="21"/>
      <c r="CA2" s="21"/>
      <c r="CB2" s="21"/>
      <c r="CC2" s="21"/>
      <c r="CD2" s="21"/>
      <c r="CE2" s="21"/>
      <c r="CF2" s="21"/>
      <c r="CG2" s="21"/>
      <c r="CH2" s="21"/>
      <c r="CI2" s="21"/>
      <c r="CJ2" s="21"/>
      <c r="CK2" s="21"/>
      <c r="CL2" s="21"/>
      <c r="CM2" s="21"/>
      <c r="CN2" s="21"/>
      <c r="CO2" s="21"/>
      <c r="CP2" s="21"/>
    </row>
    <row r="3" spans="1:122" x14ac:dyDescent="0.2">
      <c r="A3" s="32" t="s">
        <v>49</v>
      </c>
      <c r="B3" s="20"/>
      <c r="C3" s="20"/>
      <c r="D3" s="20"/>
      <c r="E3" s="21"/>
      <c r="F3" s="21"/>
      <c r="G3" s="21"/>
      <c r="H3" s="21"/>
      <c r="I3" s="21"/>
      <c r="J3" s="21"/>
      <c r="K3" s="21"/>
      <c r="L3" s="22"/>
      <c r="M3" s="22"/>
      <c r="N3" s="33"/>
      <c r="O3" s="34" t="s">
        <v>50</v>
      </c>
      <c r="P3" s="21"/>
      <c r="Q3" s="21"/>
      <c r="R3" s="21"/>
      <c r="S3" s="21"/>
      <c r="T3" s="21"/>
      <c r="U3" s="21"/>
      <c r="V3" s="21"/>
      <c r="W3" s="35" t="s">
        <v>51</v>
      </c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1"/>
      <c r="BJ3" s="21"/>
      <c r="BK3" s="21"/>
      <c r="BL3" s="21"/>
      <c r="BM3" s="21"/>
      <c r="BN3" s="21"/>
      <c r="BO3" s="21"/>
      <c r="BP3" s="21"/>
      <c r="BQ3" s="21"/>
      <c r="BR3" s="21"/>
      <c r="BS3" s="21"/>
      <c r="BT3" s="21"/>
      <c r="BU3" s="21"/>
      <c r="BV3" s="21"/>
      <c r="BW3" s="21"/>
      <c r="BX3" s="21"/>
      <c r="BY3" s="21"/>
      <c r="BZ3" s="21"/>
      <c r="CA3" s="21"/>
      <c r="CB3" s="21"/>
      <c r="CC3" s="21"/>
      <c r="CD3" s="21"/>
      <c r="CE3" s="21"/>
      <c r="CF3" s="21"/>
      <c r="CG3" s="21"/>
      <c r="CH3" s="21"/>
      <c r="CI3" s="21"/>
      <c r="CJ3" s="21"/>
      <c r="CK3" s="21"/>
      <c r="CL3" s="21"/>
      <c r="CM3" s="21"/>
      <c r="CN3" s="21"/>
      <c r="CO3" s="21"/>
      <c r="CP3" s="21"/>
    </row>
    <row r="4" spans="1:122" x14ac:dyDescent="0.2">
      <c r="A4" s="36"/>
      <c r="B4" s="37"/>
      <c r="C4" s="37"/>
      <c r="D4" s="37"/>
      <c r="E4" s="38"/>
      <c r="F4" s="38"/>
      <c r="G4" s="38"/>
      <c r="H4" s="38"/>
      <c r="I4" s="38"/>
      <c r="J4" s="38"/>
      <c r="K4" s="38"/>
      <c r="L4" s="39"/>
      <c r="M4" s="39"/>
      <c r="N4" s="40"/>
      <c r="O4" s="41">
        <v>1</v>
      </c>
      <c r="P4" s="42">
        <v>2</v>
      </c>
      <c r="Q4" s="41">
        <v>3</v>
      </c>
      <c r="R4" s="42">
        <v>4</v>
      </c>
      <c r="S4" s="41">
        <v>5</v>
      </c>
      <c r="T4" s="42">
        <v>6</v>
      </c>
      <c r="U4" s="41">
        <v>7</v>
      </c>
      <c r="V4" s="42">
        <v>8</v>
      </c>
      <c r="W4" s="41">
        <v>9</v>
      </c>
      <c r="X4" s="42">
        <v>10</v>
      </c>
      <c r="Y4" s="41">
        <v>11</v>
      </c>
      <c r="Z4" s="42">
        <v>12</v>
      </c>
      <c r="AA4" s="41">
        <v>13</v>
      </c>
      <c r="AB4" s="42">
        <v>14</v>
      </c>
      <c r="AC4" s="41">
        <v>15</v>
      </c>
      <c r="AD4" s="42">
        <v>16</v>
      </c>
      <c r="AE4" s="41">
        <v>17</v>
      </c>
      <c r="AF4" s="42">
        <v>18</v>
      </c>
      <c r="AG4" s="41">
        <v>19</v>
      </c>
      <c r="AH4" s="42">
        <v>20</v>
      </c>
      <c r="AI4" s="41">
        <v>21</v>
      </c>
      <c r="AJ4" s="42">
        <v>22</v>
      </c>
      <c r="AK4" s="41">
        <v>23</v>
      </c>
      <c r="AL4" s="42">
        <v>24</v>
      </c>
      <c r="AM4" s="41">
        <v>25</v>
      </c>
      <c r="AN4" s="42">
        <v>26</v>
      </c>
      <c r="AO4" s="41">
        <v>27</v>
      </c>
      <c r="AP4" s="42">
        <v>28</v>
      </c>
      <c r="AQ4" s="41">
        <v>29</v>
      </c>
      <c r="AR4" s="42">
        <v>30</v>
      </c>
      <c r="AS4" s="41">
        <v>31</v>
      </c>
      <c r="AT4" s="42">
        <v>32</v>
      </c>
      <c r="AU4" s="41">
        <v>33</v>
      </c>
      <c r="AV4" s="42">
        <v>34</v>
      </c>
      <c r="AW4" s="41">
        <v>35</v>
      </c>
      <c r="AX4" s="42">
        <v>36</v>
      </c>
      <c r="AY4" s="41">
        <v>37</v>
      </c>
      <c r="AZ4" s="42">
        <v>38</v>
      </c>
      <c r="BA4" s="41">
        <v>39</v>
      </c>
      <c r="BB4" s="42">
        <v>40</v>
      </c>
      <c r="BC4" s="41">
        <v>41</v>
      </c>
      <c r="BD4" s="42">
        <v>42</v>
      </c>
      <c r="BE4" s="41">
        <v>43</v>
      </c>
      <c r="BF4" s="42">
        <v>44</v>
      </c>
      <c r="BG4" s="41">
        <v>45</v>
      </c>
      <c r="BH4" s="42">
        <v>46</v>
      </c>
      <c r="BI4" s="41">
        <v>47</v>
      </c>
      <c r="BJ4" s="42">
        <v>48</v>
      </c>
      <c r="BK4" s="41">
        <v>49</v>
      </c>
      <c r="BL4" s="42">
        <v>50</v>
      </c>
      <c r="BM4" s="41">
        <v>51</v>
      </c>
      <c r="BN4" s="42">
        <v>52</v>
      </c>
      <c r="BO4" s="41">
        <v>53</v>
      </c>
      <c r="BP4" s="42">
        <v>54</v>
      </c>
      <c r="BQ4" s="41">
        <v>55</v>
      </c>
      <c r="BR4" s="42">
        <v>56</v>
      </c>
      <c r="BS4" s="41">
        <v>57</v>
      </c>
      <c r="BT4" s="42">
        <v>58</v>
      </c>
      <c r="BU4" s="41">
        <v>59</v>
      </c>
      <c r="BV4" s="42">
        <v>60</v>
      </c>
      <c r="BW4" s="41">
        <v>61</v>
      </c>
      <c r="BX4" s="42">
        <v>62</v>
      </c>
      <c r="BY4" s="41">
        <v>63</v>
      </c>
      <c r="BZ4" s="42">
        <v>64</v>
      </c>
      <c r="CA4" s="41">
        <v>65</v>
      </c>
      <c r="CB4" s="42">
        <v>66</v>
      </c>
      <c r="CC4" s="41">
        <v>67</v>
      </c>
      <c r="CD4" s="42">
        <v>68</v>
      </c>
      <c r="CE4" s="41">
        <v>69</v>
      </c>
      <c r="CF4" s="42">
        <v>70</v>
      </c>
      <c r="CG4" s="41">
        <v>71</v>
      </c>
      <c r="CH4" s="42">
        <v>72</v>
      </c>
      <c r="CI4" s="41">
        <v>73</v>
      </c>
      <c r="CJ4" s="42">
        <v>74</v>
      </c>
      <c r="CK4" s="41">
        <v>75</v>
      </c>
      <c r="CL4" s="42">
        <v>76</v>
      </c>
      <c r="CM4" s="41">
        <v>77</v>
      </c>
      <c r="CN4" s="42">
        <v>78</v>
      </c>
      <c r="CO4" s="41">
        <v>79</v>
      </c>
      <c r="CP4" s="42">
        <v>80</v>
      </c>
      <c r="CR4" s="175" t="s">
        <v>168</v>
      </c>
      <c r="CS4" s="184" t="s">
        <v>169</v>
      </c>
      <c r="CT4" s="184" t="s">
        <v>170</v>
      </c>
      <c r="CU4" s="185" t="s">
        <v>169</v>
      </c>
      <c r="CV4" s="185" t="s">
        <v>170</v>
      </c>
      <c r="CW4" s="184" t="s">
        <v>169</v>
      </c>
      <c r="CX4" s="184" t="s">
        <v>170</v>
      </c>
      <c r="CY4" s="185" t="s">
        <v>169</v>
      </c>
      <c r="CZ4" s="185" t="s">
        <v>170</v>
      </c>
      <c r="DA4" s="184" t="s">
        <v>169</v>
      </c>
      <c r="DB4" s="184" t="s">
        <v>170</v>
      </c>
      <c r="DC4" s="185" t="s">
        <v>169</v>
      </c>
      <c r="DD4" s="185" t="s">
        <v>170</v>
      </c>
      <c r="DE4" s="184" t="s">
        <v>169</v>
      </c>
      <c r="DF4" s="184" t="s">
        <v>170</v>
      </c>
      <c r="DG4" s="185" t="s">
        <v>169</v>
      </c>
      <c r="DH4" s="185" t="s">
        <v>170</v>
      </c>
      <c r="DI4" s="184" t="s">
        <v>169</v>
      </c>
      <c r="DJ4" s="184" t="s">
        <v>170</v>
      </c>
      <c r="DK4" s="185" t="s">
        <v>169</v>
      </c>
      <c r="DL4" s="185" t="s">
        <v>170</v>
      </c>
      <c r="DM4" s="184" t="s">
        <v>169</v>
      </c>
      <c r="DN4" s="184" t="s">
        <v>170</v>
      </c>
      <c r="DO4" s="185" t="s">
        <v>169</v>
      </c>
      <c r="DP4" s="185" t="s">
        <v>170</v>
      </c>
      <c r="DQ4" s="184" t="s">
        <v>169</v>
      </c>
      <c r="DR4" s="184" t="s">
        <v>170</v>
      </c>
    </row>
    <row r="5" spans="1:122" x14ac:dyDescent="0.2">
      <c r="A5" s="43"/>
      <c r="B5" s="44"/>
      <c r="C5" s="44"/>
      <c r="D5" s="44"/>
      <c r="E5" s="45"/>
      <c r="F5" s="45"/>
      <c r="G5" s="45"/>
      <c r="H5" s="45"/>
      <c r="I5" s="45"/>
      <c r="J5" s="45"/>
      <c r="K5" s="45"/>
      <c r="L5" s="46"/>
      <c r="M5" s="46"/>
      <c r="N5" s="104" t="s">
        <v>80</v>
      </c>
      <c r="O5" s="102" t="str">
        <f>IF(ISNA(VLOOKUP(INT(O8),'04系統'!$B$2:$B$999,1,FALSE)),"X系統ID","")&amp;IF(ISNA(VLOOKUP(O9,'05運行日'!$L$2:$L$40,1,FALSE)),"X運行日","")</f>
        <v/>
      </c>
      <c r="P5" s="103" t="str">
        <f>IF(ISNA(VLOOKUP(INT(P8),'04系統'!$B$2:$B$999,1,FALSE)),"X系統ID","")&amp;IF(ISNA(VLOOKUP(P9,'05運行日'!$L$2:$L$40,1,FALSE)),"X運行日","")</f>
        <v/>
      </c>
      <c r="Q5" s="102" t="str">
        <f>IF(ISNA(VLOOKUP(INT(Q8),'04系統'!$B$2:$B$999,1,FALSE)),"X系統ID","")&amp;IF(ISNA(VLOOKUP(Q9,'05運行日'!$L$2:$L$40,1,FALSE)),"X運行日","")</f>
        <v/>
      </c>
      <c r="R5" s="103"/>
      <c r="S5" s="102"/>
      <c r="T5" s="103"/>
      <c r="U5" s="102"/>
      <c r="V5" s="103"/>
      <c r="W5" s="102"/>
      <c r="X5" s="103"/>
      <c r="Y5" s="102"/>
      <c r="Z5" s="103"/>
      <c r="AA5" s="102"/>
      <c r="AB5" s="103"/>
      <c r="AC5" s="102"/>
      <c r="AD5" s="103"/>
      <c r="AE5" s="102"/>
      <c r="AF5" s="103"/>
      <c r="AG5" s="102"/>
      <c r="AH5" s="103"/>
      <c r="AI5" s="102"/>
      <c r="AJ5" s="103"/>
      <c r="AK5" s="102"/>
      <c r="AL5" s="103"/>
      <c r="AM5" s="102"/>
      <c r="AN5" s="103"/>
      <c r="AO5" s="102"/>
      <c r="AP5" s="103"/>
      <c r="AQ5" s="102"/>
      <c r="AR5" s="102"/>
      <c r="AS5" s="102"/>
      <c r="AT5" s="102"/>
      <c r="AU5" s="102"/>
      <c r="AV5" s="102"/>
      <c r="AW5" s="102"/>
      <c r="AX5" s="102"/>
      <c r="AY5" s="102"/>
      <c r="AZ5" s="102"/>
      <c r="BA5" s="102"/>
      <c r="BB5" s="103"/>
      <c r="BC5" s="102"/>
      <c r="BD5" s="102"/>
      <c r="BE5" s="102"/>
      <c r="BF5" s="102"/>
      <c r="BG5" s="102"/>
      <c r="BH5" s="102"/>
      <c r="BI5" s="102"/>
      <c r="BJ5" s="102"/>
      <c r="BK5" s="102"/>
      <c r="BL5" s="102"/>
      <c r="BM5" s="102"/>
      <c r="BN5" s="102"/>
      <c r="BO5" s="102"/>
      <c r="BP5" s="102"/>
      <c r="BQ5" s="102"/>
      <c r="BR5" s="102"/>
      <c r="BS5" s="102"/>
      <c r="BT5" s="102"/>
      <c r="BU5" s="102"/>
      <c r="BV5" s="102"/>
      <c r="BW5" s="102"/>
      <c r="BX5" s="102"/>
      <c r="BY5" s="102"/>
      <c r="BZ5" s="102"/>
      <c r="CA5" s="102"/>
      <c r="CB5" s="102"/>
      <c r="CC5" s="102"/>
      <c r="CD5" s="102"/>
      <c r="CE5" s="102"/>
      <c r="CF5" s="102"/>
      <c r="CG5" s="102"/>
      <c r="CH5" s="103"/>
      <c r="CI5" s="102"/>
      <c r="CJ5" s="103"/>
      <c r="CK5" s="102"/>
      <c r="CL5" s="103"/>
      <c r="CM5" s="102"/>
      <c r="CN5" s="103"/>
      <c r="CO5" s="102"/>
      <c r="CP5" s="103"/>
    </row>
    <row r="6" spans="1:122" x14ac:dyDescent="0.2">
      <c r="A6" s="43"/>
      <c r="B6" s="44"/>
      <c r="C6" s="44"/>
      <c r="D6" s="44"/>
      <c r="E6" s="45"/>
      <c r="F6" s="45"/>
      <c r="G6" s="45"/>
      <c r="H6" s="45"/>
      <c r="I6" s="45"/>
      <c r="J6" s="45"/>
      <c r="K6" s="45"/>
      <c r="L6" s="46"/>
      <c r="M6" s="46"/>
      <c r="N6" s="104" t="s">
        <v>131</v>
      </c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47"/>
      <c r="BB6" s="47"/>
      <c r="BC6" s="47"/>
      <c r="BD6" s="47"/>
      <c r="BE6" s="47"/>
      <c r="BF6" s="47"/>
      <c r="BG6" s="47"/>
      <c r="BH6" s="47"/>
      <c r="BI6" s="47"/>
      <c r="BJ6" s="47"/>
      <c r="BK6" s="47"/>
      <c r="BL6" s="47"/>
      <c r="BM6" s="47"/>
      <c r="BN6" s="47"/>
      <c r="BO6" s="47"/>
      <c r="BP6" s="47"/>
      <c r="BQ6" s="47"/>
      <c r="BR6" s="47"/>
      <c r="BS6" s="47"/>
      <c r="BT6" s="47"/>
      <c r="BU6" s="47"/>
      <c r="BV6" s="47"/>
      <c r="BW6" s="47"/>
      <c r="BX6" s="47"/>
      <c r="BY6" s="47"/>
      <c r="BZ6" s="47"/>
      <c r="CA6" s="47"/>
      <c r="CB6" s="47"/>
      <c r="CC6" s="47"/>
      <c r="CD6" s="47"/>
      <c r="CE6" s="47"/>
      <c r="CF6" s="47"/>
      <c r="CG6" s="47"/>
      <c r="CH6" s="47"/>
      <c r="CI6" s="47"/>
      <c r="CJ6" s="47"/>
      <c r="CK6" s="47"/>
      <c r="CL6" s="47"/>
      <c r="CM6" s="47"/>
      <c r="CN6" s="47"/>
      <c r="CO6" s="47"/>
      <c r="CP6" s="47"/>
    </row>
    <row r="7" spans="1:122" x14ac:dyDescent="0.2">
      <c r="A7" s="43"/>
      <c r="B7" s="44"/>
      <c r="C7" s="44"/>
      <c r="D7" s="44"/>
      <c r="E7" s="45"/>
      <c r="F7" s="45"/>
      <c r="G7" s="45"/>
      <c r="H7" s="45"/>
      <c r="I7" s="45"/>
      <c r="J7" s="45"/>
      <c r="K7" s="45"/>
      <c r="L7" s="46"/>
      <c r="M7" s="46"/>
      <c r="N7" s="50" t="s">
        <v>52</v>
      </c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47"/>
      <c r="AK7" s="47"/>
      <c r="AL7" s="47"/>
      <c r="AM7" s="47"/>
      <c r="AN7" s="47"/>
      <c r="AO7" s="47"/>
      <c r="AP7" s="47"/>
      <c r="AQ7" s="47"/>
      <c r="AR7" s="47"/>
      <c r="AS7" s="47"/>
      <c r="AT7" s="47"/>
      <c r="AU7" s="47"/>
      <c r="AV7" s="47"/>
      <c r="AW7" s="47"/>
      <c r="AX7" s="47"/>
      <c r="AY7" s="47"/>
      <c r="AZ7" s="47"/>
      <c r="BA7" s="47"/>
      <c r="BB7" s="47"/>
      <c r="BC7" s="47"/>
      <c r="BD7" s="47"/>
      <c r="BE7" s="47"/>
      <c r="BF7" s="47"/>
      <c r="BG7" s="47"/>
      <c r="BH7" s="47"/>
      <c r="BI7" s="47"/>
      <c r="BJ7" s="47"/>
      <c r="BK7" s="47"/>
      <c r="BL7" s="47"/>
      <c r="BM7" s="47"/>
      <c r="BN7" s="47"/>
      <c r="BO7" s="47"/>
      <c r="BP7" s="47"/>
      <c r="BQ7" s="47"/>
      <c r="BR7" s="47"/>
      <c r="BS7" s="47"/>
      <c r="BT7" s="47"/>
      <c r="BU7" s="47"/>
      <c r="BV7" s="47"/>
      <c r="BW7" s="47"/>
      <c r="BX7" s="47"/>
      <c r="BY7" s="47"/>
      <c r="BZ7" s="47"/>
      <c r="CA7" s="47"/>
      <c r="CB7" s="47"/>
      <c r="CC7" s="47"/>
      <c r="CD7" s="47"/>
      <c r="CE7" s="47"/>
      <c r="CF7" s="47"/>
      <c r="CG7" s="47"/>
      <c r="CH7" s="47"/>
      <c r="CI7" s="47"/>
      <c r="CJ7" s="47"/>
      <c r="CK7" s="47"/>
      <c r="CL7" s="47"/>
      <c r="CM7" s="47"/>
      <c r="CN7" s="47"/>
      <c r="CO7" s="47"/>
      <c r="CP7" s="47"/>
    </row>
    <row r="8" spans="1:122" x14ac:dyDescent="0.2">
      <c r="A8" s="48"/>
      <c r="B8" s="49"/>
      <c r="C8" s="49"/>
      <c r="D8" s="49"/>
      <c r="E8" s="50"/>
      <c r="F8" s="50"/>
      <c r="G8" s="50"/>
      <c r="H8" s="50"/>
      <c r="I8" s="50"/>
      <c r="J8" s="50"/>
      <c r="K8" s="50"/>
      <c r="L8" s="51"/>
      <c r="M8" s="51"/>
      <c r="N8" s="50" t="s">
        <v>53</v>
      </c>
      <c r="O8" s="52" t="s">
        <v>2027</v>
      </c>
      <c r="P8" s="53" t="s">
        <v>2028</v>
      </c>
      <c r="Q8" s="53" t="s">
        <v>2028</v>
      </c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/>
      <c r="BA8" s="53"/>
      <c r="BB8" s="53"/>
      <c r="BC8" s="53"/>
      <c r="BD8" s="53"/>
      <c r="BE8" s="53"/>
      <c r="BF8" s="53"/>
      <c r="BG8" s="53"/>
      <c r="BH8" s="53"/>
      <c r="BI8" s="53"/>
      <c r="BJ8" s="53"/>
      <c r="BK8" s="53"/>
      <c r="BL8" s="53"/>
      <c r="BM8" s="53"/>
      <c r="BN8" s="53"/>
      <c r="BO8" s="53"/>
      <c r="BP8" s="53"/>
      <c r="BQ8" s="53"/>
      <c r="BR8" s="53"/>
      <c r="BS8" s="53"/>
      <c r="BT8" s="53"/>
      <c r="BU8" s="53"/>
      <c r="BV8" s="53"/>
      <c r="BW8" s="53"/>
      <c r="BX8" s="53"/>
      <c r="BY8" s="53"/>
      <c r="BZ8" s="53"/>
      <c r="CA8" s="53"/>
      <c r="CB8" s="53"/>
      <c r="CC8" s="53"/>
      <c r="CD8" s="53"/>
      <c r="CE8" s="53"/>
      <c r="CF8" s="53"/>
      <c r="CG8" s="53"/>
      <c r="CH8" s="53"/>
      <c r="CI8" s="53"/>
      <c r="CJ8" s="53"/>
      <c r="CK8" s="53"/>
      <c r="CL8" s="53"/>
      <c r="CM8" s="53"/>
      <c r="CN8" s="53"/>
      <c r="CO8" s="53"/>
      <c r="CP8" s="53"/>
      <c r="CR8" s="172" t="s">
        <v>171</v>
      </c>
      <c r="CS8" s="186"/>
      <c r="CT8" s="186"/>
      <c r="CU8" s="186"/>
      <c r="CV8" s="186"/>
      <c r="CW8" s="186"/>
      <c r="CX8" s="186"/>
      <c r="CY8" s="186"/>
      <c r="CZ8" s="186"/>
      <c r="DA8" s="186"/>
      <c r="DB8" s="186"/>
      <c r="DC8" s="186"/>
      <c r="DD8" s="186"/>
      <c r="DE8" s="186"/>
      <c r="DF8" s="186"/>
      <c r="DG8" s="186"/>
      <c r="DH8" s="186"/>
      <c r="DI8" s="186"/>
      <c r="DJ8" s="186"/>
      <c r="DK8" s="186"/>
      <c r="DL8" s="186"/>
      <c r="DM8" s="186"/>
      <c r="DN8" s="186"/>
      <c r="DO8" s="186"/>
      <c r="DP8" s="186"/>
      <c r="DQ8" s="186"/>
      <c r="DR8" s="186"/>
    </row>
    <row r="9" spans="1:122" ht="39" customHeight="1" x14ac:dyDescent="0.2">
      <c r="A9" s="54" t="s">
        <v>54</v>
      </c>
      <c r="B9" s="54" t="s">
        <v>55</v>
      </c>
      <c r="C9" s="54" t="s">
        <v>56</v>
      </c>
      <c r="D9" s="54" t="s">
        <v>57</v>
      </c>
      <c r="E9" s="54" t="s">
        <v>58</v>
      </c>
      <c r="F9" s="55" t="s">
        <v>59</v>
      </c>
      <c r="G9" s="55" t="s">
        <v>59</v>
      </c>
      <c r="H9" s="55" t="s">
        <v>59</v>
      </c>
      <c r="I9" s="55" t="s">
        <v>59</v>
      </c>
      <c r="J9" s="55" t="s">
        <v>59</v>
      </c>
      <c r="K9" s="55" t="s">
        <v>59</v>
      </c>
      <c r="L9" s="56" t="s">
        <v>2</v>
      </c>
      <c r="M9" s="56" t="s">
        <v>60</v>
      </c>
      <c r="N9" s="57" t="s">
        <v>61</v>
      </c>
      <c r="O9" s="58" t="s">
        <v>1789</v>
      </c>
      <c r="P9" s="58" t="s">
        <v>2033</v>
      </c>
      <c r="Q9" s="58" t="s">
        <v>2033</v>
      </c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  <c r="AO9" s="58"/>
      <c r="AP9" s="58"/>
      <c r="AQ9" s="58"/>
      <c r="AR9" s="58"/>
      <c r="AS9" s="58"/>
      <c r="AT9" s="58"/>
      <c r="AU9" s="58"/>
      <c r="AV9" s="58"/>
      <c r="AW9" s="58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8"/>
      <c r="BL9" s="58"/>
      <c r="BM9" s="58"/>
      <c r="BN9" s="58"/>
      <c r="BO9" s="58"/>
      <c r="BP9" s="58"/>
      <c r="BQ9" s="58"/>
      <c r="BR9" s="58"/>
      <c r="BS9" s="58"/>
      <c r="BT9" s="58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8"/>
      <c r="CP9" s="58"/>
    </row>
    <row r="10" spans="1:122" x14ac:dyDescent="0.2">
      <c r="A10" s="59" t="s">
        <v>255</v>
      </c>
      <c r="B10" s="60"/>
      <c r="C10" s="60"/>
      <c r="D10" s="60"/>
      <c r="E10" s="61"/>
      <c r="F10" s="114"/>
      <c r="G10" s="114"/>
      <c r="H10" s="114"/>
      <c r="I10" s="114"/>
      <c r="J10" s="114"/>
      <c r="K10" s="114"/>
      <c r="L10" s="62">
        <f>IF(N10="","XXX",VLOOKUP(M10*10+N10,'06停留所'!$B$2:$B$9999,1,FALSE))</f>
        <v>122</v>
      </c>
      <c r="M10" s="63">
        <f>INT(VLOOKUPLEFT(A10,'06停留所'!$B$2:$C$9999,'06停留所'!$C$2:$C$9999,1)/10)</f>
        <v>12</v>
      </c>
      <c r="N10" s="208">
        <v>2</v>
      </c>
      <c r="O10" s="64" t="s">
        <v>1926</v>
      </c>
      <c r="P10" s="65" t="s">
        <v>1948</v>
      </c>
      <c r="Q10" s="65" t="s">
        <v>1991</v>
      </c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65"/>
      <c r="AZ10" s="65"/>
      <c r="BA10" s="65"/>
      <c r="BB10" s="65"/>
      <c r="BC10" s="65"/>
      <c r="BD10" s="65"/>
      <c r="BE10" s="65"/>
      <c r="BF10" s="65"/>
      <c r="BG10" s="65"/>
      <c r="BH10" s="65"/>
      <c r="BI10" s="65"/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65"/>
      <c r="BV10" s="65"/>
      <c r="BW10" s="65"/>
      <c r="BX10" s="65"/>
      <c r="BY10" s="65"/>
      <c r="BZ10" s="65"/>
      <c r="CA10" s="65"/>
      <c r="CB10" s="65"/>
      <c r="CC10" s="65"/>
      <c r="CD10" s="65"/>
      <c r="CE10" s="65"/>
      <c r="CF10" s="65"/>
      <c r="CG10" s="65"/>
      <c r="CH10" s="65"/>
      <c r="CI10" s="65"/>
      <c r="CJ10" s="65"/>
      <c r="CK10" s="65"/>
      <c r="CL10" s="65"/>
      <c r="CM10" s="65"/>
      <c r="CN10" s="65"/>
      <c r="CO10" s="65"/>
      <c r="CP10" s="65"/>
      <c r="CR10" s="176" t="s">
        <v>172</v>
      </c>
    </row>
    <row r="11" spans="1:122" x14ac:dyDescent="0.2">
      <c r="A11" s="59" t="s">
        <v>709</v>
      </c>
      <c r="B11" s="66"/>
      <c r="C11" s="66"/>
      <c r="D11" s="66"/>
      <c r="E11" s="59"/>
      <c r="F11" s="59"/>
      <c r="G11" s="59"/>
      <c r="H11" s="59"/>
      <c r="I11" s="59"/>
      <c r="J11" s="59"/>
      <c r="K11" s="67"/>
      <c r="L11" s="68">
        <f>IF(N11="","XXX",VLOOKUP(M11*10+N11,'06停留所'!$B$2:$B$9999,1,FALSE))</f>
        <v>2042</v>
      </c>
      <c r="M11" s="68">
        <f>INT(VLOOKUPLEFT(A11,'06停留所'!$B$2:$C$9999,'06停留所'!$C$2:$C$9999,1)/10)</f>
        <v>204</v>
      </c>
      <c r="N11" s="209">
        <v>2</v>
      </c>
      <c r="O11" s="69" t="s">
        <v>1927</v>
      </c>
      <c r="P11" s="70" t="s">
        <v>1949</v>
      </c>
      <c r="Q11" s="70" t="s">
        <v>1992</v>
      </c>
      <c r="R11" s="70"/>
      <c r="S11" s="70"/>
      <c r="T11" s="70"/>
      <c r="U11" s="70"/>
      <c r="V11" s="70"/>
      <c r="W11" s="70"/>
      <c r="X11" s="70"/>
      <c r="Y11" s="70"/>
      <c r="Z11" s="70"/>
      <c r="AA11" s="70"/>
      <c r="AB11" s="70"/>
      <c r="AC11" s="70"/>
      <c r="AD11" s="70"/>
      <c r="AE11" s="70"/>
      <c r="AF11" s="70"/>
      <c r="AG11" s="70"/>
      <c r="AH11" s="70"/>
      <c r="AI11" s="70"/>
      <c r="AJ11" s="70"/>
      <c r="AK11" s="70"/>
      <c r="AL11" s="70"/>
      <c r="AM11" s="70"/>
      <c r="AN11" s="70"/>
      <c r="AO11" s="70"/>
      <c r="AP11" s="70"/>
      <c r="AQ11" s="70"/>
      <c r="AR11" s="70"/>
      <c r="AS11" s="70"/>
      <c r="AT11" s="70"/>
      <c r="AU11" s="70"/>
      <c r="AV11" s="70"/>
      <c r="AW11" s="70"/>
      <c r="AX11" s="70"/>
      <c r="AY11" s="70"/>
      <c r="AZ11" s="70"/>
      <c r="BA11" s="70"/>
      <c r="BB11" s="70"/>
      <c r="BC11" s="70"/>
      <c r="BD11" s="70"/>
      <c r="BE11" s="70"/>
      <c r="BF11" s="70"/>
      <c r="BG11" s="70"/>
      <c r="BH11" s="70"/>
      <c r="BI11" s="70"/>
      <c r="BJ11" s="70"/>
      <c r="BK11" s="70"/>
      <c r="BL11" s="70"/>
      <c r="BM11" s="70"/>
      <c r="BN11" s="70"/>
      <c r="BO11" s="70"/>
      <c r="BP11" s="70"/>
      <c r="BQ11" s="70"/>
      <c r="BR11" s="70"/>
      <c r="BS11" s="70"/>
      <c r="BT11" s="70"/>
      <c r="BU11" s="70"/>
      <c r="BV11" s="70"/>
      <c r="BW11" s="70"/>
      <c r="BX11" s="70"/>
      <c r="BY11" s="70"/>
      <c r="BZ11" s="70"/>
      <c r="CA11" s="70"/>
      <c r="CB11" s="70"/>
      <c r="CC11" s="70"/>
      <c r="CD11" s="70"/>
      <c r="CE11" s="70"/>
      <c r="CF11" s="70"/>
      <c r="CG11" s="70"/>
      <c r="CH11" s="70"/>
      <c r="CI11" s="70"/>
      <c r="CJ11" s="70"/>
      <c r="CK11" s="70"/>
      <c r="CL11" s="70"/>
      <c r="CM11" s="70"/>
      <c r="CN11" s="70"/>
      <c r="CO11" s="70"/>
      <c r="CP11" s="70"/>
      <c r="CR11" s="173"/>
    </row>
    <row r="12" spans="1:122" x14ac:dyDescent="0.2">
      <c r="A12" s="59" t="s">
        <v>468</v>
      </c>
      <c r="B12" s="66"/>
      <c r="C12" s="66"/>
      <c r="D12" s="66"/>
      <c r="E12" s="59"/>
      <c r="F12" s="59"/>
      <c r="G12" s="59"/>
      <c r="H12" s="59"/>
      <c r="I12" s="59"/>
      <c r="J12" s="59"/>
      <c r="K12" s="71"/>
      <c r="L12" s="68">
        <f>IF(N12="","XXX",VLOOKUP(M12*10+N12,'06停留所'!$B$2:$B$9999,1,FALSE))</f>
        <v>1181</v>
      </c>
      <c r="M12" s="68">
        <f>INT(VLOOKUPLEFT(A12,'06停留所'!$B$2:$C$9999,'06停留所'!$C$2:$C$9999,1)/10)</f>
        <v>118</v>
      </c>
      <c r="N12" s="209">
        <v>1</v>
      </c>
      <c r="O12" s="69" t="s">
        <v>1928</v>
      </c>
      <c r="P12" s="70" t="s">
        <v>1950</v>
      </c>
      <c r="Q12" s="70" t="s">
        <v>1993</v>
      </c>
      <c r="R12" s="70"/>
      <c r="S12" s="70"/>
      <c r="T12" s="70"/>
      <c r="U12" s="70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70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  <c r="BO12" s="70"/>
      <c r="BP12" s="70"/>
      <c r="BQ12" s="70"/>
      <c r="BR12" s="70"/>
      <c r="BS12" s="70"/>
      <c r="BT12" s="70"/>
      <c r="BU12" s="70"/>
      <c r="BV12" s="70"/>
      <c r="BW12" s="70"/>
      <c r="BX12" s="70"/>
      <c r="BY12" s="70"/>
      <c r="BZ12" s="70"/>
      <c r="CA12" s="70"/>
      <c r="CB12" s="70"/>
      <c r="CC12" s="70"/>
      <c r="CD12" s="70"/>
      <c r="CE12" s="70"/>
      <c r="CF12" s="70"/>
      <c r="CG12" s="70"/>
      <c r="CH12" s="70"/>
      <c r="CI12" s="70"/>
      <c r="CJ12" s="70"/>
      <c r="CK12" s="70"/>
      <c r="CL12" s="70"/>
      <c r="CM12" s="70"/>
      <c r="CN12" s="70"/>
      <c r="CO12" s="70"/>
      <c r="CP12" s="70"/>
      <c r="CR12" s="173"/>
    </row>
    <row r="13" spans="1:122" x14ac:dyDescent="0.2">
      <c r="A13" s="59" t="s">
        <v>240</v>
      </c>
      <c r="B13" s="66"/>
      <c r="C13" s="66"/>
      <c r="D13" s="66"/>
      <c r="E13" s="59"/>
      <c r="F13" s="59"/>
      <c r="G13" s="59"/>
      <c r="H13" s="59"/>
      <c r="I13" s="59"/>
      <c r="J13" s="59"/>
      <c r="K13" s="59"/>
      <c r="L13" s="68">
        <f>IF(N13="","XXX",VLOOKUP(M13*10+N13,'06停留所'!$B$2:$B$9999,1,FALSE))</f>
        <v>72</v>
      </c>
      <c r="M13" s="68">
        <f>INT(VLOOKUPLEFT(A13,'06停留所'!$B$2:$C$9999,'06停留所'!$C$2:$C$9999,1)/10)</f>
        <v>7</v>
      </c>
      <c r="N13" s="209">
        <v>2</v>
      </c>
      <c r="O13" s="69" t="s">
        <v>1803</v>
      </c>
      <c r="P13" s="70" t="s">
        <v>1951</v>
      </c>
      <c r="Q13" s="70" t="s">
        <v>1994</v>
      </c>
      <c r="R13" s="70"/>
      <c r="S13" s="70"/>
      <c r="T13" s="70"/>
      <c r="U13" s="70"/>
      <c r="V13" s="70"/>
      <c r="W13" s="70"/>
      <c r="X13" s="70"/>
      <c r="Y13" s="70"/>
      <c r="Z13" s="70"/>
      <c r="AA13" s="70"/>
      <c r="AB13" s="70"/>
      <c r="AC13" s="70"/>
      <c r="AD13" s="70"/>
      <c r="AE13" s="70"/>
      <c r="AF13" s="70"/>
      <c r="AG13" s="70"/>
      <c r="AH13" s="70"/>
      <c r="AI13" s="70"/>
      <c r="AJ13" s="70"/>
      <c r="AK13" s="70"/>
      <c r="AL13" s="70"/>
      <c r="AM13" s="70"/>
      <c r="AN13" s="70"/>
      <c r="AO13" s="70"/>
      <c r="AP13" s="70"/>
      <c r="AQ13" s="70"/>
      <c r="AR13" s="70"/>
      <c r="AS13" s="70"/>
      <c r="AT13" s="70"/>
      <c r="AU13" s="70"/>
      <c r="AV13" s="70"/>
      <c r="AW13" s="70"/>
      <c r="AX13" s="70"/>
      <c r="AY13" s="70"/>
      <c r="AZ13" s="70"/>
      <c r="BA13" s="70"/>
      <c r="BB13" s="70"/>
      <c r="BC13" s="70"/>
      <c r="BD13" s="70"/>
      <c r="BE13" s="70"/>
      <c r="BF13" s="70"/>
      <c r="BG13" s="70"/>
      <c r="BH13" s="70"/>
      <c r="BI13" s="70"/>
      <c r="BJ13" s="70"/>
      <c r="BK13" s="70"/>
      <c r="BL13" s="70"/>
      <c r="BM13" s="70"/>
      <c r="BN13" s="70"/>
      <c r="BO13" s="70"/>
      <c r="BP13" s="70"/>
      <c r="BQ13" s="70"/>
      <c r="BR13" s="70"/>
      <c r="BS13" s="70"/>
      <c r="BT13" s="70"/>
      <c r="BU13" s="70"/>
      <c r="BV13" s="70"/>
      <c r="BW13" s="70"/>
      <c r="BX13" s="70"/>
      <c r="BY13" s="70"/>
      <c r="BZ13" s="70"/>
      <c r="CA13" s="70"/>
      <c r="CB13" s="70"/>
      <c r="CC13" s="70"/>
      <c r="CD13" s="70"/>
      <c r="CE13" s="70"/>
      <c r="CF13" s="70"/>
      <c r="CG13" s="70"/>
      <c r="CH13" s="70"/>
      <c r="CI13" s="70"/>
      <c r="CJ13" s="70"/>
      <c r="CK13" s="70"/>
      <c r="CL13" s="70"/>
      <c r="CM13" s="70"/>
      <c r="CN13" s="70"/>
      <c r="CO13" s="70"/>
      <c r="CP13" s="70"/>
      <c r="CR13" s="173"/>
    </row>
    <row r="14" spans="1:122" x14ac:dyDescent="0.2">
      <c r="A14" s="59" t="s">
        <v>234</v>
      </c>
      <c r="B14" s="66"/>
      <c r="C14" s="66"/>
      <c r="D14" s="66"/>
      <c r="E14" s="59"/>
      <c r="F14" s="59"/>
      <c r="G14" s="59"/>
      <c r="H14" s="59"/>
      <c r="I14" s="59"/>
      <c r="J14" s="59"/>
      <c r="K14" s="59"/>
      <c r="L14" s="68">
        <f>IF(N14="","XXX",VLOOKUP(M14*10+N14,'06停留所'!$B$2:$B$9999,1,FALSE))</f>
        <v>52</v>
      </c>
      <c r="M14" s="68">
        <f>INT(VLOOKUPLEFT(A14,'06停留所'!$B$2:$C$9999,'06停留所'!$C$2:$C$9999,1)/10)</f>
        <v>5</v>
      </c>
      <c r="N14" s="209">
        <v>2</v>
      </c>
      <c r="O14" s="69" t="s">
        <v>1805</v>
      </c>
      <c r="P14" s="70" t="s">
        <v>1952</v>
      </c>
      <c r="Q14" s="70" t="s">
        <v>1995</v>
      </c>
      <c r="R14" s="70"/>
      <c r="S14" s="70"/>
      <c r="T14" s="70"/>
      <c r="U14" s="70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  <c r="BN14" s="70"/>
      <c r="BO14" s="70"/>
      <c r="BP14" s="70"/>
      <c r="BQ14" s="70"/>
      <c r="BR14" s="70"/>
      <c r="BS14" s="70"/>
      <c r="BT14" s="70"/>
      <c r="BU14" s="70"/>
      <c r="BV14" s="70"/>
      <c r="BW14" s="70"/>
      <c r="BX14" s="70"/>
      <c r="BY14" s="70"/>
      <c r="BZ14" s="70"/>
      <c r="CA14" s="70"/>
      <c r="CB14" s="70"/>
      <c r="CC14" s="70"/>
      <c r="CD14" s="70"/>
      <c r="CE14" s="70"/>
      <c r="CF14" s="70"/>
      <c r="CG14" s="70"/>
      <c r="CH14" s="70"/>
      <c r="CI14" s="70"/>
      <c r="CJ14" s="70"/>
      <c r="CK14" s="70"/>
      <c r="CL14" s="70"/>
      <c r="CM14" s="70"/>
      <c r="CN14" s="70"/>
      <c r="CO14" s="70"/>
      <c r="CP14" s="70"/>
      <c r="CR14" s="173"/>
    </row>
    <row r="15" spans="1:122" x14ac:dyDescent="0.2">
      <c r="A15" s="59" t="s">
        <v>1768</v>
      </c>
      <c r="B15" s="66"/>
      <c r="C15" s="66"/>
      <c r="D15" s="66"/>
      <c r="E15" s="59"/>
      <c r="F15" s="59"/>
      <c r="G15" s="59"/>
      <c r="H15" s="59"/>
      <c r="I15" s="59"/>
      <c r="J15" s="59"/>
      <c r="K15" s="59"/>
      <c r="L15" s="68">
        <f>IF(N15="","XXX",VLOOKUP(M15*10+N15,'06停留所'!$B$2:$B$9999,1,FALSE))</f>
        <v>1991</v>
      </c>
      <c r="M15" s="68">
        <f>INT(VLOOKUPLEFT(A15,'06停留所'!$B$2:$C$9999,'06停留所'!$C$2:$C$9999,1)/10)</f>
        <v>199</v>
      </c>
      <c r="N15" s="209">
        <v>1</v>
      </c>
      <c r="O15" s="69" t="s">
        <v>1788</v>
      </c>
      <c r="P15" s="70" t="s">
        <v>1953</v>
      </c>
      <c r="Q15" s="70" t="s">
        <v>1996</v>
      </c>
      <c r="R15" s="70"/>
      <c r="S15" s="70"/>
      <c r="T15" s="70"/>
      <c r="U15" s="70"/>
      <c r="V15" s="70"/>
      <c r="W15" s="70"/>
      <c r="X15" s="70"/>
      <c r="Y15" s="70"/>
      <c r="Z15" s="70"/>
      <c r="AA15" s="70"/>
      <c r="AB15" s="70"/>
      <c r="AC15" s="70"/>
      <c r="AD15" s="70"/>
      <c r="AE15" s="70"/>
      <c r="AF15" s="70"/>
      <c r="AG15" s="70"/>
      <c r="AH15" s="70"/>
      <c r="AI15" s="70"/>
      <c r="AJ15" s="70"/>
      <c r="AK15" s="70"/>
      <c r="AL15" s="70"/>
      <c r="AM15" s="70"/>
      <c r="AN15" s="70"/>
      <c r="AO15" s="70"/>
      <c r="AP15" s="70"/>
      <c r="AQ15" s="70"/>
      <c r="AR15" s="70"/>
      <c r="AS15" s="70"/>
      <c r="AT15" s="70"/>
      <c r="AU15" s="70"/>
      <c r="AV15" s="70"/>
      <c r="AW15" s="70"/>
      <c r="AX15" s="70"/>
      <c r="AY15" s="70"/>
      <c r="AZ15" s="70"/>
      <c r="BA15" s="70"/>
      <c r="BB15" s="70"/>
      <c r="BC15" s="70"/>
      <c r="BD15" s="70"/>
      <c r="BE15" s="70"/>
      <c r="BF15" s="70"/>
      <c r="BG15" s="70"/>
      <c r="BH15" s="70"/>
      <c r="BI15" s="70"/>
      <c r="BJ15" s="70"/>
      <c r="BK15" s="70"/>
      <c r="BL15" s="70"/>
      <c r="BM15" s="70"/>
      <c r="BN15" s="70"/>
      <c r="BO15" s="70"/>
      <c r="BP15" s="70"/>
      <c r="BQ15" s="70"/>
      <c r="BR15" s="70"/>
      <c r="BS15" s="70"/>
      <c r="BT15" s="70"/>
      <c r="BU15" s="70"/>
      <c r="BV15" s="70"/>
      <c r="BW15" s="70"/>
      <c r="BX15" s="70"/>
      <c r="BY15" s="70"/>
      <c r="BZ15" s="70"/>
      <c r="CA15" s="70"/>
      <c r="CB15" s="70"/>
      <c r="CC15" s="70"/>
      <c r="CD15" s="70"/>
      <c r="CE15" s="70"/>
      <c r="CF15" s="70"/>
      <c r="CG15" s="70"/>
      <c r="CH15" s="70"/>
      <c r="CI15" s="70"/>
      <c r="CJ15" s="70"/>
      <c r="CK15" s="70"/>
      <c r="CL15" s="70"/>
      <c r="CM15" s="70"/>
      <c r="CN15" s="70"/>
      <c r="CO15" s="70"/>
      <c r="CP15" s="70"/>
      <c r="CR15" s="173"/>
    </row>
    <row r="16" spans="1:122" x14ac:dyDescent="0.2">
      <c r="A16" s="59" t="s">
        <v>698</v>
      </c>
      <c r="B16" s="66"/>
      <c r="C16" s="66"/>
      <c r="D16" s="66"/>
      <c r="E16" s="59"/>
      <c r="F16" s="59"/>
      <c r="G16" s="59"/>
      <c r="H16" s="59"/>
      <c r="I16" s="59"/>
      <c r="J16" s="59"/>
      <c r="K16" s="59"/>
      <c r="L16" s="68">
        <f>IF(N16="","XXX",VLOOKUP(M16*10+N16,'06停留所'!$B$2:$B$9999,1,FALSE))</f>
        <v>2001</v>
      </c>
      <c r="M16" s="68">
        <f>INT(VLOOKUPLEFT(A16,'06停留所'!$B$2:$C$9999,'06停留所'!$C$2:$C$9999,1)/10)</f>
        <v>200</v>
      </c>
      <c r="N16" s="209">
        <v>1</v>
      </c>
      <c r="O16" s="69" t="s">
        <v>1788</v>
      </c>
      <c r="P16" s="70" t="s">
        <v>1954</v>
      </c>
      <c r="Q16" s="70" t="s">
        <v>1997</v>
      </c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70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  <c r="BN16" s="70"/>
      <c r="BO16" s="70"/>
      <c r="BP16" s="70"/>
      <c r="BQ16" s="70"/>
      <c r="BR16" s="70"/>
      <c r="BS16" s="70"/>
      <c r="BT16" s="70"/>
      <c r="BU16" s="70"/>
      <c r="BV16" s="70"/>
      <c r="BW16" s="70"/>
      <c r="BX16" s="70"/>
      <c r="BY16" s="70"/>
      <c r="BZ16" s="70"/>
      <c r="CA16" s="70"/>
      <c r="CB16" s="70"/>
      <c r="CC16" s="70"/>
      <c r="CD16" s="70"/>
      <c r="CE16" s="70"/>
      <c r="CF16" s="70"/>
      <c r="CG16" s="70"/>
      <c r="CH16" s="70"/>
      <c r="CI16" s="70"/>
      <c r="CJ16" s="70"/>
      <c r="CK16" s="70"/>
      <c r="CL16" s="70"/>
      <c r="CM16" s="70"/>
      <c r="CN16" s="70"/>
      <c r="CO16" s="70"/>
      <c r="CP16" s="70"/>
      <c r="CR16" s="173"/>
    </row>
    <row r="17" spans="1:96" x14ac:dyDescent="0.2">
      <c r="A17" s="59" t="s">
        <v>1769</v>
      </c>
      <c r="B17" s="66"/>
      <c r="C17" s="66"/>
      <c r="D17" s="66"/>
      <c r="E17" s="59"/>
      <c r="F17" s="59"/>
      <c r="G17" s="59"/>
      <c r="H17" s="59"/>
      <c r="I17" s="59"/>
      <c r="J17" s="59"/>
      <c r="K17" s="59"/>
      <c r="L17" s="68">
        <f>IF(N17="","XXX",VLOOKUP(M17*10+N17,'06停留所'!$B$2:$B$9999,1,FALSE))</f>
        <v>2011</v>
      </c>
      <c r="M17" s="63">
        <f>INT(VLOOKUPLEFT(A17,'06停留所'!$B$2:$C$9999,'06停留所'!$C$2:$C$9999,1)/10)</f>
        <v>201</v>
      </c>
      <c r="N17" s="209">
        <v>1</v>
      </c>
      <c r="O17" s="69" t="s">
        <v>1788</v>
      </c>
      <c r="P17" s="70" t="s">
        <v>1955</v>
      </c>
      <c r="Q17" s="70" t="s">
        <v>1998</v>
      </c>
      <c r="R17" s="70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70"/>
      <c r="AD17" s="70"/>
      <c r="AE17" s="70"/>
      <c r="AF17" s="70"/>
      <c r="AG17" s="70"/>
      <c r="AH17" s="70"/>
      <c r="AI17" s="70"/>
      <c r="AJ17" s="70"/>
      <c r="AK17" s="70"/>
      <c r="AL17" s="70"/>
      <c r="AM17" s="70"/>
      <c r="AN17" s="70"/>
      <c r="AO17" s="70"/>
      <c r="AP17" s="70"/>
      <c r="AQ17" s="70"/>
      <c r="AR17" s="70"/>
      <c r="AS17" s="70"/>
      <c r="AT17" s="70"/>
      <c r="AU17" s="70"/>
      <c r="AV17" s="70"/>
      <c r="AW17" s="70"/>
      <c r="AX17" s="70"/>
      <c r="AY17" s="70"/>
      <c r="AZ17" s="70"/>
      <c r="BA17" s="70"/>
      <c r="BB17" s="70"/>
      <c r="BC17" s="70"/>
      <c r="BD17" s="70"/>
      <c r="BE17" s="70"/>
      <c r="BF17" s="70"/>
      <c r="BG17" s="70"/>
      <c r="BH17" s="70"/>
      <c r="BI17" s="70"/>
      <c r="BJ17" s="70"/>
      <c r="BK17" s="70"/>
      <c r="BL17" s="70"/>
      <c r="BM17" s="70"/>
      <c r="BN17" s="70"/>
      <c r="BO17" s="70"/>
      <c r="BP17" s="70"/>
      <c r="BQ17" s="70"/>
      <c r="BR17" s="70"/>
      <c r="BS17" s="70"/>
      <c r="BT17" s="70"/>
      <c r="BU17" s="70"/>
      <c r="BV17" s="70"/>
      <c r="BW17" s="70"/>
      <c r="BX17" s="70"/>
      <c r="BY17" s="70"/>
      <c r="BZ17" s="70"/>
      <c r="CA17" s="70"/>
      <c r="CB17" s="70"/>
      <c r="CC17" s="70"/>
      <c r="CD17" s="70"/>
      <c r="CE17" s="70"/>
      <c r="CF17" s="70"/>
      <c r="CG17" s="70"/>
      <c r="CH17" s="70"/>
      <c r="CI17" s="70"/>
      <c r="CJ17" s="70"/>
      <c r="CK17" s="70"/>
      <c r="CL17" s="70"/>
      <c r="CM17" s="70"/>
      <c r="CN17" s="70"/>
      <c r="CO17" s="70"/>
      <c r="CP17" s="70"/>
      <c r="CR17" s="173"/>
    </row>
    <row r="18" spans="1:96" x14ac:dyDescent="0.2">
      <c r="A18" s="59" t="s">
        <v>698</v>
      </c>
      <c r="B18" s="66"/>
      <c r="C18" s="66"/>
      <c r="D18" s="66"/>
      <c r="E18" s="59"/>
      <c r="F18" s="59"/>
      <c r="G18" s="59"/>
      <c r="H18" s="59"/>
      <c r="I18" s="59"/>
      <c r="J18" s="59"/>
      <c r="K18" s="59"/>
      <c r="L18" s="68">
        <f>IF(N18="","XXX",VLOOKUP(M18*10+N18,'06停留所'!$B$2:$B$9999,1,FALSE))</f>
        <v>2002</v>
      </c>
      <c r="M18" s="63">
        <f>INT(VLOOKUPLEFT(A18,'06停留所'!$B$2:$C$9999,'06停留所'!$C$2:$C$9999,1)/10)</f>
        <v>200</v>
      </c>
      <c r="N18" s="209">
        <v>2</v>
      </c>
      <c r="O18" s="69" t="s">
        <v>1788</v>
      </c>
      <c r="P18" s="70" t="s">
        <v>1956</v>
      </c>
      <c r="Q18" s="70" t="s">
        <v>1999</v>
      </c>
      <c r="R18" s="70"/>
      <c r="S18" s="70"/>
      <c r="T18" s="70"/>
      <c r="U18" s="70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70"/>
      <c r="BF18" s="70"/>
      <c r="BG18" s="70"/>
      <c r="BH18" s="70"/>
      <c r="BI18" s="70"/>
      <c r="BJ18" s="70"/>
      <c r="BK18" s="70"/>
      <c r="BL18" s="70"/>
      <c r="BM18" s="70"/>
      <c r="BN18" s="70"/>
      <c r="BO18" s="70"/>
      <c r="BP18" s="70"/>
      <c r="BQ18" s="70"/>
      <c r="BR18" s="70"/>
      <c r="BS18" s="70"/>
      <c r="BT18" s="70"/>
      <c r="BU18" s="70"/>
      <c r="BV18" s="70"/>
      <c r="BW18" s="70"/>
      <c r="BX18" s="70"/>
      <c r="BY18" s="70"/>
      <c r="BZ18" s="70"/>
      <c r="CA18" s="70"/>
      <c r="CB18" s="70"/>
      <c r="CC18" s="70"/>
      <c r="CD18" s="70"/>
      <c r="CE18" s="70"/>
      <c r="CF18" s="70"/>
      <c r="CG18" s="70"/>
      <c r="CH18" s="70"/>
      <c r="CI18" s="70"/>
      <c r="CJ18" s="70"/>
      <c r="CK18" s="70"/>
      <c r="CL18" s="70"/>
      <c r="CM18" s="70"/>
      <c r="CN18" s="70"/>
      <c r="CO18" s="70"/>
      <c r="CP18" s="70"/>
      <c r="CR18" s="173"/>
    </row>
    <row r="19" spans="1:96" x14ac:dyDescent="0.2">
      <c r="A19" s="59" t="s">
        <v>1768</v>
      </c>
      <c r="B19" s="66"/>
      <c r="C19" s="66"/>
      <c r="D19" s="66"/>
      <c r="E19" s="59"/>
      <c r="F19" s="59"/>
      <c r="G19" s="59"/>
      <c r="H19" s="59"/>
      <c r="I19" s="59"/>
      <c r="J19" s="59"/>
      <c r="K19" s="59"/>
      <c r="L19" s="68">
        <f>IF(N19="","XXX",VLOOKUP(M19*10+N19,'06停留所'!$B$2:$B$9999,1,FALSE))</f>
        <v>1992</v>
      </c>
      <c r="M19" s="63">
        <f>INT(VLOOKUPLEFT(A19,'06停留所'!$B$2:$C$9999,'06停留所'!$C$2:$C$9999,1)/10)</f>
        <v>199</v>
      </c>
      <c r="N19" s="209">
        <v>2</v>
      </c>
      <c r="O19" s="69" t="s">
        <v>1788</v>
      </c>
      <c r="P19" s="70" t="s">
        <v>1957</v>
      </c>
      <c r="Q19" s="70" t="s">
        <v>2000</v>
      </c>
      <c r="R19" s="70"/>
      <c r="S19" s="70"/>
      <c r="T19" s="70"/>
      <c r="U19" s="70"/>
      <c r="V19" s="70"/>
      <c r="W19" s="70"/>
      <c r="X19" s="70"/>
      <c r="Y19" s="70"/>
      <c r="Z19" s="70"/>
      <c r="AA19" s="70"/>
      <c r="AB19" s="70"/>
      <c r="AC19" s="70"/>
      <c r="AD19" s="70"/>
      <c r="AE19" s="70"/>
      <c r="AF19" s="70"/>
      <c r="AG19" s="70"/>
      <c r="AH19" s="70"/>
      <c r="AI19" s="70"/>
      <c r="AJ19" s="70"/>
      <c r="AK19" s="70"/>
      <c r="AL19" s="70"/>
      <c r="AM19" s="70"/>
      <c r="AN19" s="70"/>
      <c r="AO19" s="70"/>
      <c r="AP19" s="70"/>
      <c r="AQ19" s="70"/>
      <c r="AR19" s="70"/>
      <c r="AS19" s="70"/>
      <c r="AT19" s="70"/>
      <c r="AU19" s="70"/>
      <c r="AV19" s="70"/>
      <c r="AW19" s="70"/>
      <c r="AX19" s="70"/>
      <c r="AY19" s="70"/>
      <c r="AZ19" s="70"/>
      <c r="BA19" s="70"/>
      <c r="BB19" s="70"/>
      <c r="BC19" s="70"/>
      <c r="BD19" s="70"/>
      <c r="BE19" s="70"/>
      <c r="BF19" s="70"/>
      <c r="BG19" s="70"/>
      <c r="BH19" s="70"/>
      <c r="BI19" s="70"/>
      <c r="BJ19" s="70"/>
      <c r="BK19" s="70"/>
      <c r="BL19" s="70"/>
      <c r="BM19" s="70"/>
      <c r="BN19" s="70"/>
      <c r="BO19" s="70"/>
      <c r="BP19" s="70"/>
      <c r="BQ19" s="70"/>
      <c r="BR19" s="70"/>
      <c r="BS19" s="70"/>
      <c r="BT19" s="70"/>
      <c r="BU19" s="70"/>
      <c r="BV19" s="70"/>
      <c r="BW19" s="70"/>
      <c r="BX19" s="70"/>
      <c r="BY19" s="70"/>
      <c r="BZ19" s="70"/>
      <c r="CA19" s="70"/>
      <c r="CB19" s="70"/>
      <c r="CC19" s="70"/>
      <c r="CD19" s="70"/>
      <c r="CE19" s="70"/>
      <c r="CF19" s="70"/>
      <c r="CG19" s="70"/>
      <c r="CH19" s="70"/>
      <c r="CI19" s="70"/>
      <c r="CJ19" s="70"/>
      <c r="CK19" s="70"/>
      <c r="CL19" s="70"/>
      <c r="CM19" s="70"/>
      <c r="CN19" s="70"/>
      <c r="CO19" s="70"/>
      <c r="CP19" s="70"/>
      <c r="CR19" s="173"/>
    </row>
    <row r="20" spans="1:96" x14ac:dyDescent="0.2">
      <c r="A20" s="59" t="s">
        <v>1770</v>
      </c>
      <c r="B20" s="66"/>
      <c r="C20" s="66"/>
      <c r="D20" s="66"/>
      <c r="E20" s="59"/>
      <c r="F20" s="59"/>
      <c r="G20" s="59"/>
      <c r="H20" s="59"/>
      <c r="I20" s="59"/>
      <c r="J20" s="59"/>
      <c r="K20" s="59"/>
      <c r="L20" s="68">
        <f>IF(N20="","XXX",VLOOKUP(M20*10+N20,'06停留所'!$B$2:$B$9999,1,FALSE))</f>
        <v>42</v>
      </c>
      <c r="M20" s="63">
        <f>INT(VLOOKUPLEFT(A20,'06停留所'!$B$2:$C$9999,'06停留所'!$C$2:$C$9999,1)/10)</f>
        <v>4</v>
      </c>
      <c r="N20" s="209">
        <v>2</v>
      </c>
      <c r="O20" s="69" t="s">
        <v>1929</v>
      </c>
      <c r="P20" s="70" t="s">
        <v>1958</v>
      </c>
      <c r="Q20" s="70" t="s">
        <v>2001</v>
      </c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70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70"/>
      <c r="BF20" s="70"/>
      <c r="BG20" s="70"/>
      <c r="BH20" s="70"/>
      <c r="BI20" s="70"/>
      <c r="BJ20" s="70"/>
      <c r="BK20" s="70"/>
      <c r="BL20" s="70"/>
      <c r="BM20" s="70"/>
      <c r="BN20" s="70"/>
      <c r="BO20" s="70"/>
      <c r="BP20" s="70"/>
      <c r="BQ20" s="70"/>
      <c r="BR20" s="70"/>
      <c r="BS20" s="70"/>
      <c r="BT20" s="70"/>
      <c r="BU20" s="70"/>
      <c r="BV20" s="70"/>
      <c r="BW20" s="70"/>
      <c r="BX20" s="70"/>
      <c r="BY20" s="70"/>
      <c r="BZ20" s="70"/>
      <c r="CA20" s="70"/>
      <c r="CB20" s="70"/>
      <c r="CC20" s="70"/>
      <c r="CD20" s="70"/>
      <c r="CE20" s="70"/>
      <c r="CF20" s="70"/>
      <c r="CG20" s="70"/>
      <c r="CH20" s="70"/>
      <c r="CI20" s="70"/>
      <c r="CJ20" s="70"/>
      <c r="CK20" s="70"/>
      <c r="CL20" s="70"/>
      <c r="CM20" s="70"/>
      <c r="CN20" s="70"/>
      <c r="CO20" s="70"/>
      <c r="CP20" s="70"/>
      <c r="CR20" s="173"/>
    </row>
    <row r="21" spans="1:96" x14ac:dyDescent="0.2">
      <c r="A21" s="59" t="s">
        <v>1771</v>
      </c>
      <c r="B21" s="66"/>
      <c r="C21" s="66"/>
      <c r="D21" s="66"/>
      <c r="E21" s="59"/>
      <c r="F21" s="59"/>
      <c r="G21" s="59"/>
      <c r="H21" s="59"/>
      <c r="I21" s="59"/>
      <c r="J21" s="59"/>
      <c r="K21" s="59"/>
      <c r="L21" s="68">
        <f>IF(N21="","XXX",VLOOKUP(M21*10+N21,'06停留所'!$B$2:$B$9999,1,FALSE))</f>
        <v>22</v>
      </c>
      <c r="M21" s="63">
        <f>INT(VLOOKUPLEFT(A21,'06停留所'!$B$2:$C$9999,'06停留所'!$C$2:$C$9999,1)/10)</f>
        <v>2</v>
      </c>
      <c r="N21" s="209">
        <v>2</v>
      </c>
      <c r="O21" s="69" t="s">
        <v>1807</v>
      </c>
      <c r="P21" s="70" t="s">
        <v>1959</v>
      </c>
      <c r="Q21" s="70" t="s">
        <v>2002</v>
      </c>
      <c r="R21" s="70"/>
      <c r="S21" s="70"/>
      <c r="T21" s="70"/>
      <c r="U21" s="70"/>
      <c r="V21" s="70"/>
      <c r="W21" s="70"/>
      <c r="X21" s="70"/>
      <c r="Y21" s="70"/>
      <c r="Z21" s="70"/>
      <c r="AA21" s="70"/>
      <c r="AB21" s="70"/>
      <c r="AC21" s="70"/>
      <c r="AD21" s="70"/>
      <c r="AE21" s="70"/>
      <c r="AF21" s="70"/>
      <c r="AG21" s="70"/>
      <c r="AH21" s="70"/>
      <c r="AI21" s="70"/>
      <c r="AJ21" s="70"/>
      <c r="AK21" s="70"/>
      <c r="AL21" s="70"/>
      <c r="AM21" s="70"/>
      <c r="AN21" s="70"/>
      <c r="AO21" s="70"/>
      <c r="AP21" s="70"/>
      <c r="AQ21" s="70"/>
      <c r="AR21" s="70"/>
      <c r="AS21" s="70"/>
      <c r="AT21" s="70"/>
      <c r="AU21" s="70"/>
      <c r="AV21" s="70"/>
      <c r="AW21" s="70"/>
      <c r="AX21" s="70"/>
      <c r="AY21" s="70"/>
      <c r="AZ21" s="70"/>
      <c r="BA21" s="70"/>
      <c r="BB21" s="70"/>
      <c r="BC21" s="70"/>
      <c r="BD21" s="70"/>
      <c r="BE21" s="70"/>
      <c r="BF21" s="70"/>
      <c r="BG21" s="70"/>
      <c r="BH21" s="70"/>
      <c r="BI21" s="70"/>
      <c r="BJ21" s="70"/>
      <c r="BK21" s="70"/>
      <c r="BL21" s="70"/>
      <c r="BM21" s="70"/>
      <c r="BN21" s="70"/>
      <c r="BO21" s="70"/>
      <c r="BP21" s="70"/>
      <c r="BQ21" s="70"/>
      <c r="BR21" s="70"/>
      <c r="BS21" s="70"/>
      <c r="BT21" s="70"/>
      <c r="BU21" s="70"/>
      <c r="BV21" s="70"/>
      <c r="BW21" s="70"/>
      <c r="BX21" s="70"/>
      <c r="BY21" s="70"/>
      <c r="BZ21" s="70"/>
      <c r="CA21" s="70"/>
      <c r="CB21" s="70"/>
      <c r="CC21" s="70"/>
      <c r="CD21" s="70"/>
      <c r="CE21" s="70"/>
      <c r="CF21" s="70"/>
      <c r="CG21" s="70"/>
      <c r="CH21" s="70"/>
      <c r="CI21" s="70"/>
      <c r="CJ21" s="70"/>
      <c r="CK21" s="70"/>
      <c r="CL21" s="70"/>
      <c r="CM21" s="70"/>
      <c r="CN21" s="70"/>
      <c r="CO21" s="70"/>
      <c r="CP21" s="70"/>
      <c r="CR21" s="173"/>
    </row>
    <row r="22" spans="1:96" x14ac:dyDescent="0.2">
      <c r="A22" s="59" t="s">
        <v>1772</v>
      </c>
      <c r="B22" s="66"/>
      <c r="C22" s="66"/>
      <c r="D22" s="66"/>
      <c r="E22" s="59"/>
      <c r="F22" s="59"/>
      <c r="G22" s="59"/>
      <c r="H22" s="59"/>
      <c r="I22" s="59"/>
      <c r="J22" s="59"/>
      <c r="K22" s="59"/>
      <c r="L22" s="68">
        <f>IF(N22="","XXX",VLOOKUP(M22*10+N22,'06停留所'!$B$2:$B$9999,1,FALSE))</f>
        <v>1982</v>
      </c>
      <c r="M22" s="63">
        <f>INT(VLOOKUPLEFT(A22,'06停留所'!$B$2:$C$9999,'06停留所'!$C$2:$C$9999,1)/10)</f>
        <v>198</v>
      </c>
      <c r="N22" s="209">
        <v>2</v>
      </c>
      <c r="O22" s="69" t="s">
        <v>1809</v>
      </c>
      <c r="P22" s="70" t="s">
        <v>1960</v>
      </c>
      <c r="Q22" s="70" t="s">
        <v>2003</v>
      </c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  <c r="BN22" s="70"/>
      <c r="BO22" s="70"/>
      <c r="BP22" s="70"/>
      <c r="BQ22" s="70"/>
      <c r="BR22" s="70"/>
      <c r="BS22" s="70"/>
      <c r="BT22" s="70"/>
      <c r="BU22" s="70"/>
      <c r="BV22" s="70"/>
      <c r="BW22" s="70"/>
      <c r="BX22" s="70"/>
      <c r="BY22" s="70"/>
      <c r="BZ22" s="70"/>
      <c r="CA22" s="70"/>
      <c r="CB22" s="70"/>
      <c r="CC22" s="70"/>
      <c r="CD22" s="70"/>
      <c r="CE22" s="70"/>
      <c r="CF22" s="70"/>
      <c r="CG22" s="70"/>
      <c r="CH22" s="70"/>
      <c r="CI22" s="70"/>
      <c r="CJ22" s="70"/>
      <c r="CK22" s="70"/>
      <c r="CL22" s="70"/>
      <c r="CM22" s="70"/>
      <c r="CN22" s="70"/>
      <c r="CO22" s="70"/>
      <c r="CP22" s="70"/>
      <c r="CR22" s="173"/>
    </row>
    <row r="23" spans="1:96" x14ac:dyDescent="0.2">
      <c r="A23" s="59" t="s">
        <v>683</v>
      </c>
      <c r="B23" s="66"/>
      <c r="C23" s="66"/>
      <c r="D23" s="66"/>
      <c r="E23" s="59"/>
      <c r="F23" s="59"/>
      <c r="G23" s="59"/>
      <c r="H23" s="59"/>
      <c r="I23" s="59"/>
      <c r="J23" s="59"/>
      <c r="K23" s="59"/>
      <c r="L23" s="68">
        <f>IF(N23="","XXX",VLOOKUP(M23*10+N23,'06停留所'!$B$2:$B$9999,1,FALSE))</f>
        <v>1952</v>
      </c>
      <c r="M23" s="63">
        <f>INT(VLOOKUPLEFT(A23,'06停留所'!$B$2:$C$9999,'06停留所'!$C$2:$C$9999,1)/10)</f>
        <v>195</v>
      </c>
      <c r="N23" s="209">
        <v>2</v>
      </c>
      <c r="O23" s="69" t="s">
        <v>1811</v>
      </c>
      <c r="P23" s="70" t="s">
        <v>1961</v>
      </c>
      <c r="Q23" s="70" t="s">
        <v>1882</v>
      </c>
      <c r="R23" s="70"/>
      <c r="S23" s="70"/>
      <c r="T23" s="70"/>
      <c r="U23" s="70"/>
      <c r="V23" s="70"/>
      <c r="W23" s="70"/>
      <c r="X23" s="70"/>
      <c r="Y23" s="70"/>
      <c r="Z23" s="70"/>
      <c r="AA23" s="70"/>
      <c r="AB23" s="70"/>
      <c r="AC23" s="70"/>
      <c r="AD23" s="70"/>
      <c r="AE23" s="70"/>
      <c r="AF23" s="70"/>
      <c r="AG23" s="70"/>
      <c r="AH23" s="70"/>
      <c r="AI23" s="70"/>
      <c r="AJ23" s="70"/>
      <c r="AK23" s="70"/>
      <c r="AL23" s="70"/>
      <c r="AM23" s="70"/>
      <c r="AN23" s="70"/>
      <c r="AO23" s="70"/>
      <c r="AP23" s="70"/>
      <c r="AQ23" s="70"/>
      <c r="AR23" s="70"/>
      <c r="AS23" s="70"/>
      <c r="AT23" s="70"/>
      <c r="AU23" s="70"/>
      <c r="AV23" s="70"/>
      <c r="AW23" s="70"/>
      <c r="AX23" s="70"/>
      <c r="AY23" s="70"/>
      <c r="AZ23" s="70"/>
      <c r="BA23" s="70"/>
      <c r="BB23" s="70"/>
      <c r="BC23" s="70"/>
      <c r="BD23" s="70"/>
      <c r="BE23" s="70"/>
      <c r="BF23" s="70"/>
      <c r="BG23" s="70"/>
      <c r="BH23" s="70"/>
      <c r="BI23" s="70"/>
      <c r="BJ23" s="70"/>
      <c r="BK23" s="70"/>
      <c r="BL23" s="70"/>
      <c r="BM23" s="70"/>
      <c r="BN23" s="70"/>
      <c r="BO23" s="70"/>
      <c r="BP23" s="70"/>
      <c r="BQ23" s="70"/>
      <c r="BR23" s="70"/>
      <c r="BS23" s="70"/>
      <c r="BT23" s="70"/>
      <c r="BU23" s="70"/>
      <c r="BV23" s="70"/>
      <c r="BW23" s="70"/>
      <c r="BX23" s="70"/>
      <c r="BY23" s="70"/>
      <c r="BZ23" s="70"/>
      <c r="CA23" s="70"/>
      <c r="CB23" s="70"/>
      <c r="CC23" s="70"/>
      <c r="CD23" s="70"/>
      <c r="CE23" s="70"/>
      <c r="CF23" s="70"/>
      <c r="CG23" s="70"/>
      <c r="CH23" s="70"/>
      <c r="CI23" s="70"/>
      <c r="CJ23" s="70"/>
      <c r="CK23" s="70"/>
      <c r="CL23" s="70"/>
      <c r="CM23" s="70"/>
      <c r="CN23" s="70"/>
      <c r="CO23" s="70"/>
      <c r="CP23" s="70"/>
      <c r="CR23" s="173"/>
    </row>
    <row r="24" spans="1:96" x14ac:dyDescent="0.2">
      <c r="A24" s="59" t="s">
        <v>671</v>
      </c>
      <c r="B24" s="66"/>
      <c r="C24" s="66"/>
      <c r="D24" s="66"/>
      <c r="E24" s="59"/>
      <c r="F24" s="59"/>
      <c r="G24" s="59"/>
      <c r="H24" s="59"/>
      <c r="I24" s="59"/>
      <c r="J24" s="59"/>
      <c r="K24" s="59"/>
      <c r="L24" s="68">
        <f>IF(N24="","XXX",VLOOKUP(M24*10+N24,'06停留所'!$B$2:$B$9999,1,FALSE))</f>
        <v>1912</v>
      </c>
      <c r="M24" s="63">
        <f>INT(VLOOKUPLEFT(A24,'06停留所'!$B$2:$C$9999,'06停留所'!$C$2:$C$9999,1)/10)</f>
        <v>191</v>
      </c>
      <c r="N24" s="209">
        <v>2</v>
      </c>
      <c r="O24" s="69" t="s">
        <v>1814</v>
      </c>
      <c r="P24" s="70" t="s">
        <v>1962</v>
      </c>
      <c r="Q24" s="70" t="s">
        <v>2004</v>
      </c>
      <c r="R24" s="70"/>
      <c r="S24" s="70"/>
      <c r="T24" s="70"/>
      <c r="U24" s="70"/>
      <c r="V24" s="70"/>
      <c r="W24" s="70"/>
      <c r="X24" s="70"/>
      <c r="Y24" s="70"/>
      <c r="Z24" s="70"/>
      <c r="AA24" s="70"/>
      <c r="AB24" s="70"/>
      <c r="AC24" s="70"/>
      <c r="AD24" s="70"/>
      <c r="AE24" s="70"/>
      <c r="AF24" s="70"/>
      <c r="AG24" s="70"/>
      <c r="AH24" s="70"/>
      <c r="AI24" s="70"/>
      <c r="AJ24" s="70"/>
      <c r="AK24" s="70"/>
      <c r="AL24" s="70"/>
      <c r="AM24" s="70"/>
      <c r="AN24" s="70"/>
      <c r="AO24" s="70"/>
      <c r="AP24" s="70"/>
      <c r="AQ24" s="70"/>
      <c r="AR24" s="70"/>
      <c r="AS24" s="70"/>
      <c r="AT24" s="70"/>
      <c r="AU24" s="70"/>
      <c r="AV24" s="70"/>
      <c r="AW24" s="70"/>
      <c r="AX24" s="70"/>
      <c r="AY24" s="70"/>
      <c r="AZ24" s="70"/>
      <c r="BA24" s="70"/>
      <c r="BB24" s="70"/>
      <c r="BC24" s="70"/>
      <c r="BD24" s="70"/>
      <c r="BE24" s="70"/>
      <c r="BF24" s="70"/>
      <c r="BG24" s="70"/>
      <c r="BH24" s="70"/>
      <c r="BI24" s="70"/>
      <c r="BJ24" s="70"/>
      <c r="BK24" s="70"/>
      <c r="BL24" s="70"/>
      <c r="BM24" s="70"/>
      <c r="BN24" s="70"/>
      <c r="BO24" s="70"/>
      <c r="BP24" s="70"/>
      <c r="BQ24" s="70"/>
      <c r="BR24" s="70"/>
      <c r="BS24" s="70"/>
      <c r="BT24" s="70"/>
      <c r="BU24" s="70"/>
      <c r="BV24" s="70"/>
      <c r="BW24" s="70"/>
      <c r="BX24" s="70"/>
      <c r="BY24" s="70"/>
      <c r="BZ24" s="70"/>
      <c r="CA24" s="70"/>
      <c r="CB24" s="70"/>
      <c r="CC24" s="70"/>
      <c r="CD24" s="70"/>
      <c r="CE24" s="70"/>
      <c r="CF24" s="70"/>
      <c r="CG24" s="70"/>
      <c r="CH24" s="70"/>
      <c r="CI24" s="70"/>
      <c r="CJ24" s="70"/>
      <c r="CK24" s="70"/>
      <c r="CL24" s="70"/>
      <c r="CM24" s="70"/>
      <c r="CN24" s="70"/>
      <c r="CO24" s="70"/>
      <c r="CP24" s="70"/>
      <c r="CR24" s="173"/>
    </row>
    <row r="25" spans="1:96" x14ac:dyDescent="0.2">
      <c r="A25" s="59" t="s">
        <v>1773</v>
      </c>
      <c r="B25" s="66"/>
      <c r="C25" s="66"/>
      <c r="D25" s="66"/>
      <c r="E25" s="59"/>
      <c r="F25" s="59"/>
      <c r="G25" s="59"/>
      <c r="H25" s="59"/>
      <c r="I25" s="59"/>
      <c r="J25" s="59"/>
      <c r="K25" s="59"/>
      <c r="L25" s="68">
        <f>IF(N25="","XXX",VLOOKUP(M25*10+N25,'06停留所'!$B$2:$B$9999,1,FALSE))</f>
        <v>2302</v>
      </c>
      <c r="M25" s="63">
        <f>INT(VLOOKUPLEFT(A25,'06停留所'!$B$2:$C$9999,'06停留所'!$C$2:$C$9999,1)/10)</f>
        <v>230</v>
      </c>
      <c r="N25" s="209">
        <v>2</v>
      </c>
      <c r="O25" s="69" t="s">
        <v>1930</v>
      </c>
      <c r="P25" s="70" t="s">
        <v>1963</v>
      </c>
      <c r="Q25" s="70" t="s">
        <v>2005</v>
      </c>
      <c r="R25" s="70"/>
      <c r="S25" s="70"/>
      <c r="T25" s="70"/>
      <c r="U25" s="70"/>
      <c r="V25" s="70"/>
      <c r="W25" s="70"/>
      <c r="X25" s="70"/>
      <c r="Y25" s="70"/>
      <c r="Z25" s="70"/>
      <c r="AA25" s="70"/>
      <c r="AB25" s="70"/>
      <c r="AC25" s="70"/>
      <c r="AD25" s="70"/>
      <c r="AE25" s="70"/>
      <c r="AF25" s="70"/>
      <c r="AG25" s="70"/>
      <c r="AH25" s="70"/>
      <c r="AI25" s="70"/>
      <c r="AJ25" s="70"/>
      <c r="AK25" s="70"/>
      <c r="AL25" s="70"/>
      <c r="AM25" s="70"/>
      <c r="AN25" s="70"/>
      <c r="AO25" s="70"/>
      <c r="AP25" s="70"/>
      <c r="AQ25" s="70"/>
      <c r="AR25" s="70"/>
      <c r="AS25" s="70"/>
      <c r="AT25" s="70"/>
      <c r="AU25" s="70"/>
      <c r="AV25" s="70"/>
      <c r="AW25" s="70"/>
      <c r="AX25" s="70"/>
      <c r="AY25" s="70"/>
      <c r="AZ25" s="70"/>
      <c r="BA25" s="70"/>
      <c r="BB25" s="70"/>
      <c r="BC25" s="70"/>
      <c r="BD25" s="70"/>
      <c r="BE25" s="70"/>
      <c r="BF25" s="70"/>
      <c r="BG25" s="70"/>
      <c r="BH25" s="70"/>
      <c r="BI25" s="70"/>
      <c r="BJ25" s="70"/>
      <c r="BK25" s="70"/>
      <c r="BL25" s="70"/>
      <c r="BM25" s="70"/>
      <c r="BN25" s="70"/>
      <c r="BO25" s="70"/>
      <c r="BP25" s="70"/>
      <c r="BQ25" s="70"/>
      <c r="BR25" s="70"/>
      <c r="BS25" s="70"/>
      <c r="BT25" s="70"/>
      <c r="BU25" s="70"/>
      <c r="BV25" s="70"/>
      <c r="BW25" s="70"/>
      <c r="BX25" s="70"/>
      <c r="BY25" s="70"/>
      <c r="BZ25" s="70"/>
      <c r="CA25" s="70"/>
      <c r="CB25" s="70"/>
      <c r="CC25" s="70"/>
      <c r="CD25" s="70"/>
      <c r="CE25" s="70"/>
      <c r="CF25" s="70"/>
      <c r="CG25" s="70"/>
      <c r="CH25" s="70"/>
      <c r="CI25" s="70"/>
      <c r="CJ25" s="70"/>
      <c r="CK25" s="70"/>
      <c r="CL25" s="70"/>
      <c r="CM25" s="70"/>
      <c r="CN25" s="70"/>
      <c r="CO25" s="70"/>
      <c r="CP25" s="70"/>
      <c r="CR25" s="173"/>
    </row>
    <row r="26" spans="1:96" x14ac:dyDescent="0.2">
      <c r="A26" s="59" t="s">
        <v>638</v>
      </c>
      <c r="B26" s="66"/>
      <c r="C26" s="66"/>
      <c r="D26" s="66"/>
      <c r="E26" s="59"/>
      <c r="F26" s="59"/>
      <c r="G26" s="59"/>
      <c r="H26" s="59"/>
      <c r="I26" s="59"/>
      <c r="J26" s="59"/>
      <c r="K26" s="59"/>
      <c r="L26" s="68">
        <f>IF(N26="","XXX",VLOOKUP(M26*10+N26,'06停留所'!$B$2:$B$9999,1,FALSE))</f>
        <v>1802</v>
      </c>
      <c r="M26" s="63">
        <f>INT(VLOOKUPLEFT(A26,'06停留所'!$B$2:$C$9999,'06停留所'!$C$2:$C$9999,1)/10)</f>
        <v>180</v>
      </c>
      <c r="N26" s="209">
        <v>2</v>
      </c>
      <c r="O26" s="69" t="s">
        <v>1819</v>
      </c>
      <c r="P26" s="70" t="s">
        <v>1964</v>
      </c>
      <c r="Q26" s="70" t="s">
        <v>2006</v>
      </c>
      <c r="R26" s="70"/>
      <c r="S26" s="70"/>
      <c r="T26" s="70"/>
      <c r="U26" s="70"/>
      <c r="V26" s="70"/>
      <c r="W26" s="70"/>
      <c r="X26" s="70"/>
      <c r="Y26" s="70"/>
      <c r="Z26" s="70"/>
      <c r="AA26" s="70"/>
      <c r="AB26" s="70"/>
      <c r="AC26" s="70"/>
      <c r="AD26" s="70"/>
      <c r="AE26" s="70"/>
      <c r="AF26" s="70"/>
      <c r="AG26" s="70"/>
      <c r="AH26" s="70"/>
      <c r="AI26" s="70"/>
      <c r="AJ26" s="70"/>
      <c r="AK26" s="70"/>
      <c r="AL26" s="70"/>
      <c r="AM26" s="70"/>
      <c r="AN26" s="70"/>
      <c r="AO26" s="70"/>
      <c r="AP26" s="70"/>
      <c r="AQ26" s="70"/>
      <c r="AR26" s="70"/>
      <c r="AS26" s="70"/>
      <c r="AT26" s="70"/>
      <c r="AU26" s="70"/>
      <c r="AV26" s="70"/>
      <c r="AW26" s="70"/>
      <c r="AX26" s="70"/>
      <c r="AY26" s="70"/>
      <c r="AZ26" s="70"/>
      <c r="BA26" s="70"/>
      <c r="BB26" s="70"/>
      <c r="BC26" s="70"/>
      <c r="BD26" s="70"/>
      <c r="BE26" s="70"/>
      <c r="BF26" s="70"/>
      <c r="BG26" s="70"/>
      <c r="BH26" s="70"/>
      <c r="BI26" s="70"/>
      <c r="BJ26" s="70"/>
      <c r="BK26" s="70"/>
      <c r="BL26" s="70"/>
      <c r="BM26" s="70"/>
      <c r="BN26" s="70"/>
      <c r="BO26" s="70"/>
      <c r="BP26" s="70"/>
      <c r="BQ26" s="70"/>
      <c r="BR26" s="70"/>
      <c r="BS26" s="70"/>
      <c r="BT26" s="70"/>
      <c r="BU26" s="70"/>
      <c r="BV26" s="70"/>
      <c r="BW26" s="70"/>
      <c r="BX26" s="70"/>
      <c r="BY26" s="70"/>
      <c r="BZ26" s="70"/>
      <c r="CA26" s="70"/>
      <c r="CB26" s="70"/>
      <c r="CC26" s="70"/>
      <c r="CD26" s="70"/>
      <c r="CE26" s="70"/>
      <c r="CF26" s="70"/>
      <c r="CG26" s="70"/>
      <c r="CH26" s="70"/>
      <c r="CI26" s="70"/>
      <c r="CJ26" s="70"/>
      <c r="CK26" s="70"/>
      <c r="CL26" s="70"/>
      <c r="CM26" s="70"/>
      <c r="CN26" s="70"/>
      <c r="CO26" s="70"/>
      <c r="CP26" s="70"/>
      <c r="CR26" s="173"/>
    </row>
    <row r="27" spans="1:96" x14ac:dyDescent="0.2">
      <c r="A27" s="59" t="s">
        <v>632</v>
      </c>
      <c r="B27" s="66"/>
      <c r="C27" s="66"/>
      <c r="D27" s="66"/>
      <c r="E27" s="59"/>
      <c r="F27" s="59"/>
      <c r="G27" s="59"/>
      <c r="H27" s="59"/>
      <c r="I27" s="59"/>
      <c r="J27" s="59"/>
      <c r="K27" s="59"/>
      <c r="L27" s="68">
        <f>IF(N27="","XXX",VLOOKUP(M27*10+N27,'06停留所'!$B$2:$B$9999,1,FALSE))</f>
        <v>1782</v>
      </c>
      <c r="M27" s="63">
        <f>INT(VLOOKUPLEFT(A27,'06停留所'!$B$2:$C$9999,'06停留所'!$C$2:$C$9999,1)/10)</f>
        <v>178</v>
      </c>
      <c r="N27" s="209">
        <v>2</v>
      </c>
      <c r="O27" s="69" t="s">
        <v>1931</v>
      </c>
      <c r="P27" s="70" t="s">
        <v>1965</v>
      </c>
      <c r="Q27" s="70" t="s">
        <v>1887</v>
      </c>
      <c r="R27" s="70"/>
      <c r="S27" s="70"/>
      <c r="T27" s="70"/>
      <c r="U27" s="70"/>
      <c r="V27" s="70"/>
      <c r="W27" s="70"/>
      <c r="X27" s="70"/>
      <c r="Y27" s="70"/>
      <c r="Z27" s="70"/>
      <c r="AA27" s="70"/>
      <c r="AB27" s="70"/>
      <c r="AC27" s="70"/>
      <c r="AD27" s="70"/>
      <c r="AE27" s="70"/>
      <c r="AF27" s="70"/>
      <c r="AG27" s="70"/>
      <c r="AH27" s="70"/>
      <c r="AI27" s="70"/>
      <c r="AJ27" s="70"/>
      <c r="AK27" s="70"/>
      <c r="AL27" s="70"/>
      <c r="AM27" s="70"/>
      <c r="AN27" s="70"/>
      <c r="AO27" s="70"/>
      <c r="AP27" s="70"/>
      <c r="AQ27" s="70"/>
      <c r="AR27" s="70"/>
      <c r="AS27" s="70"/>
      <c r="AT27" s="70"/>
      <c r="AU27" s="70"/>
      <c r="AV27" s="70"/>
      <c r="AW27" s="70"/>
      <c r="AX27" s="70"/>
      <c r="AY27" s="70"/>
      <c r="AZ27" s="70"/>
      <c r="BA27" s="70"/>
      <c r="BB27" s="70"/>
      <c r="BC27" s="70"/>
      <c r="BD27" s="70"/>
      <c r="BE27" s="70"/>
      <c r="BF27" s="70"/>
      <c r="BG27" s="70"/>
      <c r="BH27" s="70"/>
      <c r="BI27" s="70"/>
      <c r="BJ27" s="70"/>
      <c r="BK27" s="70"/>
      <c r="BL27" s="70"/>
      <c r="BM27" s="70"/>
      <c r="BN27" s="70"/>
      <c r="BO27" s="70"/>
      <c r="BP27" s="70"/>
      <c r="BQ27" s="70"/>
      <c r="BR27" s="70"/>
      <c r="BS27" s="70"/>
      <c r="BT27" s="70"/>
      <c r="BU27" s="70"/>
      <c r="BV27" s="70"/>
      <c r="BW27" s="70"/>
      <c r="BX27" s="70"/>
      <c r="BY27" s="70"/>
      <c r="BZ27" s="70"/>
      <c r="CA27" s="70"/>
      <c r="CB27" s="70"/>
      <c r="CC27" s="70"/>
      <c r="CD27" s="70"/>
      <c r="CE27" s="70"/>
      <c r="CF27" s="70"/>
      <c r="CG27" s="70"/>
      <c r="CH27" s="70"/>
      <c r="CI27" s="70"/>
      <c r="CJ27" s="70"/>
      <c r="CK27" s="70"/>
      <c r="CL27" s="70"/>
      <c r="CM27" s="70"/>
      <c r="CN27" s="70"/>
      <c r="CO27" s="70"/>
      <c r="CP27" s="70"/>
      <c r="CR27" s="173"/>
    </row>
    <row r="28" spans="1:96" x14ac:dyDescent="0.2">
      <c r="A28" s="59" t="s">
        <v>1774</v>
      </c>
      <c r="B28" s="66"/>
      <c r="C28" s="66"/>
      <c r="D28" s="66"/>
      <c r="E28" s="59"/>
      <c r="F28" s="59"/>
      <c r="G28" s="59"/>
      <c r="H28" s="59"/>
      <c r="I28" s="59"/>
      <c r="J28" s="59"/>
      <c r="K28" s="59"/>
      <c r="L28" s="68">
        <f>IF(N28="","XXX",VLOOKUP(M28*10+N28,'06停留所'!$B$2:$B$9999,1,FALSE))</f>
        <v>1752</v>
      </c>
      <c r="M28" s="63">
        <f>INT(VLOOKUPLEFT(A28,'06停留所'!$B$2:$C$9999,'06停留所'!$C$2:$C$9999,1)/10)</f>
        <v>175</v>
      </c>
      <c r="N28" s="209">
        <v>2</v>
      </c>
      <c r="O28" s="69" t="s">
        <v>1932</v>
      </c>
      <c r="P28" s="70" t="s">
        <v>1966</v>
      </c>
      <c r="Q28" s="70" t="s">
        <v>2007</v>
      </c>
      <c r="R28" s="70"/>
      <c r="S28" s="70"/>
      <c r="T28" s="70"/>
      <c r="U28" s="70"/>
      <c r="V28" s="70"/>
      <c r="W28" s="70"/>
      <c r="X28" s="70"/>
      <c r="Y28" s="70"/>
      <c r="Z28" s="70"/>
      <c r="AA28" s="70"/>
      <c r="AB28" s="70"/>
      <c r="AC28" s="70"/>
      <c r="AD28" s="70"/>
      <c r="AE28" s="70"/>
      <c r="AF28" s="70"/>
      <c r="AG28" s="70"/>
      <c r="AH28" s="70"/>
      <c r="AI28" s="70"/>
      <c r="AJ28" s="70"/>
      <c r="AK28" s="70"/>
      <c r="AL28" s="70"/>
      <c r="AM28" s="70"/>
      <c r="AN28" s="70"/>
      <c r="AO28" s="70"/>
      <c r="AP28" s="70"/>
      <c r="AQ28" s="70"/>
      <c r="AR28" s="70"/>
      <c r="AS28" s="70"/>
      <c r="AT28" s="70"/>
      <c r="AU28" s="70"/>
      <c r="AV28" s="70"/>
      <c r="AW28" s="70"/>
      <c r="AX28" s="70"/>
      <c r="AY28" s="70"/>
      <c r="AZ28" s="70"/>
      <c r="BA28" s="70"/>
      <c r="BB28" s="70"/>
      <c r="BC28" s="70"/>
      <c r="BD28" s="70"/>
      <c r="BE28" s="70"/>
      <c r="BF28" s="70"/>
      <c r="BG28" s="70"/>
      <c r="BH28" s="70"/>
      <c r="BI28" s="70"/>
      <c r="BJ28" s="70"/>
      <c r="BK28" s="70"/>
      <c r="BL28" s="70"/>
      <c r="BM28" s="70"/>
      <c r="BN28" s="70"/>
      <c r="BO28" s="70"/>
      <c r="BP28" s="70"/>
      <c r="BQ28" s="70"/>
      <c r="BR28" s="70"/>
      <c r="BS28" s="70"/>
      <c r="BT28" s="70"/>
      <c r="BU28" s="70"/>
      <c r="BV28" s="70"/>
      <c r="BW28" s="70"/>
      <c r="BX28" s="70"/>
      <c r="BY28" s="70"/>
      <c r="BZ28" s="70"/>
      <c r="CA28" s="70"/>
      <c r="CB28" s="70"/>
      <c r="CC28" s="70"/>
      <c r="CD28" s="70"/>
      <c r="CE28" s="70"/>
      <c r="CF28" s="70"/>
      <c r="CG28" s="70"/>
      <c r="CH28" s="70"/>
      <c r="CI28" s="70"/>
      <c r="CJ28" s="70"/>
      <c r="CK28" s="70"/>
      <c r="CL28" s="70"/>
      <c r="CM28" s="70"/>
      <c r="CN28" s="70"/>
      <c r="CO28" s="70"/>
      <c r="CP28" s="70"/>
      <c r="CR28" s="173"/>
    </row>
    <row r="29" spans="1:96" x14ac:dyDescent="0.2">
      <c r="A29" s="59" t="s">
        <v>1775</v>
      </c>
      <c r="B29" s="66"/>
      <c r="C29" s="66"/>
      <c r="D29" s="66"/>
      <c r="E29" s="59"/>
      <c r="F29" s="59"/>
      <c r="G29" s="59"/>
      <c r="H29" s="59"/>
      <c r="I29" s="59"/>
      <c r="J29" s="59"/>
      <c r="K29" s="59"/>
      <c r="L29" s="68">
        <f>IF(N29="","XXX",VLOOKUP(M29*10+N29,'06停留所'!$B$2:$B$9999,1,FALSE))</f>
        <v>1762</v>
      </c>
      <c r="M29" s="63">
        <f>INT(VLOOKUPLEFT(A29,'06停留所'!$B$2:$C$9999,'06停留所'!$C$2:$C$9999,1)/10)</f>
        <v>176</v>
      </c>
      <c r="N29" s="209">
        <v>2</v>
      </c>
      <c r="O29" s="69" t="s">
        <v>1788</v>
      </c>
      <c r="P29" s="70" t="s">
        <v>1967</v>
      </c>
      <c r="Q29" s="70" t="s">
        <v>1888</v>
      </c>
      <c r="R29" s="70"/>
      <c r="S29" s="70"/>
      <c r="T29" s="70"/>
      <c r="U29" s="70"/>
      <c r="V29" s="70"/>
      <c r="W29" s="70"/>
      <c r="X29" s="70"/>
      <c r="Y29" s="70"/>
      <c r="Z29" s="70"/>
      <c r="AA29" s="70"/>
      <c r="AB29" s="70"/>
      <c r="AC29" s="70"/>
      <c r="AD29" s="70"/>
      <c r="AE29" s="70"/>
      <c r="AF29" s="70"/>
      <c r="AG29" s="70"/>
      <c r="AH29" s="70"/>
      <c r="AI29" s="70"/>
      <c r="AJ29" s="70"/>
      <c r="AK29" s="70"/>
      <c r="AL29" s="70"/>
      <c r="AM29" s="70"/>
      <c r="AN29" s="70"/>
      <c r="AO29" s="70"/>
      <c r="AP29" s="70"/>
      <c r="AQ29" s="70"/>
      <c r="AR29" s="70"/>
      <c r="AS29" s="70"/>
      <c r="AT29" s="70"/>
      <c r="AU29" s="70"/>
      <c r="AV29" s="70"/>
      <c r="AW29" s="70"/>
      <c r="AX29" s="70"/>
      <c r="AY29" s="70"/>
      <c r="AZ29" s="70"/>
      <c r="BA29" s="70"/>
      <c r="BB29" s="70"/>
      <c r="BC29" s="70"/>
      <c r="BD29" s="70"/>
      <c r="BE29" s="70"/>
      <c r="BF29" s="70"/>
      <c r="BG29" s="70"/>
      <c r="BH29" s="70"/>
      <c r="BI29" s="70"/>
      <c r="BJ29" s="70"/>
      <c r="BK29" s="70"/>
      <c r="BL29" s="70"/>
      <c r="BM29" s="70"/>
      <c r="BN29" s="70"/>
      <c r="BO29" s="70"/>
      <c r="BP29" s="70"/>
      <c r="BQ29" s="70"/>
      <c r="BR29" s="70"/>
      <c r="BS29" s="70"/>
      <c r="BT29" s="70"/>
      <c r="BU29" s="70"/>
      <c r="BV29" s="70"/>
      <c r="BW29" s="70"/>
      <c r="BX29" s="70"/>
      <c r="BY29" s="70"/>
      <c r="BZ29" s="70"/>
      <c r="CA29" s="70"/>
      <c r="CB29" s="70"/>
      <c r="CC29" s="70"/>
      <c r="CD29" s="70"/>
      <c r="CE29" s="70"/>
      <c r="CF29" s="70"/>
      <c r="CG29" s="70"/>
      <c r="CH29" s="70"/>
      <c r="CI29" s="70"/>
      <c r="CJ29" s="70"/>
      <c r="CK29" s="70"/>
      <c r="CL29" s="70"/>
      <c r="CM29" s="70"/>
      <c r="CN29" s="70"/>
      <c r="CO29" s="70"/>
      <c r="CP29" s="70"/>
      <c r="CR29" s="173"/>
    </row>
    <row r="30" spans="1:96" x14ac:dyDescent="0.2">
      <c r="A30" s="59" t="s">
        <v>620</v>
      </c>
      <c r="B30" s="66"/>
      <c r="C30" s="66"/>
      <c r="D30" s="66"/>
      <c r="E30" s="59"/>
      <c r="F30" s="59"/>
      <c r="G30" s="59"/>
      <c r="H30" s="59"/>
      <c r="I30" s="59"/>
      <c r="J30" s="59"/>
      <c r="K30" s="59"/>
      <c r="L30" s="68">
        <f>IF(N30="","XXX",VLOOKUP(M30*10+N30,'06停留所'!$B$2:$B$9999,1,FALSE))</f>
        <v>1742</v>
      </c>
      <c r="M30" s="63">
        <f>INT(VLOOKUPLEFT(A30,'06停留所'!$B$2:$C$9999,'06停留所'!$C$2:$C$9999,1)/10)</f>
        <v>174</v>
      </c>
      <c r="N30" s="209">
        <v>2</v>
      </c>
      <c r="O30" s="69" t="s">
        <v>1933</v>
      </c>
      <c r="P30" s="70" t="s">
        <v>1968</v>
      </c>
      <c r="Q30" s="70" t="s">
        <v>1890</v>
      </c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0"/>
      <c r="AC30" s="70"/>
      <c r="AD30" s="70"/>
      <c r="AE30" s="70"/>
      <c r="AF30" s="70"/>
      <c r="AG30" s="70"/>
      <c r="AH30" s="70"/>
      <c r="AI30" s="70"/>
      <c r="AJ30" s="70"/>
      <c r="AK30" s="70"/>
      <c r="AL30" s="70"/>
      <c r="AM30" s="70"/>
      <c r="AN30" s="70"/>
      <c r="AO30" s="70"/>
      <c r="AP30" s="70"/>
      <c r="AQ30" s="70"/>
      <c r="AR30" s="70"/>
      <c r="AS30" s="70"/>
      <c r="AT30" s="70"/>
      <c r="AU30" s="70"/>
      <c r="AV30" s="70"/>
      <c r="AW30" s="70"/>
      <c r="AX30" s="70"/>
      <c r="AY30" s="70"/>
      <c r="AZ30" s="70"/>
      <c r="BA30" s="70"/>
      <c r="BB30" s="70"/>
      <c r="BC30" s="70"/>
      <c r="BD30" s="70"/>
      <c r="BE30" s="70"/>
      <c r="BF30" s="70"/>
      <c r="BG30" s="70"/>
      <c r="BH30" s="70"/>
      <c r="BI30" s="70"/>
      <c r="BJ30" s="70"/>
      <c r="BK30" s="70"/>
      <c r="BL30" s="70"/>
      <c r="BM30" s="70"/>
      <c r="BN30" s="70"/>
      <c r="BO30" s="70"/>
      <c r="BP30" s="70"/>
      <c r="BQ30" s="70"/>
      <c r="BR30" s="70"/>
      <c r="BS30" s="70"/>
      <c r="BT30" s="70"/>
      <c r="BU30" s="70"/>
      <c r="BV30" s="70"/>
      <c r="BW30" s="70"/>
      <c r="BX30" s="70"/>
      <c r="BY30" s="70"/>
      <c r="BZ30" s="70"/>
      <c r="CA30" s="70"/>
      <c r="CB30" s="70"/>
      <c r="CC30" s="70"/>
      <c r="CD30" s="70"/>
      <c r="CE30" s="70"/>
      <c r="CF30" s="70"/>
      <c r="CG30" s="70"/>
      <c r="CH30" s="70"/>
      <c r="CI30" s="70"/>
      <c r="CJ30" s="70"/>
      <c r="CK30" s="70"/>
      <c r="CL30" s="70"/>
      <c r="CM30" s="70"/>
      <c r="CN30" s="70"/>
      <c r="CO30" s="70"/>
      <c r="CP30" s="70"/>
      <c r="CR30" s="173"/>
    </row>
    <row r="31" spans="1:96" x14ac:dyDescent="0.2">
      <c r="A31" s="59" t="s">
        <v>1776</v>
      </c>
      <c r="B31" s="66"/>
      <c r="C31" s="66"/>
      <c r="D31" s="66"/>
      <c r="E31" s="59"/>
      <c r="F31" s="59"/>
      <c r="G31" s="59"/>
      <c r="H31" s="59"/>
      <c r="I31" s="59"/>
      <c r="J31" s="59"/>
      <c r="K31" s="59"/>
      <c r="L31" s="68">
        <f>IF(N31="","XXX",VLOOKUP(M31*10+N31,'06停留所'!$B$2:$B$9999,1,FALSE))</f>
        <v>1712</v>
      </c>
      <c r="M31" s="63">
        <f>INT(VLOOKUPLEFT(A31,'06停留所'!$B$2:$C$9999,'06停留所'!$C$2:$C$9999,1)/10)</f>
        <v>171</v>
      </c>
      <c r="N31" s="209">
        <v>2</v>
      </c>
      <c r="O31" s="69" t="s">
        <v>1934</v>
      </c>
      <c r="P31" s="70" t="s">
        <v>1969</v>
      </c>
      <c r="Q31" s="70" t="s">
        <v>2008</v>
      </c>
      <c r="R31" s="70"/>
      <c r="S31" s="70"/>
      <c r="T31" s="70"/>
      <c r="U31" s="70"/>
      <c r="V31" s="70"/>
      <c r="W31" s="70"/>
      <c r="X31" s="70"/>
      <c r="Y31" s="70"/>
      <c r="Z31" s="70"/>
      <c r="AA31" s="70"/>
      <c r="AB31" s="70"/>
      <c r="AC31" s="70"/>
      <c r="AD31" s="70"/>
      <c r="AE31" s="70"/>
      <c r="AF31" s="70"/>
      <c r="AG31" s="70"/>
      <c r="AH31" s="70"/>
      <c r="AI31" s="70"/>
      <c r="AJ31" s="70"/>
      <c r="AK31" s="70"/>
      <c r="AL31" s="70"/>
      <c r="AM31" s="70"/>
      <c r="AN31" s="70"/>
      <c r="AO31" s="70"/>
      <c r="AP31" s="70"/>
      <c r="AQ31" s="70"/>
      <c r="AR31" s="70"/>
      <c r="AS31" s="70"/>
      <c r="AT31" s="70"/>
      <c r="AU31" s="70"/>
      <c r="AV31" s="70"/>
      <c r="AW31" s="70"/>
      <c r="AX31" s="70"/>
      <c r="AY31" s="70"/>
      <c r="AZ31" s="70"/>
      <c r="BA31" s="70"/>
      <c r="BB31" s="70"/>
      <c r="BC31" s="70"/>
      <c r="BD31" s="70"/>
      <c r="BE31" s="70"/>
      <c r="BF31" s="70"/>
      <c r="BG31" s="70"/>
      <c r="BH31" s="70"/>
      <c r="BI31" s="70"/>
      <c r="BJ31" s="70"/>
      <c r="BK31" s="70"/>
      <c r="BL31" s="70"/>
      <c r="BM31" s="70"/>
      <c r="BN31" s="70"/>
      <c r="BO31" s="70"/>
      <c r="BP31" s="70"/>
      <c r="BQ31" s="70"/>
      <c r="BR31" s="70"/>
      <c r="BS31" s="70"/>
      <c r="BT31" s="70"/>
      <c r="BU31" s="70"/>
      <c r="BV31" s="70"/>
      <c r="BW31" s="70"/>
      <c r="BX31" s="70"/>
      <c r="BY31" s="70"/>
      <c r="BZ31" s="70"/>
      <c r="CA31" s="70"/>
      <c r="CB31" s="70"/>
      <c r="CC31" s="70"/>
      <c r="CD31" s="70"/>
      <c r="CE31" s="70"/>
      <c r="CF31" s="70"/>
      <c r="CG31" s="70"/>
      <c r="CH31" s="70"/>
      <c r="CI31" s="70"/>
      <c r="CJ31" s="70"/>
      <c r="CK31" s="70"/>
      <c r="CL31" s="70"/>
      <c r="CM31" s="70"/>
      <c r="CN31" s="70"/>
      <c r="CO31" s="70"/>
      <c r="CP31" s="70"/>
      <c r="CR31" s="173"/>
    </row>
    <row r="32" spans="1:96" x14ac:dyDescent="0.2">
      <c r="A32" s="59" t="s">
        <v>599</v>
      </c>
      <c r="B32" s="66"/>
      <c r="C32" s="66"/>
      <c r="D32" s="66"/>
      <c r="E32" s="59"/>
      <c r="F32" s="59"/>
      <c r="G32" s="59"/>
      <c r="H32" s="59"/>
      <c r="I32" s="59"/>
      <c r="J32" s="59"/>
      <c r="K32" s="59"/>
      <c r="L32" s="68">
        <f>IF(N32="","XXX",VLOOKUP(M32*10+N32,'06停留所'!$B$2:$B$9999,1,FALSE))</f>
        <v>1672</v>
      </c>
      <c r="M32" s="63">
        <f>INT(VLOOKUPLEFT(A32,'06停留所'!$B$2:$C$9999,'06停留所'!$C$2:$C$9999,1)/10)</f>
        <v>167</v>
      </c>
      <c r="N32" s="209">
        <v>2</v>
      </c>
      <c r="O32" s="69" t="s">
        <v>1935</v>
      </c>
      <c r="P32" s="70" t="s">
        <v>1970</v>
      </c>
      <c r="Q32" s="70" t="s">
        <v>1893</v>
      </c>
      <c r="R32" s="70"/>
      <c r="S32" s="70"/>
      <c r="T32" s="70"/>
      <c r="U32" s="70"/>
      <c r="V32" s="70"/>
      <c r="W32" s="70"/>
      <c r="X32" s="70"/>
      <c r="Y32" s="70"/>
      <c r="Z32" s="70"/>
      <c r="AA32" s="70"/>
      <c r="AB32" s="70"/>
      <c r="AC32" s="70"/>
      <c r="AD32" s="70"/>
      <c r="AE32" s="70"/>
      <c r="AF32" s="70"/>
      <c r="AG32" s="70"/>
      <c r="AH32" s="70"/>
      <c r="AI32" s="70"/>
      <c r="AJ32" s="70"/>
      <c r="AK32" s="70"/>
      <c r="AL32" s="70"/>
      <c r="AM32" s="70"/>
      <c r="AN32" s="70"/>
      <c r="AO32" s="70"/>
      <c r="AP32" s="70"/>
      <c r="AQ32" s="70"/>
      <c r="AR32" s="70"/>
      <c r="AS32" s="70"/>
      <c r="AT32" s="70"/>
      <c r="AU32" s="70"/>
      <c r="AV32" s="70"/>
      <c r="AW32" s="70"/>
      <c r="AX32" s="70"/>
      <c r="AY32" s="70"/>
      <c r="AZ32" s="70"/>
      <c r="BA32" s="70"/>
      <c r="BB32" s="70"/>
      <c r="BC32" s="70"/>
      <c r="BD32" s="70"/>
      <c r="BE32" s="70"/>
      <c r="BF32" s="70"/>
      <c r="BG32" s="70"/>
      <c r="BH32" s="70"/>
      <c r="BI32" s="70"/>
      <c r="BJ32" s="70"/>
      <c r="BK32" s="70"/>
      <c r="BL32" s="70"/>
      <c r="BM32" s="70"/>
      <c r="BN32" s="70"/>
      <c r="BO32" s="70"/>
      <c r="BP32" s="70"/>
      <c r="BQ32" s="70"/>
      <c r="BR32" s="70"/>
      <c r="BS32" s="70"/>
      <c r="BT32" s="70"/>
      <c r="BU32" s="70"/>
      <c r="BV32" s="70"/>
      <c r="BW32" s="70"/>
      <c r="BX32" s="70"/>
      <c r="BY32" s="70"/>
      <c r="BZ32" s="70"/>
      <c r="CA32" s="70"/>
      <c r="CB32" s="70"/>
      <c r="CC32" s="70"/>
      <c r="CD32" s="70"/>
      <c r="CE32" s="70"/>
      <c r="CF32" s="70"/>
      <c r="CG32" s="70"/>
      <c r="CH32" s="70"/>
      <c r="CI32" s="70"/>
      <c r="CJ32" s="70"/>
      <c r="CK32" s="70"/>
      <c r="CL32" s="70"/>
      <c r="CM32" s="70"/>
      <c r="CN32" s="70"/>
      <c r="CO32" s="70"/>
      <c r="CP32" s="70"/>
      <c r="CR32" s="173"/>
    </row>
    <row r="33" spans="1:96" x14ac:dyDescent="0.2">
      <c r="A33" s="59" t="s">
        <v>1777</v>
      </c>
      <c r="B33" s="66"/>
      <c r="C33" s="66"/>
      <c r="D33" s="66"/>
      <c r="E33" s="59"/>
      <c r="F33" s="59"/>
      <c r="G33" s="59"/>
      <c r="H33" s="59"/>
      <c r="I33" s="59"/>
      <c r="J33" s="59"/>
      <c r="K33" s="59"/>
      <c r="L33" s="68">
        <f>IF(N33="","XXX",VLOOKUP(M33*10+N33,'06停留所'!$B$2:$B$9999,1,FALSE))</f>
        <v>2292</v>
      </c>
      <c r="M33" s="63">
        <f>INT(VLOOKUPLEFT(A33,'06停留所'!$B$2:$C$9999,'06停留所'!$C$2:$C$9999,1)/10)</f>
        <v>229</v>
      </c>
      <c r="N33" s="209">
        <v>2</v>
      </c>
      <c r="O33" s="69" t="s">
        <v>1823</v>
      </c>
      <c r="P33" s="70" t="s">
        <v>1971</v>
      </c>
      <c r="Q33" s="70" t="s">
        <v>2009</v>
      </c>
      <c r="R33" s="70"/>
      <c r="S33" s="70"/>
      <c r="T33" s="70"/>
      <c r="U33" s="70"/>
      <c r="V33" s="70"/>
      <c r="W33" s="70"/>
      <c r="X33" s="70"/>
      <c r="Y33" s="70"/>
      <c r="Z33" s="70"/>
      <c r="AA33" s="70"/>
      <c r="AB33" s="70"/>
      <c r="AC33" s="70"/>
      <c r="AD33" s="70"/>
      <c r="AE33" s="70"/>
      <c r="AF33" s="70"/>
      <c r="AG33" s="70"/>
      <c r="AH33" s="70"/>
      <c r="AI33" s="70"/>
      <c r="AJ33" s="70"/>
      <c r="AK33" s="70"/>
      <c r="AL33" s="70"/>
      <c r="AM33" s="70"/>
      <c r="AN33" s="70"/>
      <c r="AO33" s="70"/>
      <c r="AP33" s="70"/>
      <c r="AQ33" s="70"/>
      <c r="AR33" s="70"/>
      <c r="AS33" s="70"/>
      <c r="AT33" s="70"/>
      <c r="AU33" s="70"/>
      <c r="AV33" s="70"/>
      <c r="AW33" s="70"/>
      <c r="AX33" s="70"/>
      <c r="AY33" s="70"/>
      <c r="AZ33" s="70"/>
      <c r="BA33" s="70"/>
      <c r="BB33" s="70"/>
      <c r="BC33" s="70"/>
      <c r="BD33" s="70"/>
      <c r="BE33" s="70"/>
      <c r="BF33" s="70"/>
      <c r="BG33" s="70"/>
      <c r="BH33" s="70"/>
      <c r="BI33" s="70"/>
      <c r="BJ33" s="70"/>
      <c r="BK33" s="70"/>
      <c r="BL33" s="70"/>
      <c r="BM33" s="70"/>
      <c r="BN33" s="70"/>
      <c r="BO33" s="70"/>
      <c r="BP33" s="70"/>
      <c r="BQ33" s="70"/>
      <c r="BR33" s="70"/>
      <c r="BS33" s="70"/>
      <c r="BT33" s="70"/>
      <c r="BU33" s="70"/>
      <c r="BV33" s="70"/>
      <c r="BW33" s="70"/>
      <c r="BX33" s="70"/>
      <c r="BY33" s="70"/>
      <c r="BZ33" s="70"/>
      <c r="CA33" s="70"/>
      <c r="CB33" s="70"/>
      <c r="CC33" s="70"/>
      <c r="CD33" s="70"/>
      <c r="CE33" s="70"/>
      <c r="CF33" s="70"/>
      <c r="CG33" s="70"/>
      <c r="CH33" s="70"/>
      <c r="CI33" s="70"/>
      <c r="CJ33" s="70"/>
      <c r="CK33" s="70"/>
      <c r="CL33" s="70"/>
      <c r="CM33" s="70"/>
      <c r="CN33" s="70"/>
      <c r="CO33" s="70"/>
      <c r="CP33" s="70"/>
      <c r="CR33" s="173"/>
    </row>
    <row r="34" spans="1:96" x14ac:dyDescent="0.2">
      <c r="A34" s="59" t="s">
        <v>1778</v>
      </c>
      <c r="B34" s="66"/>
      <c r="C34" s="66"/>
      <c r="D34" s="66"/>
      <c r="E34" s="59"/>
      <c r="F34" s="59"/>
      <c r="G34" s="59"/>
      <c r="H34" s="59"/>
      <c r="I34" s="59"/>
      <c r="J34" s="59"/>
      <c r="K34" s="59"/>
      <c r="L34" s="68">
        <f>IF(N34="","XXX",VLOOKUP(M34*10+N34,'06停留所'!$B$2:$B$9999,1,FALSE))</f>
        <v>2282</v>
      </c>
      <c r="M34" s="63">
        <f>INT(VLOOKUPLEFT(A34,'06停留所'!$B$2:$C$9999,'06停留所'!$C$2:$C$9999,1)/10)</f>
        <v>228</v>
      </c>
      <c r="N34" s="209">
        <v>2</v>
      </c>
      <c r="O34" s="69" t="s">
        <v>1936</v>
      </c>
      <c r="P34" s="70" t="s">
        <v>1972</v>
      </c>
      <c r="Q34" s="70" t="s">
        <v>2010</v>
      </c>
      <c r="R34" s="70"/>
      <c r="S34" s="70"/>
      <c r="T34" s="70"/>
      <c r="U34" s="70"/>
      <c r="V34" s="70"/>
      <c r="W34" s="70"/>
      <c r="X34" s="70"/>
      <c r="Y34" s="70"/>
      <c r="Z34" s="70"/>
      <c r="AA34" s="70"/>
      <c r="AB34" s="70"/>
      <c r="AC34" s="70"/>
      <c r="AD34" s="70"/>
      <c r="AE34" s="70"/>
      <c r="AF34" s="70"/>
      <c r="AG34" s="70"/>
      <c r="AH34" s="70"/>
      <c r="AI34" s="70"/>
      <c r="AJ34" s="70"/>
      <c r="AK34" s="70"/>
      <c r="AL34" s="70"/>
      <c r="AM34" s="70"/>
      <c r="AN34" s="70"/>
      <c r="AO34" s="70"/>
      <c r="AP34" s="70"/>
      <c r="AQ34" s="70"/>
      <c r="AR34" s="70"/>
      <c r="AS34" s="70"/>
      <c r="AT34" s="70"/>
      <c r="AU34" s="70"/>
      <c r="AV34" s="70"/>
      <c r="AW34" s="70"/>
      <c r="AX34" s="70"/>
      <c r="AY34" s="70"/>
      <c r="AZ34" s="70"/>
      <c r="BA34" s="70"/>
      <c r="BB34" s="70"/>
      <c r="BC34" s="70"/>
      <c r="BD34" s="70"/>
      <c r="BE34" s="70"/>
      <c r="BF34" s="70"/>
      <c r="BG34" s="70"/>
      <c r="BH34" s="70"/>
      <c r="BI34" s="70"/>
      <c r="BJ34" s="70"/>
      <c r="BK34" s="70"/>
      <c r="BL34" s="70"/>
      <c r="BM34" s="70"/>
      <c r="BN34" s="70"/>
      <c r="BO34" s="70"/>
      <c r="BP34" s="70"/>
      <c r="BQ34" s="70"/>
      <c r="BR34" s="70"/>
      <c r="BS34" s="70"/>
      <c r="BT34" s="70"/>
      <c r="BU34" s="70"/>
      <c r="BV34" s="70"/>
      <c r="BW34" s="70"/>
      <c r="BX34" s="70"/>
      <c r="BY34" s="70"/>
      <c r="BZ34" s="70"/>
      <c r="CA34" s="70"/>
      <c r="CB34" s="70"/>
      <c r="CC34" s="70"/>
      <c r="CD34" s="70"/>
      <c r="CE34" s="70"/>
      <c r="CF34" s="70"/>
      <c r="CG34" s="70"/>
      <c r="CH34" s="70"/>
      <c r="CI34" s="70"/>
      <c r="CJ34" s="70"/>
      <c r="CK34" s="70"/>
      <c r="CL34" s="70"/>
      <c r="CM34" s="70"/>
      <c r="CN34" s="70"/>
      <c r="CO34" s="70"/>
      <c r="CP34" s="70"/>
      <c r="CR34" s="173"/>
    </row>
    <row r="35" spans="1:96" x14ac:dyDescent="0.2">
      <c r="A35" s="59" t="s">
        <v>1779</v>
      </c>
      <c r="B35" s="66"/>
      <c r="C35" s="66"/>
      <c r="D35" s="66"/>
      <c r="E35" s="59"/>
      <c r="F35" s="59"/>
      <c r="G35" s="59"/>
      <c r="H35" s="59"/>
      <c r="I35" s="59"/>
      <c r="J35" s="59"/>
      <c r="K35" s="59"/>
      <c r="L35" s="68">
        <f>IF(N35="","XXX",VLOOKUP(M35*10+N35,'06停留所'!$B$2:$B$9999,1,FALSE))</f>
        <v>2272</v>
      </c>
      <c r="M35" s="63">
        <f>INT(VLOOKUPLEFT(A35,'06停留所'!$B$2:$C$9999,'06停留所'!$C$2:$C$9999,1)/10)</f>
        <v>227</v>
      </c>
      <c r="N35" s="209">
        <v>2</v>
      </c>
      <c r="O35" s="69" t="s">
        <v>1826</v>
      </c>
      <c r="P35" s="70" t="s">
        <v>1973</v>
      </c>
      <c r="Q35" s="70" t="s">
        <v>2011</v>
      </c>
      <c r="R35" s="70"/>
      <c r="S35" s="70"/>
      <c r="T35" s="70"/>
      <c r="U35" s="70"/>
      <c r="V35" s="70"/>
      <c r="W35" s="70"/>
      <c r="X35" s="70"/>
      <c r="Y35" s="70"/>
      <c r="Z35" s="70"/>
      <c r="AA35" s="70"/>
      <c r="AB35" s="70"/>
      <c r="AC35" s="70"/>
      <c r="AD35" s="70"/>
      <c r="AE35" s="70"/>
      <c r="AF35" s="70"/>
      <c r="AG35" s="70"/>
      <c r="AH35" s="70"/>
      <c r="AI35" s="70"/>
      <c r="AJ35" s="70"/>
      <c r="AK35" s="70"/>
      <c r="AL35" s="70"/>
      <c r="AM35" s="70"/>
      <c r="AN35" s="70"/>
      <c r="AO35" s="70"/>
      <c r="AP35" s="70"/>
      <c r="AQ35" s="70"/>
      <c r="AR35" s="70"/>
      <c r="AS35" s="70"/>
      <c r="AT35" s="70"/>
      <c r="AU35" s="70"/>
      <c r="AV35" s="70"/>
      <c r="AW35" s="70"/>
      <c r="AX35" s="70"/>
      <c r="AY35" s="70"/>
      <c r="AZ35" s="70"/>
      <c r="BA35" s="70"/>
      <c r="BB35" s="70"/>
      <c r="BC35" s="70"/>
      <c r="BD35" s="70"/>
      <c r="BE35" s="70"/>
      <c r="BF35" s="70"/>
      <c r="BG35" s="70"/>
      <c r="BH35" s="70"/>
      <c r="BI35" s="70"/>
      <c r="BJ35" s="70"/>
      <c r="BK35" s="70"/>
      <c r="BL35" s="70"/>
      <c r="BM35" s="70"/>
      <c r="BN35" s="70"/>
      <c r="BO35" s="70"/>
      <c r="BP35" s="70"/>
      <c r="BQ35" s="70"/>
      <c r="BR35" s="70"/>
      <c r="BS35" s="70"/>
      <c r="BT35" s="70"/>
      <c r="BU35" s="70"/>
      <c r="BV35" s="70"/>
      <c r="BW35" s="70"/>
      <c r="BX35" s="70"/>
      <c r="BY35" s="70"/>
      <c r="BZ35" s="70"/>
      <c r="CA35" s="70"/>
      <c r="CB35" s="70"/>
      <c r="CC35" s="70"/>
      <c r="CD35" s="70"/>
      <c r="CE35" s="70"/>
      <c r="CF35" s="70"/>
      <c r="CG35" s="70"/>
      <c r="CH35" s="70"/>
      <c r="CI35" s="70"/>
      <c r="CJ35" s="70"/>
      <c r="CK35" s="70"/>
      <c r="CL35" s="70"/>
      <c r="CM35" s="70"/>
      <c r="CN35" s="70"/>
      <c r="CO35" s="70"/>
      <c r="CP35" s="70"/>
      <c r="CR35" s="173"/>
    </row>
    <row r="36" spans="1:96" x14ac:dyDescent="0.2">
      <c r="A36" s="59" t="s">
        <v>1780</v>
      </c>
      <c r="B36" s="66"/>
      <c r="C36" s="66"/>
      <c r="D36" s="66"/>
      <c r="E36" s="59"/>
      <c r="F36" s="59"/>
      <c r="G36" s="59"/>
      <c r="H36" s="59"/>
      <c r="I36" s="59"/>
      <c r="J36" s="59"/>
      <c r="K36" s="59"/>
      <c r="L36" s="68">
        <f>IF(N36="","XXX",VLOOKUP(M36*10+N36,'06停留所'!$B$2:$B$9999,1,FALSE))</f>
        <v>2262</v>
      </c>
      <c r="M36" s="63">
        <f>INT(VLOOKUPLEFT(A36,'06停留所'!$B$2:$C$9999,'06停留所'!$C$2:$C$9999,1)/10)</f>
        <v>226</v>
      </c>
      <c r="N36" s="209">
        <v>2</v>
      </c>
      <c r="O36" s="69" t="s">
        <v>1937</v>
      </c>
      <c r="P36" s="70" t="s">
        <v>1974</v>
      </c>
      <c r="Q36" s="70" t="s">
        <v>2012</v>
      </c>
      <c r="R36" s="70"/>
      <c r="S36" s="70"/>
      <c r="T36" s="70"/>
      <c r="U36" s="70"/>
      <c r="V36" s="70"/>
      <c r="W36" s="70"/>
      <c r="X36" s="70"/>
      <c r="Y36" s="70"/>
      <c r="Z36" s="70"/>
      <c r="AA36" s="70"/>
      <c r="AB36" s="70"/>
      <c r="AC36" s="70"/>
      <c r="AD36" s="70"/>
      <c r="AE36" s="70"/>
      <c r="AF36" s="70"/>
      <c r="AG36" s="70"/>
      <c r="AH36" s="70"/>
      <c r="AI36" s="70"/>
      <c r="AJ36" s="70"/>
      <c r="AK36" s="70"/>
      <c r="AL36" s="70"/>
      <c r="AM36" s="70"/>
      <c r="AN36" s="70"/>
      <c r="AO36" s="70"/>
      <c r="AP36" s="70"/>
      <c r="AQ36" s="70"/>
      <c r="AR36" s="70"/>
      <c r="AS36" s="70"/>
      <c r="AT36" s="70"/>
      <c r="AU36" s="70"/>
      <c r="AV36" s="70"/>
      <c r="AW36" s="70"/>
      <c r="AX36" s="70"/>
      <c r="AY36" s="70"/>
      <c r="AZ36" s="70"/>
      <c r="BA36" s="70"/>
      <c r="BB36" s="70"/>
      <c r="BC36" s="70"/>
      <c r="BD36" s="70"/>
      <c r="BE36" s="70"/>
      <c r="BF36" s="70"/>
      <c r="BG36" s="70"/>
      <c r="BH36" s="70"/>
      <c r="BI36" s="70"/>
      <c r="BJ36" s="70"/>
      <c r="BK36" s="70"/>
      <c r="BL36" s="70"/>
      <c r="BM36" s="70"/>
      <c r="BN36" s="70"/>
      <c r="BO36" s="70"/>
      <c r="BP36" s="70"/>
      <c r="BQ36" s="70"/>
      <c r="BR36" s="70"/>
      <c r="BS36" s="70"/>
      <c r="BT36" s="70"/>
      <c r="BU36" s="70"/>
      <c r="BV36" s="70"/>
      <c r="BW36" s="70"/>
      <c r="BX36" s="70"/>
      <c r="BY36" s="70"/>
      <c r="BZ36" s="70"/>
      <c r="CA36" s="70"/>
      <c r="CB36" s="70"/>
      <c r="CC36" s="70"/>
      <c r="CD36" s="70"/>
      <c r="CE36" s="70"/>
      <c r="CF36" s="70"/>
      <c r="CG36" s="70"/>
      <c r="CH36" s="70"/>
      <c r="CI36" s="70"/>
      <c r="CJ36" s="70"/>
      <c r="CK36" s="70"/>
      <c r="CL36" s="70"/>
      <c r="CM36" s="70"/>
      <c r="CN36" s="70"/>
      <c r="CO36" s="70"/>
      <c r="CP36" s="70"/>
      <c r="CR36" s="173"/>
    </row>
    <row r="37" spans="1:96" x14ac:dyDescent="0.2">
      <c r="A37" s="59" t="s">
        <v>1781</v>
      </c>
      <c r="B37" s="66"/>
      <c r="C37" s="66"/>
      <c r="D37" s="66"/>
      <c r="E37" s="59"/>
      <c r="F37" s="59"/>
      <c r="G37" s="59"/>
      <c r="H37" s="59"/>
      <c r="I37" s="59"/>
      <c r="J37" s="59"/>
      <c r="K37" s="59"/>
      <c r="L37" s="68">
        <f>IF(N37="","XXX",VLOOKUP(M37*10+N37,'06停留所'!$B$2:$B$9999,1,FALSE))</f>
        <v>2252</v>
      </c>
      <c r="M37" s="63">
        <f>INT(VLOOKUPLEFT(A37,'06停留所'!$B$2:$C$9999,'06停留所'!$C$2:$C$9999,1)/10)</f>
        <v>225</v>
      </c>
      <c r="N37" s="209">
        <v>2</v>
      </c>
      <c r="O37" s="69" t="s">
        <v>1938</v>
      </c>
      <c r="P37" s="70" t="s">
        <v>1975</v>
      </c>
      <c r="Q37" s="70" t="s">
        <v>2013</v>
      </c>
      <c r="R37" s="70"/>
      <c r="S37" s="70"/>
      <c r="T37" s="70"/>
      <c r="U37" s="70"/>
      <c r="V37" s="70"/>
      <c r="W37" s="70"/>
      <c r="X37" s="70"/>
      <c r="Y37" s="70"/>
      <c r="Z37" s="70"/>
      <c r="AA37" s="70"/>
      <c r="AB37" s="70"/>
      <c r="AC37" s="70"/>
      <c r="AD37" s="70"/>
      <c r="AE37" s="70"/>
      <c r="AF37" s="70"/>
      <c r="AG37" s="70"/>
      <c r="AH37" s="70"/>
      <c r="AI37" s="70"/>
      <c r="AJ37" s="70"/>
      <c r="AK37" s="70"/>
      <c r="AL37" s="70"/>
      <c r="AM37" s="70"/>
      <c r="AN37" s="70"/>
      <c r="AO37" s="70"/>
      <c r="AP37" s="70"/>
      <c r="AQ37" s="70"/>
      <c r="AR37" s="70"/>
      <c r="AS37" s="70"/>
      <c r="AT37" s="70"/>
      <c r="AU37" s="70"/>
      <c r="AV37" s="70"/>
      <c r="AW37" s="70"/>
      <c r="AX37" s="70"/>
      <c r="AY37" s="70"/>
      <c r="AZ37" s="70"/>
      <c r="BA37" s="70"/>
      <c r="BB37" s="70"/>
      <c r="BC37" s="70"/>
      <c r="BD37" s="70"/>
      <c r="BE37" s="70"/>
      <c r="BF37" s="70"/>
      <c r="BG37" s="70"/>
      <c r="BH37" s="70"/>
      <c r="BI37" s="70"/>
      <c r="BJ37" s="70"/>
      <c r="BK37" s="70"/>
      <c r="BL37" s="70"/>
      <c r="BM37" s="70"/>
      <c r="BN37" s="70"/>
      <c r="BO37" s="70"/>
      <c r="BP37" s="70"/>
      <c r="BQ37" s="70"/>
      <c r="BR37" s="70"/>
      <c r="BS37" s="70"/>
      <c r="BT37" s="70"/>
      <c r="BU37" s="70"/>
      <c r="BV37" s="70"/>
      <c r="BW37" s="70"/>
      <c r="BX37" s="70"/>
      <c r="BY37" s="70"/>
      <c r="BZ37" s="70"/>
      <c r="CA37" s="70"/>
      <c r="CB37" s="70"/>
      <c r="CC37" s="70"/>
      <c r="CD37" s="70"/>
      <c r="CE37" s="70"/>
      <c r="CF37" s="70"/>
      <c r="CG37" s="70"/>
      <c r="CH37" s="70"/>
      <c r="CI37" s="70"/>
      <c r="CJ37" s="70"/>
      <c r="CK37" s="70"/>
      <c r="CL37" s="70"/>
      <c r="CM37" s="70"/>
      <c r="CN37" s="70"/>
      <c r="CO37" s="70"/>
      <c r="CP37" s="70"/>
      <c r="CR37" s="173"/>
    </row>
    <row r="38" spans="1:96" x14ac:dyDescent="0.2">
      <c r="A38" s="59" t="s">
        <v>1782</v>
      </c>
      <c r="B38" s="66"/>
      <c r="C38" s="66"/>
      <c r="D38" s="66"/>
      <c r="E38" s="59"/>
      <c r="F38" s="59"/>
      <c r="G38" s="59"/>
      <c r="H38" s="59"/>
      <c r="I38" s="59"/>
      <c r="J38" s="59"/>
      <c r="K38" s="59"/>
      <c r="L38" s="68">
        <f>IF(N38="","XXX",VLOOKUP(M38*10+N38,'06停留所'!$B$2:$B$9999,1,FALSE))</f>
        <v>2242</v>
      </c>
      <c r="M38" s="63">
        <f>INT(VLOOKUPLEFT(A38,'06停留所'!$B$2:$C$9999,'06停留所'!$C$2:$C$9999,1)/10)</f>
        <v>224</v>
      </c>
      <c r="N38" s="209">
        <v>2</v>
      </c>
      <c r="O38" s="69" t="s">
        <v>1939</v>
      </c>
      <c r="P38" s="70" t="s">
        <v>1976</v>
      </c>
      <c r="Q38" s="70" t="s">
        <v>2014</v>
      </c>
      <c r="R38" s="70"/>
      <c r="S38" s="70"/>
      <c r="T38" s="70"/>
      <c r="U38" s="70"/>
      <c r="V38" s="70"/>
      <c r="W38" s="70"/>
      <c r="X38" s="70"/>
      <c r="Y38" s="70"/>
      <c r="Z38" s="70"/>
      <c r="AA38" s="70"/>
      <c r="AB38" s="70"/>
      <c r="AC38" s="70"/>
      <c r="AD38" s="70"/>
      <c r="AE38" s="70"/>
      <c r="AF38" s="70"/>
      <c r="AG38" s="70"/>
      <c r="AH38" s="70"/>
      <c r="AI38" s="70"/>
      <c r="AJ38" s="70"/>
      <c r="AK38" s="70"/>
      <c r="AL38" s="70"/>
      <c r="AM38" s="70"/>
      <c r="AN38" s="70"/>
      <c r="AO38" s="70"/>
      <c r="AP38" s="70"/>
      <c r="AQ38" s="70"/>
      <c r="AR38" s="70"/>
      <c r="AS38" s="70"/>
      <c r="AT38" s="70"/>
      <c r="AU38" s="70"/>
      <c r="AV38" s="70"/>
      <c r="AW38" s="70"/>
      <c r="AX38" s="70"/>
      <c r="AY38" s="70"/>
      <c r="AZ38" s="70"/>
      <c r="BA38" s="70"/>
      <c r="BB38" s="70"/>
      <c r="BC38" s="70"/>
      <c r="BD38" s="70"/>
      <c r="BE38" s="70"/>
      <c r="BF38" s="70"/>
      <c r="BG38" s="70"/>
      <c r="BH38" s="70"/>
      <c r="BI38" s="70"/>
      <c r="BJ38" s="70"/>
      <c r="BK38" s="70"/>
      <c r="BL38" s="70"/>
      <c r="BM38" s="70"/>
      <c r="BN38" s="70"/>
      <c r="BO38" s="70"/>
      <c r="BP38" s="70"/>
      <c r="BQ38" s="70"/>
      <c r="BR38" s="70"/>
      <c r="BS38" s="70"/>
      <c r="BT38" s="70"/>
      <c r="BU38" s="70"/>
      <c r="BV38" s="70"/>
      <c r="BW38" s="70"/>
      <c r="BX38" s="70"/>
      <c r="BY38" s="70"/>
      <c r="BZ38" s="70"/>
      <c r="CA38" s="70"/>
      <c r="CB38" s="70"/>
      <c r="CC38" s="70"/>
      <c r="CD38" s="70"/>
      <c r="CE38" s="70"/>
      <c r="CF38" s="70"/>
      <c r="CG38" s="70"/>
      <c r="CH38" s="70"/>
      <c r="CI38" s="70"/>
      <c r="CJ38" s="70"/>
      <c r="CK38" s="70"/>
      <c r="CL38" s="70"/>
      <c r="CM38" s="70"/>
      <c r="CN38" s="70"/>
      <c r="CO38" s="70"/>
      <c r="CP38" s="70"/>
      <c r="CR38" s="173"/>
    </row>
    <row r="39" spans="1:96" x14ac:dyDescent="0.2">
      <c r="A39" s="59" t="s">
        <v>765</v>
      </c>
      <c r="B39" s="66"/>
      <c r="C39" s="66"/>
      <c r="D39" s="66"/>
      <c r="E39" s="59"/>
      <c r="F39" s="59"/>
      <c r="G39" s="59"/>
      <c r="H39" s="59"/>
      <c r="I39" s="59"/>
      <c r="J39" s="59"/>
      <c r="K39" s="59"/>
      <c r="L39" s="68">
        <f>IF(N39="","XXX",VLOOKUP(M39*10+N39,'06停留所'!$B$2:$B$9999,1,FALSE))</f>
        <v>2232</v>
      </c>
      <c r="M39" s="63">
        <f>INT(VLOOKUPLEFT(A39,'06停留所'!$B$2:$C$9999,'06停留所'!$C$2:$C$9999,1)/10)</f>
        <v>223</v>
      </c>
      <c r="N39" s="209">
        <v>2</v>
      </c>
      <c r="O39" s="69" t="s">
        <v>1940</v>
      </c>
      <c r="P39" s="70" t="s">
        <v>1977</v>
      </c>
      <c r="Q39" s="70" t="s">
        <v>2015</v>
      </c>
      <c r="R39" s="70"/>
      <c r="S39" s="70"/>
      <c r="T39" s="70"/>
      <c r="U39" s="70"/>
      <c r="V39" s="70"/>
      <c r="W39" s="70"/>
      <c r="X39" s="70"/>
      <c r="Y39" s="70"/>
      <c r="Z39" s="70"/>
      <c r="AA39" s="70"/>
      <c r="AB39" s="70"/>
      <c r="AC39" s="70"/>
      <c r="AD39" s="70"/>
      <c r="AE39" s="70"/>
      <c r="AF39" s="70"/>
      <c r="AG39" s="70"/>
      <c r="AH39" s="70"/>
      <c r="AI39" s="70"/>
      <c r="AJ39" s="70"/>
      <c r="AK39" s="70"/>
      <c r="AL39" s="70"/>
      <c r="AM39" s="70"/>
      <c r="AN39" s="70"/>
      <c r="AO39" s="70"/>
      <c r="AP39" s="70"/>
      <c r="AQ39" s="70"/>
      <c r="AR39" s="70"/>
      <c r="AS39" s="70"/>
      <c r="AT39" s="70"/>
      <c r="AU39" s="70"/>
      <c r="AV39" s="70"/>
      <c r="AW39" s="70"/>
      <c r="AX39" s="70"/>
      <c r="AY39" s="70"/>
      <c r="AZ39" s="70"/>
      <c r="BA39" s="70"/>
      <c r="BB39" s="70"/>
      <c r="BC39" s="70"/>
      <c r="BD39" s="70"/>
      <c r="BE39" s="70"/>
      <c r="BF39" s="70"/>
      <c r="BG39" s="70"/>
      <c r="BH39" s="70"/>
      <c r="BI39" s="70"/>
      <c r="BJ39" s="70"/>
      <c r="BK39" s="70"/>
      <c r="BL39" s="70"/>
      <c r="BM39" s="70"/>
      <c r="BN39" s="70"/>
      <c r="BO39" s="70"/>
      <c r="BP39" s="70"/>
      <c r="BQ39" s="70"/>
      <c r="BR39" s="70"/>
      <c r="BS39" s="70"/>
      <c r="BT39" s="70"/>
      <c r="BU39" s="70"/>
      <c r="BV39" s="70"/>
      <c r="BW39" s="70"/>
      <c r="BX39" s="70"/>
      <c r="BY39" s="70"/>
      <c r="BZ39" s="70"/>
      <c r="CA39" s="70"/>
      <c r="CB39" s="70"/>
      <c r="CC39" s="70"/>
      <c r="CD39" s="70"/>
      <c r="CE39" s="70"/>
      <c r="CF39" s="70"/>
      <c r="CG39" s="70"/>
      <c r="CH39" s="70"/>
      <c r="CI39" s="70"/>
      <c r="CJ39" s="70"/>
      <c r="CK39" s="70"/>
      <c r="CL39" s="70"/>
      <c r="CM39" s="70"/>
      <c r="CN39" s="70"/>
      <c r="CO39" s="70"/>
      <c r="CP39" s="70"/>
      <c r="CR39" s="173"/>
    </row>
    <row r="40" spans="1:96" x14ac:dyDescent="0.2">
      <c r="A40" s="59" t="s">
        <v>1783</v>
      </c>
      <c r="B40" s="66"/>
      <c r="C40" s="66"/>
      <c r="D40" s="66"/>
      <c r="E40" s="59"/>
      <c r="F40" s="59"/>
      <c r="G40" s="59"/>
      <c r="H40" s="59"/>
      <c r="I40" s="59"/>
      <c r="J40" s="59"/>
      <c r="K40" s="59"/>
      <c r="L40" s="68">
        <f>IF(N40="","XXX",VLOOKUP(M40*10+N40,'06停留所'!$B$2:$B$9999,1,FALSE))</f>
        <v>2222</v>
      </c>
      <c r="M40" s="63">
        <f>INT(VLOOKUPLEFT(A40,'06停留所'!$B$2:$C$9999,'06停留所'!$C$2:$C$9999,1)/10)</f>
        <v>222</v>
      </c>
      <c r="N40" s="209">
        <v>2</v>
      </c>
      <c r="O40" s="69" t="s">
        <v>1941</v>
      </c>
      <c r="P40" s="70" t="s">
        <v>1978</v>
      </c>
      <c r="Q40" s="70" t="s">
        <v>2016</v>
      </c>
      <c r="R40" s="70"/>
      <c r="S40" s="70"/>
      <c r="T40" s="70"/>
      <c r="U40" s="70"/>
      <c r="V40" s="70"/>
      <c r="W40" s="70"/>
      <c r="X40" s="70"/>
      <c r="Y40" s="70"/>
      <c r="Z40" s="70"/>
      <c r="AA40" s="70"/>
      <c r="AB40" s="70"/>
      <c r="AC40" s="70"/>
      <c r="AD40" s="70"/>
      <c r="AE40" s="70"/>
      <c r="AF40" s="70"/>
      <c r="AG40" s="70"/>
      <c r="AH40" s="70"/>
      <c r="AI40" s="70"/>
      <c r="AJ40" s="70"/>
      <c r="AK40" s="70"/>
      <c r="AL40" s="70"/>
      <c r="AM40" s="70"/>
      <c r="AN40" s="70"/>
      <c r="AO40" s="70"/>
      <c r="AP40" s="70"/>
      <c r="AQ40" s="70"/>
      <c r="AR40" s="70"/>
      <c r="AS40" s="70"/>
      <c r="AT40" s="70"/>
      <c r="AU40" s="70"/>
      <c r="AV40" s="70"/>
      <c r="AW40" s="70"/>
      <c r="AX40" s="70"/>
      <c r="AY40" s="70"/>
      <c r="AZ40" s="70"/>
      <c r="BA40" s="70"/>
      <c r="BB40" s="70"/>
      <c r="BC40" s="70"/>
      <c r="BD40" s="70"/>
      <c r="BE40" s="70"/>
      <c r="BF40" s="70"/>
      <c r="BG40" s="70"/>
      <c r="BH40" s="70"/>
      <c r="BI40" s="70"/>
      <c r="BJ40" s="70"/>
      <c r="BK40" s="70"/>
      <c r="BL40" s="70"/>
      <c r="BM40" s="70"/>
      <c r="BN40" s="70"/>
      <c r="BO40" s="70"/>
      <c r="BP40" s="70"/>
      <c r="BQ40" s="70"/>
      <c r="BR40" s="70"/>
      <c r="BS40" s="70"/>
      <c r="BT40" s="70"/>
      <c r="BU40" s="70"/>
      <c r="BV40" s="70"/>
      <c r="BW40" s="70"/>
      <c r="BX40" s="70"/>
      <c r="BY40" s="70"/>
      <c r="BZ40" s="70"/>
      <c r="CA40" s="70"/>
      <c r="CB40" s="70"/>
      <c r="CC40" s="70"/>
      <c r="CD40" s="70"/>
      <c r="CE40" s="70"/>
      <c r="CF40" s="70"/>
      <c r="CG40" s="70"/>
      <c r="CH40" s="70"/>
      <c r="CI40" s="70"/>
      <c r="CJ40" s="70"/>
      <c r="CK40" s="70"/>
      <c r="CL40" s="70"/>
      <c r="CM40" s="70"/>
      <c r="CN40" s="70"/>
      <c r="CO40" s="70"/>
      <c r="CP40" s="70"/>
      <c r="CR40" s="173"/>
    </row>
    <row r="41" spans="1:96" x14ac:dyDescent="0.2">
      <c r="A41" s="59" t="s">
        <v>1784</v>
      </c>
      <c r="B41" s="66"/>
      <c r="C41" s="66"/>
      <c r="D41" s="66"/>
      <c r="E41" s="59"/>
      <c r="F41" s="59"/>
      <c r="G41" s="59"/>
      <c r="H41" s="59"/>
      <c r="I41" s="59"/>
      <c r="J41" s="59"/>
      <c r="K41" s="59"/>
      <c r="L41" s="68">
        <f>IF(N41="","XXX",VLOOKUP(M41*10+N41,'06停留所'!$B$2:$B$9999,1,FALSE))</f>
        <v>2212</v>
      </c>
      <c r="M41" s="63">
        <f>INT(VLOOKUPLEFT(A41,'06停留所'!$B$2:$C$9999,'06停留所'!$C$2:$C$9999,1)/10)</f>
        <v>221</v>
      </c>
      <c r="N41" s="209">
        <v>2</v>
      </c>
      <c r="O41" s="69" t="s">
        <v>1942</v>
      </c>
      <c r="P41" s="70" t="s">
        <v>1979</v>
      </c>
      <c r="Q41" s="70" t="s">
        <v>1902</v>
      </c>
      <c r="R41" s="70"/>
      <c r="S41" s="70"/>
      <c r="T41" s="70"/>
      <c r="U41" s="70"/>
      <c r="V41" s="70"/>
      <c r="W41" s="70"/>
      <c r="X41" s="70"/>
      <c r="Y41" s="70"/>
      <c r="Z41" s="70"/>
      <c r="AA41" s="70"/>
      <c r="AB41" s="70"/>
      <c r="AC41" s="70"/>
      <c r="AD41" s="70"/>
      <c r="AE41" s="70"/>
      <c r="AF41" s="70"/>
      <c r="AG41" s="70"/>
      <c r="AH41" s="70"/>
      <c r="AI41" s="70"/>
      <c r="AJ41" s="70"/>
      <c r="AK41" s="70"/>
      <c r="AL41" s="70"/>
      <c r="AM41" s="70"/>
      <c r="AN41" s="70"/>
      <c r="AO41" s="70"/>
      <c r="AP41" s="70"/>
      <c r="AQ41" s="70"/>
      <c r="AR41" s="70"/>
      <c r="AS41" s="70"/>
      <c r="AT41" s="70"/>
      <c r="AU41" s="70"/>
      <c r="AV41" s="70"/>
      <c r="AW41" s="70"/>
      <c r="AX41" s="70"/>
      <c r="AY41" s="70"/>
      <c r="AZ41" s="70"/>
      <c r="BA41" s="70"/>
      <c r="BB41" s="70"/>
      <c r="BC41" s="70"/>
      <c r="BD41" s="70"/>
      <c r="BE41" s="70"/>
      <c r="BF41" s="70"/>
      <c r="BG41" s="70"/>
      <c r="BH41" s="70"/>
      <c r="BI41" s="70"/>
      <c r="BJ41" s="70"/>
      <c r="BK41" s="70"/>
      <c r="BL41" s="70"/>
      <c r="BM41" s="70"/>
      <c r="BN41" s="70"/>
      <c r="BO41" s="70"/>
      <c r="BP41" s="70"/>
      <c r="BQ41" s="70"/>
      <c r="BR41" s="70"/>
      <c r="BS41" s="70"/>
      <c r="BT41" s="70"/>
      <c r="BU41" s="70"/>
      <c r="BV41" s="70"/>
      <c r="BW41" s="70"/>
      <c r="BX41" s="70"/>
      <c r="BY41" s="70"/>
      <c r="BZ41" s="70"/>
      <c r="CA41" s="70"/>
      <c r="CB41" s="70"/>
      <c r="CC41" s="70"/>
      <c r="CD41" s="70"/>
      <c r="CE41" s="70"/>
      <c r="CF41" s="70"/>
      <c r="CG41" s="70"/>
      <c r="CH41" s="70"/>
      <c r="CI41" s="70"/>
      <c r="CJ41" s="70"/>
      <c r="CK41" s="70"/>
      <c r="CL41" s="70"/>
      <c r="CM41" s="70"/>
      <c r="CN41" s="70"/>
      <c r="CO41" s="70"/>
      <c r="CP41" s="70"/>
      <c r="CR41" s="173"/>
    </row>
    <row r="42" spans="1:96" x14ac:dyDescent="0.2">
      <c r="A42" s="59" t="s">
        <v>756</v>
      </c>
      <c r="B42" s="66"/>
      <c r="C42" s="66"/>
      <c r="D42" s="66"/>
      <c r="E42" s="59"/>
      <c r="F42" s="59"/>
      <c r="G42" s="59"/>
      <c r="H42" s="59"/>
      <c r="I42" s="59"/>
      <c r="J42" s="59"/>
      <c r="K42" s="59"/>
      <c r="L42" s="68">
        <f>IF(N42="","XXX",VLOOKUP(M42*10+N42,'06停留所'!$B$2:$B$9999,1,FALSE))</f>
        <v>2202</v>
      </c>
      <c r="M42" s="63">
        <f>INT(VLOOKUPLEFT(A42,'06停留所'!$B$2:$C$9999,'06停留所'!$C$2:$C$9999,1)/10)</f>
        <v>220</v>
      </c>
      <c r="N42" s="209">
        <v>2</v>
      </c>
      <c r="O42" s="69" t="s">
        <v>1943</v>
      </c>
      <c r="P42" s="70" t="s">
        <v>1980</v>
      </c>
      <c r="Q42" s="70" t="s">
        <v>2017</v>
      </c>
      <c r="R42" s="70"/>
      <c r="S42" s="70"/>
      <c r="T42" s="70"/>
      <c r="U42" s="70"/>
      <c r="V42" s="70"/>
      <c r="W42" s="70"/>
      <c r="X42" s="70"/>
      <c r="Y42" s="70"/>
      <c r="Z42" s="70"/>
      <c r="AA42" s="70"/>
      <c r="AB42" s="70"/>
      <c r="AC42" s="70"/>
      <c r="AD42" s="70"/>
      <c r="AE42" s="70"/>
      <c r="AF42" s="70"/>
      <c r="AG42" s="70"/>
      <c r="AH42" s="70"/>
      <c r="AI42" s="70"/>
      <c r="AJ42" s="70"/>
      <c r="AK42" s="70"/>
      <c r="AL42" s="70"/>
      <c r="AM42" s="70"/>
      <c r="AN42" s="70"/>
      <c r="AO42" s="70"/>
      <c r="AP42" s="70"/>
      <c r="AQ42" s="70"/>
      <c r="AR42" s="70"/>
      <c r="AS42" s="70"/>
      <c r="AT42" s="70"/>
      <c r="AU42" s="70"/>
      <c r="AV42" s="70"/>
      <c r="AW42" s="70"/>
      <c r="AX42" s="70"/>
      <c r="AY42" s="70"/>
      <c r="AZ42" s="70"/>
      <c r="BA42" s="70"/>
      <c r="BB42" s="70"/>
      <c r="BC42" s="70"/>
      <c r="BD42" s="70"/>
      <c r="BE42" s="70"/>
      <c r="BF42" s="70"/>
      <c r="BG42" s="70"/>
      <c r="BH42" s="70"/>
      <c r="BI42" s="70"/>
      <c r="BJ42" s="70"/>
      <c r="BK42" s="70"/>
      <c r="BL42" s="70"/>
      <c r="BM42" s="70"/>
      <c r="BN42" s="70"/>
      <c r="BO42" s="70"/>
      <c r="BP42" s="70"/>
      <c r="BQ42" s="70"/>
      <c r="BR42" s="70"/>
      <c r="BS42" s="70"/>
      <c r="BT42" s="70"/>
      <c r="BU42" s="70"/>
      <c r="BV42" s="70"/>
      <c r="BW42" s="70"/>
      <c r="BX42" s="70"/>
      <c r="BY42" s="70"/>
      <c r="BZ42" s="70"/>
      <c r="CA42" s="70"/>
      <c r="CB42" s="70"/>
      <c r="CC42" s="70"/>
      <c r="CD42" s="70"/>
      <c r="CE42" s="70"/>
      <c r="CF42" s="70"/>
      <c r="CG42" s="70"/>
      <c r="CH42" s="70"/>
      <c r="CI42" s="70"/>
      <c r="CJ42" s="70"/>
      <c r="CK42" s="70"/>
      <c r="CL42" s="70"/>
      <c r="CM42" s="70"/>
      <c r="CN42" s="70"/>
      <c r="CO42" s="70"/>
      <c r="CP42" s="70"/>
      <c r="CR42" s="173"/>
    </row>
    <row r="43" spans="1:96" x14ac:dyDescent="0.2">
      <c r="A43" s="59" t="s">
        <v>753</v>
      </c>
      <c r="B43" s="66"/>
      <c r="C43" s="66"/>
      <c r="D43" s="66"/>
      <c r="E43" s="59"/>
      <c r="F43" s="59"/>
      <c r="G43" s="59"/>
      <c r="H43" s="59"/>
      <c r="I43" s="59"/>
      <c r="J43" s="59"/>
      <c r="K43" s="59"/>
      <c r="L43" s="68">
        <f>IF(N43="","XXX",VLOOKUP(M43*10+N43,'06停留所'!$B$2:$B$9999,1,FALSE))</f>
        <v>2192</v>
      </c>
      <c r="M43" s="63">
        <f>INT(VLOOKUPLEFT(A43,'06停留所'!$B$2:$C$9999,'06停留所'!$C$2:$C$9999,1)/10)</f>
        <v>219</v>
      </c>
      <c r="N43" s="209">
        <v>2</v>
      </c>
      <c r="O43" s="69" t="s">
        <v>1828</v>
      </c>
      <c r="P43" s="70" t="s">
        <v>1981</v>
      </c>
      <c r="Q43" s="70" t="s">
        <v>2018</v>
      </c>
      <c r="R43" s="70"/>
      <c r="S43" s="70"/>
      <c r="T43" s="70"/>
      <c r="U43" s="70"/>
      <c r="V43" s="70"/>
      <c r="W43" s="70"/>
      <c r="X43" s="70"/>
      <c r="Y43" s="70"/>
      <c r="Z43" s="70"/>
      <c r="AA43" s="70"/>
      <c r="AB43" s="70"/>
      <c r="AC43" s="70"/>
      <c r="AD43" s="70"/>
      <c r="AE43" s="70"/>
      <c r="AF43" s="70"/>
      <c r="AG43" s="70"/>
      <c r="AH43" s="70"/>
      <c r="AI43" s="70"/>
      <c r="AJ43" s="70"/>
      <c r="AK43" s="70"/>
      <c r="AL43" s="70"/>
      <c r="AM43" s="70"/>
      <c r="AN43" s="70"/>
      <c r="AO43" s="70"/>
      <c r="AP43" s="70"/>
      <c r="AQ43" s="70"/>
      <c r="AR43" s="70"/>
      <c r="AS43" s="70"/>
      <c r="AT43" s="70"/>
      <c r="AU43" s="70"/>
      <c r="AV43" s="70"/>
      <c r="AW43" s="70"/>
      <c r="AX43" s="70"/>
      <c r="AY43" s="70"/>
      <c r="AZ43" s="70"/>
      <c r="BA43" s="70"/>
      <c r="BB43" s="70"/>
      <c r="BC43" s="70"/>
      <c r="BD43" s="70"/>
      <c r="BE43" s="70"/>
      <c r="BF43" s="70"/>
      <c r="BG43" s="70"/>
      <c r="BH43" s="70"/>
      <c r="BI43" s="70"/>
      <c r="BJ43" s="70"/>
      <c r="BK43" s="70"/>
      <c r="BL43" s="70"/>
      <c r="BM43" s="70"/>
      <c r="BN43" s="70"/>
      <c r="BO43" s="70"/>
      <c r="BP43" s="70"/>
      <c r="BQ43" s="70"/>
      <c r="BR43" s="70"/>
      <c r="BS43" s="70"/>
      <c r="BT43" s="70"/>
      <c r="BU43" s="70"/>
      <c r="BV43" s="70"/>
      <c r="BW43" s="70"/>
      <c r="BX43" s="70"/>
      <c r="BY43" s="70"/>
      <c r="BZ43" s="70"/>
      <c r="CA43" s="70"/>
      <c r="CB43" s="70"/>
      <c r="CC43" s="70"/>
      <c r="CD43" s="70"/>
      <c r="CE43" s="70"/>
      <c r="CF43" s="70"/>
      <c r="CG43" s="70"/>
      <c r="CH43" s="70"/>
      <c r="CI43" s="70"/>
      <c r="CJ43" s="70"/>
      <c r="CK43" s="70"/>
      <c r="CL43" s="70"/>
      <c r="CM43" s="70"/>
      <c r="CN43" s="70"/>
      <c r="CO43" s="70"/>
      <c r="CP43" s="70"/>
      <c r="CR43" s="173"/>
    </row>
    <row r="44" spans="1:96" x14ac:dyDescent="0.2">
      <c r="A44" s="59" t="s">
        <v>750</v>
      </c>
      <c r="B44" s="66"/>
      <c r="C44" s="66"/>
      <c r="D44" s="66"/>
      <c r="E44" s="59"/>
      <c r="F44" s="59"/>
      <c r="G44" s="59"/>
      <c r="H44" s="59"/>
      <c r="I44" s="59"/>
      <c r="J44" s="59"/>
      <c r="K44" s="59"/>
      <c r="L44" s="68">
        <f>IF(N44="","XXX",VLOOKUP(M44*10+N44,'06停留所'!$B$2:$B$9999,1,FALSE))</f>
        <v>2182</v>
      </c>
      <c r="M44" s="63">
        <f>INT(VLOOKUPLEFT(A44,'06停留所'!$B$2:$C$9999,'06停留所'!$C$2:$C$9999,1)/10)</f>
        <v>218</v>
      </c>
      <c r="N44" s="209">
        <v>2</v>
      </c>
      <c r="O44" s="69" t="s">
        <v>1944</v>
      </c>
      <c r="P44" s="70" t="s">
        <v>1982</v>
      </c>
      <c r="Q44" s="70" t="s">
        <v>2019</v>
      </c>
      <c r="R44" s="70"/>
      <c r="S44" s="70"/>
      <c r="T44" s="70"/>
      <c r="U44" s="70"/>
      <c r="V44" s="70"/>
      <c r="W44" s="70"/>
      <c r="X44" s="70"/>
      <c r="Y44" s="70"/>
      <c r="Z44" s="70"/>
      <c r="AA44" s="70"/>
      <c r="AB44" s="70"/>
      <c r="AC44" s="70"/>
      <c r="AD44" s="70"/>
      <c r="AE44" s="70"/>
      <c r="AF44" s="70"/>
      <c r="AG44" s="70"/>
      <c r="AH44" s="70"/>
      <c r="AI44" s="70"/>
      <c r="AJ44" s="70"/>
      <c r="AK44" s="70"/>
      <c r="AL44" s="70"/>
      <c r="AM44" s="70"/>
      <c r="AN44" s="70"/>
      <c r="AO44" s="70"/>
      <c r="AP44" s="70"/>
      <c r="AQ44" s="70"/>
      <c r="AR44" s="70"/>
      <c r="AS44" s="70"/>
      <c r="AT44" s="70"/>
      <c r="AU44" s="70"/>
      <c r="AV44" s="70"/>
      <c r="AW44" s="70"/>
      <c r="AX44" s="70"/>
      <c r="AY44" s="70"/>
      <c r="AZ44" s="70"/>
      <c r="BA44" s="70"/>
      <c r="BB44" s="70"/>
      <c r="BC44" s="70"/>
      <c r="BD44" s="70"/>
      <c r="BE44" s="70"/>
      <c r="BF44" s="70"/>
      <c r="BG44" s="70"/>
      <c r="BH44" s="70"/>
      <c r="BI44" s="70"/>
      <c r="BJ44" s="70"/>
      <c r="BK44" s="70"/>
      <c r="BL44" s="70"/>
      <c r="BM44" s="70"/>
      <c r="BN44" s="70"/>
      <c r="BO44" s="70"/>
      <c r="BP44" s="70"/>
      <c r="BQ44" s="70"/>
      <c r="BR44" s="70"/>
      <c r="BS44" s="70"/>
      <c r="BT44" s="70"/>
      <c r="BU44" s="70"/>
      <c r="BV44" s="70"/>
      <c r="BW44" s="70"/>
      <c r="BX44" s="70"/>
      <c r="BY44" s="70"/>
      <c r="BZ44" s="70"/>
      <c r="CA44" s="70"/>
      <c r="CB44" s="70"/>
      <c r="CC44" s="70"/>
      <c r="CD44" s="70"/>
      <c r="CE44" s="70"/>
      <c r="CF44" s="70"/>
      <c r="CG44" s="70"/>
      <c r="CH44" s="70"/>
      <c r="CI44" s="70"/>
      <c r="CJ44" s="70"/>
      <c r="CK44" s="70"/>
      <c r="CL44" s="70"/>
      <c r="CM44" s="70"/>
      <c r="CN44" s="70"/>
      <c r="CO44" s="70"/>
      <c r="CP44" s="70"/>
      <c r="CR44" s="173"/>
    </row>
    <row r="45" spans="1:96" x14ac:dyDescent="0.2">
      <c r="A45" s="59" t="s">
        <v>1785</v>
      </c>
      <c r="B45" s="66"/>
      <c r="C45" s="66"/>
      <c r="D45" s="66"/>
      <c r="E45" s="59"/>
      <c r="F45" s="59"/>
      <c r="G45" s="59"/>
      <c r="H45" s="59"/>
      <c r="I45" s="59"/>
      <c r="J45" s="59"/>
      <c r="K45" s="59"/>
      <c r="L45" s="68">
        <f>IF(N45="","XXX",VLOOKUP(M45*10+N45,'06停留所'!$B$2:$B$9999,1,FALSE))</f>
        <v>2172</v>
      </c>
      <c r="M45" s="63">
        <f>INT(VLOOKUPLEFT(A45,'06停留所'!$B$2:$C$9999,'06停留所'!$C$2:$C$9999,1)/10)</f>
        <v>217</v>
      </c>
      <c r="N45" s="209">
        <v>2</v>
      </c>
      <c r="O45" s="69" t="s">
        <v>1945</v>
      </c>
      <c r="P45" s="70" t="s">
        <v>1983</v>
      </c>
      <c r="Q45" s="70" t="s">
        <v>1903</v>
      </c>
      <c r="R45" s="70"/>
      <c r="S45" s="70"/>
      <c r="T45" s="70"/>
      <c r="U45" s="70"/>
      <c r="V45" s="70"/>
      <c r="W45" s="70"/>
      <c r="X45" s="70"/>
      <c r="Y45" s="70"/>
      <c r="Z45" s="70"/>
      <c r="AA45" s="70"/>
      <c r="AB45" s="70"/>
      <c r="AC45" s="70"/>
      <c r="AD45" s="70"/>
      <c r="AE45" s="70"/>
      <c r="AF45" s="70"/>
      <c r="AG45" s="70"/>
      <c r="AH45" s="70"/>
      <c r="AI45" s="70"/>
      <c r="AJ45" s="70"/>
      <c r="AK45" s="70"/>
      <c r="AL45" s="70"/>
      <c r="AM45" s="70"/>
      <c r="AN45" s="70"/>
      <c r="AO45" s="70"/>
      <c r="AP45" s="70"/>
      <c r="AQ45" s="70"/>
      <c r="AR45" s="70"/>
      <c r="AS45" s="70"/>
      <c r="AT45" s="70"/>
      <c r="AU45" s="70"/>
      <c r="AV45" s="70"/>
      <c r="AW45" s="70"/>
      <c r="AX45" s="70"/>
      <c r="AY45" s="70"/>
      <c r="AZ45" s="70"/>
      <c r="BA45" s="70"/>
      <c r="BB45" s="70"/>
      <c r="BC45" s="70"/>
      <c r="BD45" s="70"/>
      <c r="BE45" s="70"/>
      <c r="BF45" s="70"/>
      <c r="BG45" s="70"/>
      <c r="BH45" s="70"/>
      <c r="BI45" s="70"/>
      <c r="BJ45" s="70"/>
      <c r="BK45" s="70"/>
      <c r="BL45" s="70"/>
      <c r="BM45" s="70"/>
      <c r="BN45" s="70"/>
      <c r="BO45" s="70"/>
      <c r="BP45" s="70"/>
      <c r="BQ45" s="70"/>
      <c r="BR45" s="70"/>
      <c r="BS45" s="70"/>
      <c r="BT45" s="70"/>
      <c r="BU45" s="70"/>
      <c r="BV45" s="70"/>
      <c r="BW45" s="70"/>
      <c r="BX45" s="70"/>
      <c r="BY45" s="70"/>
      <c r="BZ45" s="70"/>
      <c r="CA45" s="70"/>
      <c r="CB45" s="70"/>
      <c r="CC45" s="70"/>
      <c r="CD45" s="70"/>
      <c r="CE45" s="70"/>
      <c r="CF45" s="70"/>
      <c r="CG45" s="70"/>
      <c r="CH45" s="70"/>
      <c r="CI45" s="70"/>
      <c r="CJ45" s="70"/>
      <c r="CK45" s="70"/>
      <c r="CL45" s="70"/>
      <c r="CM45" s="70"/>
      <c r="CN45" s="70"/>
      <c r="CO45" s="70"/>
      <c r="CP45" s="70"/>
      <c r="CR45" s="173"/>
    </row>
    <row r="46" spans="1:96" x14ac:dyDescent="0.2">
      <c r="A46" s="59" t="s">
        <v>745</v>
      </c>
      <c r="B46" s="66"/>
      <c r="C46" s="66"/>
      <c r="D46" s="66"/>
      <c r="E46" s="59"/>
      <c r="F46" s="59"/>
      <c r="G46" s="59"/>
      <c r="H46" s="59"/>
      <c r="I46" s="59"/>
      <c r="J46" s="59"/>
      <c r="K46" s="59"/>
      <c r="L46" s="68">
        <f>IF(N46="","XXX",VLOOKUP(M46*10+N46,'06停留所'!$B$2:$B$9999,1,FALSE))</f>
        <v>2162</v>
      </c>
      <c r="M46" s="63">
        <f>INT(VLOOKUPLEFT(A46,'06停留所'!$B$2:$C$9999,'06停留所'!$C$2:$C$9999,1)/10)</f>
        <v>216</v>
      </c>
      <c r="N46" s="209">
        <v>2</v>
      </c>
      <c r="O46" s="69" t="s">
        <v>1829</v>
      </c>
      <c r="P46" s="70" t="s">
        <v>1984</v>
      </c>
      <c r="Q46" s="70" t="s">
        <v>2020</v>
      </c>
      <c r="R46" s="70"/>
      <c r="S46" s="70"/>
      <c r="T46" s="70"/>
      <c r="U46" s="70"/>
      <c r="V46" s="70"/>
      <c r="W46" s="70"/>
      <c r="X46" s="70"/>
      <c r="Y46" s="70"/>
      <c r="Z46" s="70"/>
      <c r="AA46" s="70"/>
      <c r="AB46" s="70"/>
      <c r="AC46" s="70"/>
      <c r="AD46" s="70"/>
      <c r="AE46" s="70"/>
      <c r="AF46" s="70"/>
      <c r="AG46" s="70"/>
      <c r="AH46" s="70"/>
      <c r="AI46" s="70"/>
      <c r="AJ46" s="70"/>
      <c r="AK46" s="70"/>
      <c r="AL46" s="70"/>
      <c r="AM46" s="70"/>
      <c r="AN46" s="70"/>
      <c r="AO46" s="70"/>
      <c r="AP46" s="70"/>
      <c r="AQ46" s="70"/>
      <c r="AR46" s="70"/>
      <c r="AS46" s="70"/>
      <c r="AT46" s="70"/>
      <c r="AU46" s="70"/>
      <c r="AV46" s="70"/>
      <c r="AW46" s="70"/>
      <c r="AX46" s="70"/>
      <c r="AY46" s="70"/>
      <c r="AZ46" s="70"/>
      <c r="BA46" s="70"/>
      <c r="BB46" s="70"/>
      <c r="BC46" s="70"/>
      <c r="BD46" s="70"/>
      <c r="BE46" s="70"/>
      <c r="BF46" s="70"/>
      <c r="BG46" s="70"/>
      <c r="BH46" s="70"/>
      <c r="BI46" s="70"/>
      <c r="BJ46" s="70"/>
      <c r="BK46" s="70"/>
      <c r="BL46" s="70"/>
      <c r="BM46" s="70"/>
      <c r="BN46" s="70"/>
      <c r="BO46" s="70"/>
      <c r="BP46" s="70"/>
      <c r="BQ46" s="70"/>
      <c r="BR46" s="70"/>
      <c r="BS46" s="70"/>
      <c r="BT46" s="70"/>
      <c r="BU46" s="70"/>
      <c r="BV46" s="70"/>
      <c r="BW46" s="70"/>
      <c r="BX46" s="70"/>
      <c r="BY46" s="70"/>
      <c r="BZ46" s="70"/>
      <c r="CA46" s="70"/>
      <c r="CB46" s="70"/>
      <c r="CC46" s="70"/>
      <c r="CD46" s="70"/>
      <c r="CE46" s="70"/>
      <c r="CF46" s="70"/>
      <c r="CG46" s="70"/>
      <c r="CH46" s="70"/>
      <c r="CI46" s="70"/>
      <c r="CJ46" s="70"/>
      <c r="CK46" s="70"/>
      <c r="CL46" s="70"/>
      <c r="CM46" s="70"/>
      <c r="CN46" s="70"/>
      <c r="CO46" s="70"/>
      <c r="CP46" s="70"/>
      <c r="CR46" s="173"/>
    </row>
    <row r="47" spans="1:96" x14ac:dyDescent="0.2">
      <c r="A47" s="59" t="s">
        <v>736</v>
      </c>
      <c r="B47" s="66"/>
      <c r="C47" s="66"/>
      <c r="D47" s="66"/>
      <c r="E47" s="59"/>
      <c r="F47" s="59"/>
      <c r="G47" s="59"/>
      <c r="H47" s="59"/>
      <c r="I47" s="59"/>
      <c r="J47" s="59"/>
      <c r="K47" s="59"/>
      <c r="L47" s="68">
        <f>IF(N47="","XXX",VLOOKUP(M47*10+N47,'06停留所'!$B$2:$B$9999,1,FALSE))</f>
        <v>2131</v>
      </c>
      <c r="M47" s="63">
        <f>INT(VLOOKUPLEFT(A47,'06停留所'!$B$2:$C$9999,'06停留所'!$C$2:$C$9999,1)/10)</f>
        <v>213</v>
      </c>
      <c r="N47" s="209">
        <v>1</v>
      </c>
      <c r="O47" s="69" t="s">
        <v>1830</v>
      </c>
      <c r="P47" s="70" t="s">
        <v>1985</v>
      </c>
      <c r="Q47" s="70" t="s">
        <v>1904</v>
      </c>
      <c r="R47" s="70"/>
      <c r="S47" s="70"/>
      <c r="T47" s="70"/>
      <c r="U47" s="70"/>
      <c r="V47" s="70"/>
      <c r="W47" s="70"/>
      <c r="X47" s="70"/>
      <c r="Y47" s="70"/>
      <c r="Z47" s="70"/>
      <c r="AA47" s="70"/>
      <c r="AB47" s="70"/>
      <c r="AC47" s="70"/>
      <c r="AD47" s="70"/>
      <c r="AE47" s="70"/>
      <c r="AF47" s="70"/>
      <c r="AG47" s="70"/>
      <c r="AH47" s="70"/>
      <c r="AI47" s="70"/>
      <c r="AJ47" s="70"/>
      <c r="AK47" s="70"/>
      <c r="AL47" s="70"/>
      <c r="AM47" s="70"/>
      <c r="AN47" s="70"/>
      <c r="AO47" s="70"/>
      <c r="AP47" s="70"/>
      <c r="AQ47" s="70"/>
      <c r="AR47" s="70"/>
      <c r="AS47" s="70"/>
      <c r="AT47" s="70"/>
      <c r="AU47" s="70"/>
      <c r="AV47" s="70"/>
      <c r="AW47" s="70"/>
      <c r="AX47" s="70"/>
      <c r="AY47" s="70"/>
      <c r="AZ47" s="70"/>
      <c r="BA47" s="70"/>
      <c r="BB47" s="70"/>
      <c r="BC47" s="70"/>
      <c r="BD47" s="70"/>
      <c r="BE47" s="70"/>
      <c r="BF47" s="70"/>
      <c r="BG47" s="70"/>
      <c r="BH47" s="70"/>
      <c r="BI47" s="70"/>
      <c r="BJ47" s="70"/>
      <c r="BK47" s="70"/>
      <c r="BL47" s="70"/>
      <c r="BM47" s="70"/>
      <c r="BN47" s="70"/>
      <c r="BO47" s="70"/>
      <c r="BP47" s="70"/>
      <c r="BQ47" s="70"/>
      <c r="BR47" s="70"/>
      <c r="BS47" s="70"/>
      <c r="BT47" s="70"/>
      <c r="BU47" s="70"/>
      <c r="BV47" s="70"/>
      <c r="BW47" s="70"/>
      <c r="BX47" s="70"/>
      <c r="BY47" s="70"/>
      <c r="BZ47" s="70"/>
      <c r="CA47" s="70"/>
      <c r="CB47" s="70"/>
      <c r="CC47" s="70"/>
      <c r="CD47" s="70"/>
      <c r="CE47" s="70"/>
      <c r="CF47" s="70"/>
      <c r="CG47" s="70"/>
      <c r="CH47" s="70"/>
      <c r="CI47" s="70"/>
      <c r="CJ47" s="70"/>
      <c r="CK47" s="70"/>
      <c r="CL47" s="70"/>
      <c r="CM47" s="70"/>
      <c r="CN47" s="70"/>
      <c r="CO47" s="70"/>
      <c r="CP47" s="70"/>
      <c r="CR47" s="173"/>
    </row>
    <row r="48" spans="1:96" x14ac:dyDescent="0.2">
      <c r="A48" s="59" t="s">
        <v>739</v>
      </c>
      <c r="B48" s="66"/>
      <c r="C48" s="66"/>
      <c r="D48" s="66"/>
      <c r="E48" s="59"/>
      <c r="F48" s="59"/>
      <c r="G48" s="59"/>
      <c r="H48" s="59"/>
      <c r="I48" s="59"/>
      <c r="J48" s="59"/>
      <c r="K48" s="59"/>
      <c r="L48" s="68">
        <f>IF(N48="","XXX",VLOOKUP(M48*10+N48,'06停留所'!$B$2:$B$9999,1,FALSE))</f>
        <v>2141</v>
      </c>
      <c r="M48" s="63">
        <f>INT(VLOOKUPLEFT(A48,'06停留所'!$B$2:$C$9999,'06停留所'!$C$2:$C$9999,1)/10)</f>
        <v>214</v>
      </c>
      <c r="N48" s="209">
        <v>1</v>
      </c>
      <c r="O48" s="69" t="s">
        <v>1946</v>
      </c>
      <c r="P48" s="70" t="s">
        <v>1986</v>
      </c>
      <c r="Q48" s="70" t="s">
        <v>1905</v>
      </c>
      <c r="R48" s="70"/>
      <c r="S48" s="70"/>
      <c r="T48" s="70"/>
      <c r="U48" s="70"/>
      <c r="V48" s="70"/>
      <c r="W48" s="70"/>
      <c r="X48" s="70"/>
      <c r="Y48" s="70"/>
      <c r="Z48" s="70"/>
      <c r="AA48" s="70"/>
      <c r="AB48" s="70"/>
      <c r="AC48" s="70"/>
      <c r="AD48" s="70"/>
      <c r="AE48" s="70"/>
      <c r="AF48" s="70"/>
      <c r="AG48" s="70"/>
      <c r="AH48" s="70"/>
      <c r="AI48" s="70"/>
      <c r="AJ48" s="70"/>
      <c r="AK48" s="70"/>
      <c r="AL48" s="70"/>
      <c r="AM48" s="70"/>
      <c r="AN48" s="70"/>
      <c r="AO48" s="70"/>
      <c r="AP48" s="70"/>
      <c r="AQ48" s="70"/>
      <c r="AR48" s="70"/>
      <c r="AS48" s="70"/>
      <c r="AT48" s="70"/>
      <c r="AU48" s="70"/>
      <c r="AV48" s="70"/>
      <c r="AW48" s="70"/>
      <c r="AX48" s="70"/>
      <c r="AY48" s="70"/>
      <c r="AZ48" s="70"/>
      <c r="BA48" s="70"/>
      <c r="BB48" s="70"/>
      <c r="BC48" s="70"/>
      <c r="BD48" s="70"/>
      <c r="BE48" s="70"/>
      <c r="BF48" s="70"/>
      <c r="BG48" s="70"/>
      <c r="BH48" s="70"/>
      <c r="BI48" s="70"/>
      <c r="BJ48" s="70"/>
      <c r="BK48" s="70"/>
      <c r="BL48" s="70"/>
      <c r="BM48" s="70"/>
      <c r="BN48" s="70"/>
      <c r="BO48" s="70"/>
      <c r="BP48" s="70"/>
      <c r="BQ48" s="70"/>
      <c r="BR48" s="70"/>
      <c r="BS48" s="70"/>
      <c r="BT48" s="70"/>
      <c r="BU48" s="70"/>
      <c r="BV48" s="70"/>
      <c r="BW48" s="70"/>
      <c r="BX48" s="70"/>
      <c r="BY48" s="70"/>
      <c r="BZ48" s="70"/>
      <c r="CA48" s="70"/>
      <c r="CB48" s="70"/>
      <c r="CC48" s="70"/>
      <c r="CD48" s="70"/>
      <c r="CE48" s="70"/>
      <c r="CF48" s="70"/>
      <c r="CG48" s="70"/>
      <c r="CH48" s="70"/>
      <c r="CI48" s="70"/>
      <c r="CJ48" s="70"/>
      <c r="CK48" s="70"/>
      <c r="CL48" s="70"/>
      <c r="CM48" s="70"/>
      <c r="CN48" s="70"/>
      <c r="CO48" s="70"/>
      <c r="CP48" s="70"/>
      <c r="CR48" s="173"/>
    </row>
    <row r="49" spans="1:96" x14ac:dyDescent="0.2">
      <c r="A49" s="59" t="s">
        <v>742</v>
      </c>
      <c r="B49" s="66"/>
      <c r="C49" s="66"/>
      <c r="D49" s="66"/>
      <c r="E49" s="59"/>
      <c r="F49" s="59"/>
      <c r="G49" s="59"/>
      <c r="H49" s="59"/>
      <c r="I49" s="59"/>
      <c r="J49" s="59"/>
      <c r="K49" s="59"/>
      <c r="L49" s="68">
        <f>IF(N49="","XXX",VLOOKUP(M49*10+N49,'06停留所'!$B$2:$B$9999,1,FALSE))</f>
        <v>2151</v>
      </c>
      <c r="M49" s="63">
        <f>INT(VLOOKUPLEFT(A49,'06停留所'!$B$2:$C$9999,'06停留所'!$C$2:$C$9999,1)/10)</f>
        <v>215</v>
      </c>
      <c r="N49" s="209">
        <v>1</v>
      </c>
      <c r="O49" s="69" t="s">
        <v>1832</v>
      </c>
      <c r="P49" s="70" t="s">
        <v>1987</v>
      </c>
      <c r="Q49" s="70" t="s">
        <v>1906</v>
      </c>
      <c r="R49" s="70"/>
      <c r="S49" s="70"/>
      <c r="T49" s="70"/>
      <c r="U49" s="70"/>
      <c r="V49" s="70"/>
      <c r="W49" s="70"/>
      <c r="X49" s="70"/>
      <c r="Y49" s="70"/>
      <c r="Z49" s="70"/>
      <c r="AA49" s="70"/>
      <c r="AB49" s="70"/>
      <c r="AC49" s="70"/>
      <c r="AD49" s="70"/>
      <c r="AE49" s="70"/>
      <c r="AF49" s="70"/>
      <c r="AG49" s="70"/>
      <c r="AH49" s="70"/>
      <c r="AI49" s="70"/>
      <c r="AJ49" s="70"/>
      <c r="AK49" s="70"/>
      <c r="AL49" s="70"/>
      <c r="AM49" s="70"/>
      <c r="AN49" s="70"/>
      <c r="AO49" s="70"/>
      <c r="AP49" s="70"/>
      <c r="AQ49" s="70"/>
      <c r="AR49" s="70"/>
      <c r="AS49" s="70"/>
      <c r="AT49" s="70"/>
      <c r="AU49" s="70"/>
      <c r="AV49" s="70"/>
      <c r="AW49" s="70"/>
      <c r="AX49" s="70"/>
      <c r="AY49" s="70"/>
      <c r="AZ49" s="70"/>
      <c r="BA49" s="70"/>
      <c r="BB49" s="70"/>
      <c r="BC49" s="70"/>
      <c r="BD49" s="70"/>
      <c r="BE49" s="70"/>
      <c r="BF49" s="70"/>
      <c r="BG49" s="70"/>
      <c r="BH49" s="70"/>
      <c r="BI49" s="70"/>
      <c r="BJ49" s="70"/>
      <c r="BK49" s="70"/>
      <c r="BL49" s="70"/>
      <c r="BM49" s="70"/>
      <c r="BN49" s="70"/>
      <c r="BO49" s="70"/>
      <c r="BP49" s="70"/>
      <c r="BQ49" s="70"/>
      <c r="BR49" s="70"/>
      <c r="BS49" s="70"/>
      <c r="BT49" s="70"/>
      <c r="BU49" s="70"/>
      <c r="BV49" s="70"/>
      <c r="BW49" s="70"/>
      <c r="BX49" s="70"/>
      <c r="BY49" s="70"/>
      <c r="BZ49" s="70"/>
      <c r="CA49" s="70"/>
      <c r="CB49" s="70"/>
      <c r="CC49" s="70"/>
      <c r="CD49" s="70"/>
      <c r="CE49" s="70"/>
      <c r="CF49" s="70"/>
      <c r="CG49" s="70"/>
      <c r="CH49" s="70"/>
      <c r="CI49" s="70"/>
      <c r="CJ49" s="70"/>
      <c r="CK49" s="70"/>
      <c r="CL49" s="70"/>
      <c r="CM49" s="70"/>
      <c r="CN49" s="70"/>
      <c r="CO49" s="70"/>
      <c r="CP49" s="70"/>
      <c r="CR49" s="173"/>
    </row>
    <row r="50" spans="1:96" x14ac:dyDescent="0.2">
      <c r="A50" s="59" t="s">
        <v>1786</v>
      </c>
      <c r="B50" s="66"/>
      <c r="C50" s="66"/>
      <c r="D50" s="66"/>
      <c r="E50" s="59"/>
      <c r="F50" s="59"/>
      <c r="G50" s="59"/>
      <c r="H50" s="59"/>
      <c r="I50" s="59"/>
      <c r="J50" s="59"/>
      <c r="K50" s="59"/>
      <c r="L50" s="68">
        <f>IF(N50="","XXX",VLOOKUP(M50*10+N50,'06停留所'!$B$2:$B$9999,1,FALSE))</f>
        <v>2141</v>
      </c>
      <c r="M50" s="63">
        <f>INT(VLOOKUPLEFT(A50,'06停留所'!$B$2:$C$9999,'06停留所'!$C$2:$C$9999,1)/10)</f>
        <v>214</v>
      </c>
      <c r="N50" s="209">
        <v>1</v>
      </c>
      <c r="O50" s="69" t="s">
        <v>1833</v>
      </c>
      <c r="P50" s="70" t="s">
        <v>1988</v>
      </c>
      <c r="Q50" s="70" t="s">
        <v>2021</v>
      </c>
      <c r="R50" s="70"/>
      <c r="S50" s="70"/>
      <c r="T50" s="70"/>
      <c r="U50" s="70"/>
      <c r="V50" s="70"/>
      <c r="W50" s="70"/>
      <c r="X50" s="70"/>
      <c r="Y50" s="70"/>
      <c r="Z50" s="70"/>
      <c r="AA50" s="70"/>
      <c r="AB50" s="70"/>
      <c r="AC50" s="70"/>
      <c r="AD50" s="70"/>
      <c r="AE50" s="70"/>
      <c r="AF50" s="70"/>
      <c r="AG50" s="70"/>
      <c r="AH50" s="70"/>
      <c r="AI50" s="70"/>
      <c r="AJ50" s="70"/>
      <c r="AK50" s="70"/>
      <c r="AL50" s="70"/>
      <c r="AM50" s="70"/>
      <c r="AN50" s="70"/>
      <c r="AO50" s="70"/>
      <c r="AP50" s="70"/>
      <c r="AQ50" s="70"/>
      <c r="AR50" s="70"/>
      <c r="AS50" s="70"/>
      <c r="AT50" s="70"/>
      <c r="AU50" s="70"/>
      <c r="AV50" s="70"/>
      <c r="AW50" s="70"/>
      <c r="AX50" s="70"/>
      <c r="AY50" s="70"/>
      <c r="AZ50" s="70"/>
      <c r="BA50" s="70"/>
      <c r="BB50" s="70"/>
      <c r="BC50" s="70"/>
      <c r="BD50" s="70"/>
      <c r="BE50" s="70"/>
      <c r="BF50" s="70"/>
      <c r="BG50" s="70"/>
      <c r="BH50" s="70"/>
      <c r="BI50" s="70"/>
      <c r="BJ50" s="70"/>
      <c r="BK50" s="70"/>
      <c r="BL50" s="70"/>
      <c r="BM50" s="70"/>
      <c r="BN50" s="70"/>
      <c r="BO50" s="70"/>
      <c r="BP50" s="70"/>
      <c r="BQ50" s="70"/>
      <c r="BR50" s="70"/>
      <c r="BS50" s="70"/>
      <c r="BT50" s="70"/>
      <c r="BU50" s="70"/>
      <c r="BV50" s="70"/>
      <c r="BW50" s="70"/>
      <c r="BX50" s="70"/>
      <c r="BY50" s="70"/>
      <c r="BZ50" s="70"/>
      <c r="CA50" s="70"/>
      <c r="CB50" s="70"/>
      <c r="CC50" s="70"/>
      <c r="CD50" s="70"/>
      <c r="CE50" s="70"/>
      <c r="CF50" s="70"/>
      <c r="CG50" s="70"/>
      <c r="CH50" s="70"/>
      <c r="CI50" s="70"/>
      <c r="CJ50" s="70"/>
      <c r="CK50" s="70"/>
      <c r="CL50" s="70"/>
      <c r="CM50" s="70"/>
      <c r="CN50" s="70"/>
      <c r="CO50" s="70"/>
      <c r="CP50" s="70"/>
      <c r="CR50" s="173"/>
    </row>
    <row r="51" spans="1:96" x14ac:dyDescent="0.2">
      <c r="A51" s="59" t="s">
        <v>736</v>
      </c>
      <c r="B51" s="66"/>
      <c r="C51" s="66"/>
      <c r="D51" s="66"/>
      <c r="E51" s="59"/>
      <c r="F51" s="59"/>
      <c r="G51" s="59"/>
      <c r="H51" s="59"/>
      <c r="I51" s="59"/>
      <c r="J51" s="59"/>
      <c r="K51" s="59"/>
      <c r="L51" s="68">
        <f>IF(N51="","XXX",VLOOKUP(M51*10+N51,'06停留所'!$B$2:$B$9999,1,FALSE))</f>
        <v>2131</v>
      </c>
      <c r="M51" s="63">
        <f>INT(VLOOKUPLEFT(A51,'06停留所'!$B$2:$C$9999,'06停留所'!$C$2:$C$9999,1)/10)</f>
        <v>213</v>
      </c>
      <c r="N51" s="209">
        <v>1</v>
      </c>
      <c r="O51" s="69" t="s">
        <v>1834</v>
      </c>
      <c r="P51" s="70" t="s">
        <v>1989</v>
      </c>
      <c r="Q51" s="70" t="s">
        <v>2022</v>
      </c>
      <c r="R51" s="70"/>
      <c r="S51" s="70"/>
      <c r="T51" s="70"/>
      <c r="U51" s="70"/>
      <c r="V51" s="70"/>
      <c r="W51" s="70"/>
      <c r="X51" s="70"/>
      <c r="Y51" s="70"/>
      <c r="Z51" s="70"/>
      <c r="AA51" s="70"/>
      <c r="AB51" s="70"/>
      <c r="AC51" s="70"/>
      <c r="AD51" s="70"/>
      <c r="AE51" s="70"/>
      <c r="AF51" s="70"/>
      <c r="AG51" s="70"/>
      <c r="AH51" s="70"/>
      <c r="AI51" s="70"/>
      <c r="AJ51" s="70"/>
      <c r="AK51" s="70"/>
      <c r="AL51" s="70"/>
      <c r="AM51" s="70"/>
      <c r="AN51" s="70"/>
      <c r="AO51" s="70"/>
      <c r="AP51" s="70"/>
      <c r="AQ51" s="70"/>
      <c r="AR51" s="70"/>
      <c r="AS51" s="70"/>
      <c r="AT51" s="70"/>
      <c r="AU51" s="70"/>
      <c r="AV51" s="70"/>
      <c r="AW51" s="70"/>
      <c r="AX51" s="70"/>
      <c r="AY51" s="70"/>
      <c r="AZ51" s="70"/>
      <c r="BA51" s="70"/>
      <c r="BB51" s="70"/>
      <c r="BC51" s="70"/>
      <c r="BD51" s="70"/>
      <c r="BE51" s="70"/>
      <c r="BF51" s="70"/>
      <c r="BG51" s="70"/>
      <c r="BH51" s="70"/>
      <c r="BI51" s="70"/>
      <c r="BJ51" s="70"/>
      <c r="BK51" s="70"/>
      <c r="BL51" s="70"/>
      <c r="BM51" s="70"/>
      <c r="BN51" s="70"/>
      <c r="BO51" s="70"/>
      <c r="BP51" s="70"/>
      <c r="BQ51" s="70"/>
      <c r="BR51" s="70"/>
      <c r="BS51" s="70"/>
      <c r="BT51" s="70"/>
      <c r="BU51" s="70"/>
      <c r="BV51" s="70"/>
      <c r="BW51" s="70"/>
      <c r="BX51" s="70"/>
      <c r="BY51" s="70"/>
      <c r="BZ51" s="70"/>
      <c r="CA51" s="70"/>
      <c r="CB51" s="70"/>
      <c r="CC51" s="70"/>
      <c r="CD51" s="70"/>
      <c r="CE51" s="70"/>
      <c r="CF51" s="70"/>
      <c r="CG51" s="70"/>
      <c r="CH51" s="70"/>
      <c r="CI51" s="70"/>
      <c r="CJ51" s="70"/>
      <c r="CK51" s="70"/>
      <c r="CL51" s="70"/>
      <c r="CM51" s="70"/>
      <c r="CN51" s="70"/>
      <c r="CO51" s="70"/>
      <c r="CP51" s="70"/>
      <c r="CR51" s="173"/>
    </row>
    <row r="52" spans="1:96" x14ac:dyDescent="0.2">
      <c r="A52" s="59" t="s">
        <v>1787</v>
      </c>
      <c r="B52" s="66"/>
      <c r="C52" s="66"/>
      <c r="D52" s="66"/>
      <c r="E52" s="59"/>
      <c r="F52" s="59"/>
      <c r="G52" s="59"/>
      <c r="H52" s="59"/>
      <c r="I52" s="59"/>
      <c r="J52" s="59"/>
      <c r="K52" s="59"/>
      <c r="L52" s="68">
        <f>IF(N52="","XXX",VLOOKUP(M52*10+N52,'06停留所'!$B$2:$B$9999,1,FALSE))</f>
        <v>2121</v>
      </c>
      <c r="M52" s="63">
        <f>INT(VLOOKUPLEFT(A52,'06停留所'!$B$2:$C$9999,'06停留所'!$C$2:$C$9999,1)/10)</f>
        <v>212</v>
      </c>
      <c r="N52" s="209">
        <v>1</v>
      </c>
      <c r="O52" s="69" t="s">
        <v>1947</v>
      </c>
      <c r="P52" s="70" t="s">
        <v>1990</v>
      </c>
      <c r="Q52" s="70" t="s">
        <v>2023</v>
      </c>
      <c r="R52" s="70"/>
      <c r="S52" s="70"/>
      <c r="T52" s="70"/>
      <c r="U52" s="70"/>
      <c r="V52" s="70"/>
      <c r="W52" s="70"/>
      <c r="X52" s="70"/>
      <c r="Y52" s="70"/>
      <c r="Z52" s="70"/>
      <c r="AA52" s="70"/>
      <c r="AB52" s="70"/>
      <c r="AC52" s="70"/>
      <c r="AD52" s="70"/>
      <c r="AE52" s="70"/>
      <c r="AF52" s="70"/>
      <c r="AG52" s="70"/>
      <c r="AH52" s="70"/>
      <c r="AI52" s="70"/>
      <c r="AJ52" s="70"/>
      <c r="AK52" s="70"/>
      <c r="AL52" s="70"/>
      <c r="AM52" s="70"/>
      <c r="AN52" s="70"/>
      <c r="AO52" s="70"/>
      <c r="AP52" s="70"/>
      <c r="AQ52" s="70"/>
      <c r="AR52" s="70"/>
      <c r="AS52" s="70"/>
      <c r="AT52" s="70"/>
      <c r="AU52" s="70"/>
      <c r="AV52" s="70"/>
      <c r="AW52" s="70"/>
      <c r="AX52" s="70"/>
      <c r="AY52" s="70"/>
      <c r="AZ52" s="70"/>
      <c r="BA52" s="70"/>
      <c r="BB52" s="70"/>
      <c r="BC52" s="70"/>
      <c r="BD52" s="70"/>
      <c r="BE52" s="70"/>
      <c r="BF52" s="70"/>
      <c r="BG52" s="70"/>
      <c r="BH52" s="70"/>
      <c r="BI52" s="70"/>
      <c r="BJ52" s="70"/>
      <c r="BK52" s="70"/>
      <c r="BL52" s="70"/>
      <c r="BM52" s="70"/>
      <c r="BN52" s="70"/>
      <c r="BO52" s="70"/>
      <c r="BP52" s="70"/>
      <c r="BQ52" s="70"/>
      <c r="BR52" s="70"/>
      <c r="BS52" s="70"/>
      <c r="BT52" s="70"/>
      <c r="BU52" s="70"/>
      <c r="BV52" s="70"/>
      <c r="BW52" s="70"/>
      <c r="BX52" s="70"/>
      <c r="BY52" s="70"/>
      <c r="BZ52" s="70"/>
      <c r="CA52" s="70"/>
      <c r="CB52" s="70"/>
      <c r="CC52" s="70"/>
      <c r="CD52" s="70"/>
      <c r="CE52" s="70"/>
      <c r="CF52" s="70"/>
      <c r="CG52" s="70"/>
      <c r="CH52" s="70"/>
      <c r="CI52" s="70"/>
      <c r="CJ52" s="70"/>
      <c r="CK52" s="70"/>
      <c r="CL52" s="70"/>
      <c r="CM52" s="70"/>
      <c r="CN52" s="70"/>
      <c r="CO52" s="70"/>
      <c r="CP52" s="70"/>
      <c r="CR52" s="173"/>
    </row>
    <row r="53" spans="1:96" x14ac:dyDescent="0.2">
      <c r="A53" s="59"/>
      <c r="B53" s="66"/>
      <c r="C53" s="66"/>
      <c r="D53" s="66"/>
      <c r="E53" s="59"/>
      <c r="F53" s="59"/>
      <c r="G53" s="59"/>
      <c r="H53" s="59"/>
      <c r="I53" s="59"/>
      <c r="J53" s="59"/>
      <c r="K53" s="59"/>
      <c r="L53" s="68"/>
      <c r="M53" s="63"/>
      <c r="N53" s="59"/>
      <c r="O53" s="69"/>
      <c r="P53" s="70"/>
      <c r="Q53" s="70"/>
      <c r="R53" s="70"/>
      <c r="S53" s="70"/>
      <c r="T53" s="70"/>
      <c r="U53" s="70"/>
      <c r="V53" s="70"/>
      <c r="W53" s="70"/>
      <c r="X53" s="70"/>
      <c r="Y53" s="70"/>
      <c r="Z53" s="70"/>
      <c r="AA53" s="70"/>
      <c r="AB53" s="70"/>
      <c r="AC53" s="70"/>
      <c r="AD53" s="70"/>
      <c r="AE53" s="70"/>
      <c r="AF53" s="70"/>
      <c r="AG53" s="70"/>
      <c r="AH53" s="70"/>
      <c r="AI53" s="70"/>
      <c r="AJ53" s="70"/>
      <c r="AK53" s="70"/>
      <c r="AL53" s="70"/>
      <c r="AM53" s="70"/>
      <c r="AN53" s="70"/>
      <c r="AO53" s="70"/>
      <c r="AP53" s="70"/>
      <c r="AQ53" s="70"/>
      <c r="AR53" s="70"/>
      <c r="AS53" s="70"/>
      <c r="AT53" s="70"/>
      <c r="AU53" s="70"/>
      <c r="AV53" s="70"/>
      <c r="AW53" s="70"/>
      <c r="AX53" s="70"/>
      <c r="AY53" s="70"/>
      <c r="AZ53" s="70"/>
      <c r="BA53" s="70"/>
      <c r="BB53" s="70"/>
      <c r="BC53" s="70"/>
      <c r="BD53" s="70"/>
      <c r="BE53" s="70"/>
      <c r="BF53" s="70"/>
      <c r="BG53" s="70"/>
      <c r="BH53" s="70"/>
      <c r="BI53" s="70"/>
      <c r="BJ53" s="70"/>
      <c r="BK53" s="70"/>
      <c r="BL53" s="70"/>
      <c r="BM53" s="70"/>
      <c r="BN53" s="70"/>
      <c r="BO53" s="70"/>
      <c r="BP53" s="70"/>
      <c r="BQ53" s="70"/>
      <c r="BR53" s="70"/>
      <c r="BS53" s="70"/>
      <c r="BT53" s="70"/>
      <c r="BU53" s="70"/>
      <c r="BV53" s="70"/>
      <c r="BW53" s="70"/>
      <c r="BX53" s="70"/>
      <c r="BY53" s="70"/>
      <c r="BZ53" s="70"/>
      <c r="CA53" s="70"/>
      <c r="CB53" s="70"/>
      <c r="CC53" s="70"/>
      <c r="CD53" s="70"/>
      <c r="CE53" s="70"/>
      <c r="CF53" s="70"/>
      <c r="CG53" s="70"/>
      <c r="CH53" s="70"/>
      <c r="CI53" s="70"/>
      <c r="CJ53" s="70"/>
      <c r="CK53" s="70"/>
      <c r="CL53" s="70"/>
      <c r="CM53" s="70"/>
      <c r="CN53" s="70"/>
      <c r="CO53" s="70"/>
      <c r="CP53" s="70"/>
      <c r="CR53" s="173"/>
    </row>
    <row r="54" spans="1:96" x14ac:dyDescent="0.2">
      <c r="A54" s="59"/>
      <c r="B54" s="66"/>
      <c r="C54" s="66"/>
      <c r="D54" s="66"/>
      <c r="E54" s="59"/>
      <c r="F54" s="59"/>
      <c r="G54" s="59"/>
      <c r="H54" s="59"/>
      <c r="I54" s="59"/>
      <c r="J54" s="59"/>
      <c r="K54" s="59"/>
      <c r="L54" s="68"/>
      <c r="M54" s="63"/>
      <c r="N54" s="59"/>
      <c r="O54" s="69"/>
      <c r="P54" s="70"/>
      <c r="Q54" s="70"/>
      <c r="R54" s="70"/>
      <c r="S54" s="70"/>
      <c r="T54" s="70"/>
      <c r="U54" s="70"/>
      <c r="V54" s="70"/>
      <c r="W54" s="70"/>
      <c r="X54" s="70"/>
      <c r="Y54" s="70"/>
      <c r="Z54" s="70"/>
      <c r="AA54" s="70"/>
      <c r="AB54" s="70"/>
      <c r="AC54" s="70"/>
      <c r="AD54" s="70"/>
      <c r="AE54" s="70"/>
      <c r="AF54" s="70"/>
      <c r="AG54" s="70"/>
      <c r="AH54" s="70"/>
      <c r="AI54" s="70"/>
      <c r="AJ54" s="70"/>
      <c r="AK54" s="70"/>
      <c r="AL54" s="70"/>
      <c r="AM54" s="70"/>
      <c r="AN54" s="70"/>
      <c r="AO54" s="70"/>
      <c r="AP54" s="70"/>
      <c r="AQ54" s="70"/>
      <c r="AR54" s="70"/>
      <c r="AS54" s="70"/>
      <c r="AT54" s="70"/>
      <c r="AU54" s="70"/>
      <c r="AV54" s="70"/>
      <c r="AW54" s="70"/>
      <c r="AX54" s="70"/>
      <c r="AY54" s="70"/>
      <c r="AZ54" s="70"/>
      <c r="BA54" s="70"/>
      <c r="BB54" s="70"/>
      <c r="BC54" s="70"/>
      <c r="BD54" s="70"/>
      <c r="BE54" s="70"/>
      <c r="BF54" s="70"/>
      <c r="BG54" s="70"/>
      <c r="BH54" s="70"/>
      <c r="BI54" s="70"/>
      <c r="BJ54" s="70"/>
      <c r="BK54" s="70"/>
      <c r="BL54" s="70"/>
      <c r="BM54" s="70"/>
      <c r="BN54" s="70"/>
      <c r="BO54" s="70"/>
      <c r="BP54" s="70"/>
      <c r="BQ54" s="70"/>
      <c r="BR54" s="70"/>
      <c r="BS54" s="70"/>
      <c r="BT54" s="70"/>
      <c r="BU54" s="70"/>
      <c r="BV54" s="70"/>
      <c r="BW54" s="70"/>
      <c r="BX54" s="70"/>
      <c r="BY54" s="70"/>
      <c r="BZ54" s="70"/>
      <c r="CA54" s="70"/>
      <c r="CB54" s="70"/>
      <c r="CC54" s="70"/>
      <c r="CD54" s="70"/>
      <c r="CE54" s="70"/>
      <c r="CF54" s="70"/>
      <c r="CG54" s="70"/>
      <c r="CH54" s="70"/>
      <c r="CI54" s="70"/>
      <c r="CJ54" s="70"/>
      <c r="CK54" s="70"/>
      <c r="CL54" s="70"/>
      <c r="CM54" s="70"/>
      <c r="CN54" s="70"/>
      <c r="CO54" s="70"/>
      <c r="CP54" s="70"/>
      <c r="CR54" s="173"/>
    </row>
    <row r="55" spans="1:96" x14ac:dyDescent="0.2">
      <c r="A55" s="59"/>
      <c r="B55" s="66"/>
      <c r="C55" s="66"/>
      <c r="D55" s="66"/>
      <c r="E55" s="59"/>
      <c r="F55" s="59"/>
      <c r="G55" s="59"/>
      <c r="H55" s="59"/>
      <c r="I55" s="59"/>
      <c r="J55" s="59"/>
      <c r="K55" s="59"/>
      <c r="L55" s="68"/>
      <c r="M55" s="63"/>
      <c r="N55" s="59"/>
      <c r="O55" s="69"/>
      <c r="P55" s="70"/>
      <c r="Q55" s="70"/>
      <c r="R55" s="70"/>
      <c r="S55" s="70"/>
      <c r="T55" s="70"/>
      <c r="U55" s="70"/>
      <c r="V55" s="70"/>
      <c r="W55" s="70"/>
      <c r="X55" s="70"/>
      <c r="Y55" s="70"/>
      <c r="Z55" s="70"/>
      <c r="AA55" s="70"/>
      <c r="AB55" s="70"/>
      <c r="AC55" s="70"/>
      <c r="AD55" s="70"/>
      <c r="AE55" s="70"/>
      <c r="AF55" s="70"/>
      <c r="AG55" s="70"/>
      <c r="AH55" s="70"/>
      <c r="AI55" s="70"/>
      <c r="AJ55" s="70"/>
      <c r="AK55" s="70"/>
      <c r="AL55" s="70"/>
      <c r="AM55" s="70"/>
      <c r="AN55" s="70"/>
      <c r="AO55" s="70"/>
      <c r="AP55" s="70"/>
      <c r="AQ55" s="70"/>
      <c r="AR55" s="70"/>
      <c r="AS55" s="70"/>
      <c r="AT55" s="70"/>
      <c r="AU55" s="70"/>
      <c r="AV55" s="70"/>
      <c r="AW55" s="70"/>
      <c r="AX55" s="70"/>
      <c r="AY55" s="70"/>
      <c r="AZ55" s="70"/>
      <c r="BA55" s="70"/>
      <c r="BB55" s="70"/>
      <c r="BC55" s="70"/>
      <c r="BD55" s="70"/>
      <c r="BE55" s="70"/>
      <c r="BF55" s="70"/>
      <c r="BG55" s="70"/>
      <c r="BH55" s="70"/>
      <c r="BI55" s="70"/>
      <c r="BJ55" s="70"/>
      <c r="BK55" s="70"/>
      <c r="BL55" s="70"/>
      <c r="BM55" s="70"/>
      <c r="BN55" s="70"/>
      <c r="BO55" s="70"/>
      <c r="BP55" s="70"/>
      <c r="BQ55" s="70"/>
      <c r="BR55" s="70"/>
      <c r="BS55" s="70"/>
      <c r="BT55" s="70"/>
      <c r="BU55" s="70"/>
      <c r="BV55" s="70"/>
      <c r="BW55" s="70"/>
      <c r="BX55" s="70"/>
      <c r="BY55" s="70"/>
      <c r="BZ55" s="70"/>
      <c r="CA55" s="70"/>
      <c r="CB55" s="70"/>
      <c r="CC55" s="70"/>
      <c r="CD55" s="70"/>
      <c r="CE55" s="70"/>
      <c r="CF55" s="70"/>
      <c r="CG55" s="70"/>
      <c r="CH55" s="70"/>
      <c r="CI55" s="70"/>
      <c r="CJ55" s="70"/>
      <c r="CK55" s="70"/>
      <c r="CL55" s="70"/>
      <c r="CM55" s="70"/>
      <c r="CN55" s="70"/>
      <c r="CO55" s="70"/>
      <c r="CP55" s="70"/>
      <c r="CR55" s="173"/>
    </row>
    <row r="56" spans="1:96" x14ac:dyDescent="0.2">
      <c r="A56" s="59"/>
      <c r="B56" s="66"/>
      <c r="C56" s="66"/>
      <c r="D56" s="66"/>
      <c r="E56" s="59"/>
      <c r="F56" s="59"/>
      <c r="G56" s="59"/>
      <c r="H56" s="59"/>
      <c r="I56" s="59"/>
      <c r="J56" s="59"/>
      <c r="K56" s="59"/>
      <c r="L56" s="68"/>
      <c r="M56" s="63"/>
      <c r="N56" s="59"/>
      <c r="O56" s="69"/>
      <c r="P56" s="70"/>
      <c r="Q56" s="70"/>
      <c r="R56" s="70"/>
      <c r="S56" s="70"/>
      <c r="T56" s="70"/>
      <c r="U56" s="70"/>
      <c r="V56" s="70"/>
      <c r="W56" s="70"/>
      <c r="X56" s="70"/>
      <c r="Y56" s="70"/>
      <c r="Z56" s="70"/>
      <c r="AA56" s="70"/>
      <c r="AB56" s="70"/>
      <c r="AC56" s="70"/>
      <c r="AD56" s="70"/>
      <c r="AE56" s="70"/>
      <c r="AF56" s="70"/>
      <c r="AG56" s="70"/>
      <c r="AH56" s="70"/>
      <c r="AI56" s="70"/>
      <c r="AJ56" s="70"/>
      <c r="AK56" s="70"/>
      <c r="AL56" s="70"/>
      <c r="AM56" s="70"/>
      <c r="AN56" s="70"/>
      <c r="AO56" s="70"/>
      <c r="AP56" s="70"/>
      <c r="AQ56" s="70"/>
      <c r="AR56" s="70"/>
      <c r="AS56" s="70"/>
      <c r="AT56" s="70"/>
      <c r="AU56" s="70"/>
      <c r="AV56" s="70"/>
      <c r="AW56" s="70"/>
      <c r="AX56" s="70"/>
      <c r="AY56" s="70"/>
      <c r="AZ56" s="70"/>
      <c r="BA56" s="70"/>
      <c r="BB56" s="70"/>
      <c r="BC56" s="70"/>
      <c r="BD56" s="70"/>
      <c r="BE56" s="70"/>
      <c r="BF56" s="70"/>
      <c r="BG56" s="70"/>
      <c r="BH56" s="70"/>
      <c r="BI56" s="70"/>
      <c r="BJ56" s="70"/>
      <c r="BK56" s="70"/>
      <c r="BL56" s="70"/>
      <c r="BM56" s="70"/>
      <c r="BN56" s="70"/>
      <c r="BO56" s="70"/>
      <c r="BP56" s="70"/>
      <c r="BQ56" s="70"/>
      <c r="BR56" s="70"/>
      <c r="BS56" s="70"/>
      <c r="BT56" s="70"/>
      <c r="BU56" s="70"/>
      <c r="BV56" s="70"/>
      <c r="BW56" s="70"/>
      <c r="BX56" s="70"/>
      <c r="BY56" s="70"/>
      <c r="BZ56" s="70"/>
      <c r="CA56" s="70"/>
      <c r="CB56" s="70"/>
      <c r="CC56" s="70"/>
      <c r="CD56" s="70"/>
      <c r="CE56" s="70"/>
      <c r="CF56" s="70"/>
      <c r="CG56" s="70"/>
      <c r="CH56" s="70"/>
      <c r="CI56" s="70"/>
      <c r="CJ56" s="70"/>
      <c r="CK56" s="70"/>
      <c r="CL56" s="70"/>
      <c r="CM56" s="70"/>
      <c r="CN56" s="70"/>
      <c r="CO56" s="70"/>
      <c r="CP56" s="70"/>
      <c r="CR56" s="173"/>
    </row>
    <row r="57" spans="1:96" x14ac:dyDescent="0.2">
      <c r="A57" s="59"/>
      <c r="B57" s="66"/>
      <c r="C57" s="66"/>
      <c r="D57" s="66"/>
      <c r="E57" s="59"/>
      <c r="F57" s="59"/>
      <c r="G57" s="59"/>
      <c r="H57" s="59"/>
      <c r="I57" s="59"/>
      <c r="J57" s="59"/>
      <c r="K57" s="59"/>
      <c r="L57" s="68"/>
      <c r="M57" s="63"/>
      <c r="N57" s="59"/>
      <c r="O57" s="69"/>
      <c r="P57" s="70"/>
      <c r="Q57" s="70"/>
      <c r="R57" s="70"/>
      <c r="S57" s="70"/>
      <c r="T57" s="70"/>
      <c r="U57" s="70"/>
      <c r="V57" s="70"/>
      <c r="W57" s="70"/>
      <c r="X57" s="70"/>
      <c r="Y57" s="70"/>
      <c r="Z57" s="70"/>
      <c r="AA57" s="70"/>
      <c r="AB57" s="70"/>
      <c r="AC57" s="70"/>
      <c r="AD57" s="70"/>
      <c r="AE57" s="70"/>
      <c r="AF57" s="70"/>
      <c r="AG57" s="70"/>
      <c r="AH57" s="70"/>
      <c r="AI57" s="70"/>
      <c r="AJ57" s="70"/>
      <c r="AK57" s="70"/>
      <c r="AL57" s="70"/>
      <c r="AM57" s="70"/>
      <c r="AN57" s="70"/>
      <c r="AO57" s="70"/>
      <c r="AP57" s="70"/>
      <c r="AQ57" s="70"/>
      <c r="AR57" s="70"/>
      <c r="AS57" s="70"/>
      <c r="AT57" s="70"/>
      <c r="AU57" s="70"/>
      <c r="AV57" s="70"/>
      <c r="AW57" s="70"/>
      <c r="AX57" s="70"/>
      <c r="AY57" s="70"/>
      <c r="AZ57" s="70"/>
      <c r="BA57" s="70"/>
      <c r="BB57" s="70"/>
      <c r="BC57" s="70"/>
      <c r="BD57" s="70"/>
      <c r="BE57" s="70"/>
      <c r="BF57" s="70"/>
      <c r="BG57" s="70"/>
      <c r="BH57" s="70"/>
      <c r="BI57" s="70"/>
      <c r="BJ57" s="70"/>
      <c r="BK57" s="70"/>
      <c r="BL57" s="70"/>
      <c r="BM57" s="70"/>
      <c r="BN57" s="70"/>
      <c r="BO57" s="70"/>
      <c r="BP57" s="70"/>
      <c r="BQ57" s="70"/>
      <c r="BR57" s="70"/>
      <c r="BS57" s="70"/>
      <c r="BT57" s="70"/>
      <c r="BU57" s="70"/>
      <c r="BV57" s="70"/>
      <c r="BW57" s="70"/>
      <c r="BX57" s="70"/>
      <c r="BY57" s="70"/>
      <c r="BZ57" s="70"/>
      <c r="CA57" s="70"/>
      <c r="CB57" s="70"/>
      <c r="CC57" s="70"/>
      <c r="CD57" s="70"/>
      <c r="CE57" s="70"/>
      <c r="CF57" s="70"/>
      <c r="CG57" s="70"/>
      <c r="CH57" s="70"/>
      <c r="CI57" s="70"/>
      <c r="CJ57" s="70"/>
      <c r="CK57" s="70"/>
      <c r="CL57" s="70"/>
      <c r="CM57" s="70"/>
      <c r="CN57" s="70"/>
      <c r="CO57" s="70"/>
      <c r="CP57" s="70"/>
      <c r="CR57" s="173"/>
    </row>
    <row r="58" spans="1:96" x14ac:dyDescent="0.2">
      <c r="A58" s="59"/>
      <c r="B58" s="66"/>
      <c r="C58" s="66"/>
      <c r="D58" s="66"/>
      <c r="E58" s="59"/>
      <c r="F58" s="59"/>
      <c r="G58" s="59"/>
      <c r="H58" s="59"/>
      <c r="I58" s="59"/>
      <c r="J58" s="59"/>
      <c r="K58" s="59"/>
      <c r="L58" s="68"/>
      <c r="M58" s="63"/>
      <c r="N58" s="59"/>
      <c r="O58" s="69"/>
      <c r="P58" s="70"/>
      <c r="Q58" s="70"/>
      <c r="R58" s="70"/>
      <c r="S58" s="70"/>
      <c r="T58" s="70"/>
      <c r="U58" s="70"/>
      <c r="V58" s="70"/>
      <c r="W58" s="70"/>
      <c r="X58" s="70"/>
      <c r="Y58" s="70"/>
      <c r="Z58" s="70"/>
      <c r="AA58" s="70"/>
      <c r="AB58" s="70"/>
      <c r="AC58" s="70"/>
      <c r="AD58" s="70"/>
      <c r="AE58" s="70"/>
      <c r="AF58" s="70"/>
      <c r="AG58" s="70"/>
      <c r="AH58" s="70"/>
      <c r="AI58" s="70"/>
      <c r="AJ58" s="70"/>
      <c r="AK58" s="70"/>
      <c r="AL58" s="70"/>
      <c r="AM58" s="70"/>
      <c r="AN58" s="70"/>
      <c r="AO58" s="70"/>
      <c r="AP58" s="70"/>
      <c r="AQ58" s="70"/>
      <c r="AR58" s="70"/>
      <c r="AS58" s="70"/>
      <c r="AT58" s="70"/>
      <c r="AU58" s="70"/>
      <c r="AV58" s="70"/>
      <c r="AW58" s="70"/>
      <c r="AX58" s="70"/>
      <c r="AY58" s="70"/>
      <c r="AZ58" s="70"/>
      <c r="BA58" s="70"/>
      <c r="BB58" s="70"/>
      <c r="BC58" s="70"/>
      <c r="BD58" s="70"/>
      <c r="BE58" s="70"/>
      <c r="BF58" s="70"/>
      <c r="BG58" s="70"/>
      <c r="BH58" s="70"/>
      <c r="BI58" s="70"/>
      <c r="BJ58" s="70"/>
      <c r="BK58" s="70"/>
      <c r="BL58" s="70"/>
      <c r="BM58" s="70"/>
      <c r="BN58" s="70"/>
      <c r="BO58" s="70"/>
      <c r="BP58" s="70"/>
      <c r="BQ58" s="70"/>
      <c r="BR58" s="70"/>
      <c r="BS58" s="70"/>
      <c r="BT58" s="70"/>
      <c r="BU58" s="70"/>
      <c r="BV58" s="70"/>
      <c r="BW58" s="70"/>
      <c r="BX58" s="70"/>
      <c r="BY58" s="70"/>
      <c r="BZ58" s="70"/>
      <c r="CA58" s="70"/>
      <c r="CB58" s="70"/>
      <c r="CC58" s="70"/>
      <c r="CD58" s="70"/>
      <c r="CE58" s="70"/>
      <c r="CF58" s="70"/>
      <c r="CG58" s="70"/>
      <c r="CH58" s="70"/>
      <c r="CI58" s="70"/>
      <c r="CJ58" s="70"/>
      <c r="CK58" s="70"/>
      <c r="CL58" s="70"/>
      <c r="CM58" s="70"/>
      <c r="CN58" s="70"/>
      <c r="CO58" s="70"/>
      <c r="CP58" s="70"/>
      <c r="CR58" s="173"/>
    </row>
    <row r="59" spans="1:96" x14ac:dyDescent="0.2">
      <c r="A59" s="59"/>
      <c r="B59" s="66"/>
      <c r="C59" s="66"/>
      <c r="D59" s="66"/>
      <c r="E59" s="59"/>
      <c r="F59" s="59"/>
      <c r="G59" s="59"/>
      <c r="H59" s="59"/>
      <c r="I59" s="59"/>
      <c r="J59" s="59"/>
      <c r="K59" s="59"/>
      <c r="L59" s="68"/>
      <c r="M59" s="63"/>
      <c r="N59" s="59"/>
      <c r="O59" s="69"/>
      <c r="P59" s="70"/>
      <c r="Q59" s="70"/>
      <c r="R59" s="70"/>
      <c r="S59" s="70"/>
      <c r="T59" s="70"/>
      <c r="U59" s="70"/>
      <c r="V59" s="70"/>
      <c r="W59" s="70"/>
      <c r="X59" s="70"/>
      <c r="Y59" s="70"/>
      <c r="Z59" s="70"/>
      <c r="AA59" s="70"/>
      <c r="AB59" s="70"/>
      <c r="AC59" s="70"/>
      <c r="AD59" s="70"/>
      <c r="AE59" s="70"/>
      <c r="AF59" s="70"/>
      <c r="AG59" s="70"/>
      <c r="AH59" s="70"/>
      <c r="AI59" s="70"/>
      <c r="AJ59" s="70"/>
      <c r="AK59" s="70"/>
      <c r="AL59" s="70"/>
      <c r="AM59" s="70"/>
      <c r="AN59" s="70"/>
      <c r="AO59" s="70"/>
      <c r="AP59" s="70"/>
      <c r="AQ59" s="70"/>
      <c r="AR59" s="70"/>
      <c r="AS59" s="70"/>
      <c r="AT59" s="70"/>
      <c r="AU59" s="70"/>
      <c r="AV59" s="70"/>
      <c r="AW59" s="70"/>
      <c r="AX59" s="70"/>
      <c r="AY59" s="70"/>
      <c r="AZ59" s="70"/>
      <c r="BA59" s="70"/>
      <c r="BB59" s="70"/>
      <c r="BC59" s="70"/>
      <c r="BD59" s="70"/>
      <c r="BE59" s="70"/>
      <c r="BF59" s="70"/>
      <c r="BG59" s="70"/>
      <c r="BH59" s="70"/>
      <c r="BI59" s="70"/>
      <c r="BJ59" s="70"/>
      <c r="BK59" s="70"/>
      <c r="BL59" s="70"/>
      <c r="BM59" s="70"/>
      <c r="BN59" s="70"/>
      <c r="BO59" s="70"/>
      <c r="BP59" s="70"/>
      <c r="BQ59" s="70"/>
      <c r="BR59" s="70"/>
      <c r="BS59" s="70"/>
      <c r="BT59" s="70"/>
      <c r="BU59" s="70"/>
      <c r="BV59" s="70"/>
      <c r="BW59" s="70"/>
      <c r="BX59" s="70"/>
      <c r="BY59" s="70"/>
      <c r="BZ59" s="70"/>
      <c r="CA59" s="70"/>
      <c r="CB59" s="70"/>
      <c r="CC59" s="70"/>
      <c r="CD59" s="70"/>
      <c r="CE59" s="70"/>
      <c r="CF59" s="70"/>
      <c r="CG59" s="70"/>
      <c r="CH59" s="70"/>
      <c r="CI59" s="70"/>
      <c r="CJ59" s="70"/>
      <c r="CK59" s="70"/>
      <c r="CL59" s="70"/>
      <c r="CM59" s="70"/>
      <c r="CN59" s="70"/>
      <c r="CO59" s="70"/>
      <c r="CP59" s="70"/>
      <c r="CR59" s="173"/>
    </row>
    <row r="60" spans="1:96" x14ac:dyDescent="0.2">
      <c r="A60" s="59"/>
      <c r="B60" s="66"/>
      <c r="C60" s="66"/>
      <c r="D60" s="66"/>
      <c r="E60" s="59"/>
      <c r="F60" s="59"/>
      <c r="G60" s="59"/>
      <c r="H60" s="59"/>
      <c r="I60" s="59"/>
      <c r="J60" s="59"/>
      <c r="K60" s="59"/>
      <c r="L60" s="68"/>
      <c r="M60" s="63"/>
      <c r="N60" s="59"/>
      <c r="O60" s="69"/>
      <c r="P60" s="70"/>
      <c r="Q60" s="70"/>
      <c r="R60" s="70"/>
      <c r="S60" s="70"/>
      <c r="T60" s="70"/>
      <c r="U60" s="70"/>
      <c r="V60" s="70"/>
      <c r="W60" s="70"/>
      <c r="X60" s="70"/>
      <c r="Y60" s="70"/>
      <c r="Z60" s="70"/>
      <c r="AA60" s="70"/>
      <c r="AB60" s="70"/>
      <c r="AC60" s="70"/>
      <c r="AD60" s="70"/>
      <c r="AE60" s="70"/>
      <c r="AF60" s="70"/>
      <c r="AG60" s="70"/>
      <c r="AH60" s="70"/>
      <c r="AI60" s="70"/>
      <c r="AJ60" s="70"/>
      <c r="AK60" s="70"/>
      <c r="AL60" s="70"/>
      <c r="AM60" s="70"/>
      <c r="AN60" s="70"/>
      <c r="AO60" s="70"/>
      <c r="AP60" s="70"/>
      <c r="AQ60" s="70"/>
      <c r="AR60" s="70"/>
      <c r="AS60" s="70"/>
      <c r="AT60" s="70"/>
      <c r="AU60" s="70"/>
      <c r="AV60" s="70"/>
      <c r="AW60" s="70"/>
      <c r="AX60" s="70"/>
      <c r="AY60" s="70"/>
      <c r="AZ60" s="70"/>
      <c r="BA60" s="70"/>
      <c r="BB60" s="70"/>
      <c r="BC60" s="70"/>
      <c r="BD60" s="70"/>
      <c r="BE60" s="70"/>
      <c r="BF60" s="70"/>
      <c r="BG60" s="70"/>
      <c r="BH60" s="70"/>
      <c r="BI60" s="70"/>
      <c r="BJ60" s="70"/>
      <c r="BK60" s="70"/>
      <c r="BL60" s="70"/>
      <c r="BM60" s="70"/>
      <c r="BN60" s="70"/>
      <c r="BO60" s="70"/>
      <c r="BP60" s="70"/>
      <c r="BQ60" s="70"/>
      <c r="BR60" s="70"/>
      <c r="BS60" s="70"/>
      <c r="BT60" s="70"/>
      <c r="BU60" s="70"/>
      <c r="BV60" s="70"/>
      <c r="BW60" s="70"/>
      <c r="BX60" s="70"/>
      <c r="BY60" s="70"/>
      <c r="BZ60" s="70"/>
      <c r="CA60" s="70"/>
      <c r="CB60" s="70"/>
      <c r="CC60" s="70"/>
      <c r="CD60" s="70"/>
      <c r="CE60" s="70"/>
      <c r="CF60" s="70"/>
      <c r="CG60" s="70"/>
      <c r="CH60" s="70"/>
      <c r="CI60" s="70"/>
      <c r="CJ60" s="70"/>
      <c r="CK60" s="70"/>
      <c r="CL60" s="70"/>
      <c r="CM60" s="70"/>
      <c r="CN60" s="70"/>
      <c r="CO60" s="70"/>
      <c r="CP60" s="70"/>
      <c r="CR60" s="173"/>
    </row>
    <row r="61" spans="1:96" x14ac:dyDescent="0.2">
      <c r="A61" s="59"/>
      <c r="B61" s="66"/>
      <c r="C61" s="66"/>
      <c r="D61" s="66"/>
      <c r="E61" s="59"/>
      <c r="F61" s="59"/>
      <c r="G61" s="59"/>
      <c r="H61" s="59"/>
      <c r="I61" s="59"/>
      <c r="J61" s="59"/>
      <c r="K61" s="59"/>
      <c r="L61" s="68"/>
      <c r="M61" s="63"/>
      <c r="N61" s="59"/>
      <c r="O61" s="69"/>
      <c r="P61" s="70"/>
      <c r="Q61" s="70"/>
      <c r="R61" s="70"/>
      <c r="S61" s="70"/>
      <c r="T61" s="70"/>
      <c r="U61" s="70"/>
      <c r="V61" s="70"/>
      <c r="W61" s="70"/>
      <c r="X61" s="70"/>
      <c r="Y61" s="70"/>
      <c r="Z61" s="70"/>
      <c r="AA61" s="70"/>
      <c r="AB61" s="70"/>
      <c r="AC61" s="70"/>
      <c r="AD61" s="70"/>
      <c r="AE61" s="70"/>
      <c r="AF61" s="70"/>
      <c r="AG61" s="70"/>
      <c r="AH61" s="70"/>
      <c r="AI61" s="70"/>
      <c r="AJ61" s="70"/>
      <c r="AK61" s="70"/>
      <c r="AL61" s="70"/>
      <c r="AM61" s="70"/>
      <c r="AN61" s="70"/>
      <c r="AO61" s="70"/>
      <c r="AP61" s="70"/>
      <c r="AQ61" s="70"/>
      <c r="AR61" s="70"/>
      <c r="AS61" s="70"/>
      <c r="AT61" s="70"/>
      <c r="AU61" s="70"/>
      <c r="AV61" s="70"/>
      <c r="AW61" s="70"/>
      <c r="AX61" s="70"/>
      <c r="AY61" s="70"/>
      <c r="AZ61" s="70"/>
      <c r="BA61" s="70"/>
      <c r="BB61" s="70"/>
      <c r="BC61" s="70"/>
      <c r="BD61" s="70"/>
      <c r="BE61" s="70"/>
      <c r="BF61" s="70"/>
      <c r="BG61" s="70"/>
      <c r="BH61" s="70"/>
      <c r="BI61" s="70"/>
      <c r="BJ61" s="70"/>
      <c r="BK61" s="70"/>
      <c r="BL61" s="70"/>
      <c r="BM61" s="70"/>
      <c r="BN61" s="70"/>
      <c r="BO61" s="70"/>
      <c r="BP61" s="70"/>
      <c r="BQ61" s="70"/>
      <c r="BR61" s="70"/>
      <c r="BS61" s="70"/>
      <c r="BT61" s="70"/>
      <c r="BU61" s="70"/>
      <c r="BV61" s="70"/>
      <c r="BW61" s="70"/>
      <c r="BX61" s="70"/>
      <c r="BY61" s="70"/>
      <c r="BZ61" s="70"/>
      <c r="CA61" s="70"/>
      <c r="CB61" s="70"/>
      <c r="CC61" s="70"/>
      <c r="CD61" s="70"/>
      <c r="CE61" s="70"/>
      <c r="CF61" s="70"/>
      <c r="CG61" s="70"/>
      <c r="CH61" s="70"/>
      <c r="CI61" s="70"/>
      <c r="CJ61" s="70"/>
      <c r="CK61" s="70"/>
      <c r="CL61" s="70"/>
      <c r="CM61" s="70"/>
      <c r="CN61" s="70"/>
      <c r="CO61" s="70"/>
      <c r="CP61" s="70"/>
      <c r="CR61" s="173"/>
    </row>
    <row r="62" spans="1:96" x14ac:dyDescent="0.2">
      <c r="A62" s="59"/>
      <c r="B62" s="66"/>
      <c r="C62" s="66"/>
      <c r="D62" s="66"/>
      <c r="E62" s="59"/>
      <c r="F62" s="59"/>
      <c r="G62" s="59"/>
      <c r="H62" s="59"/>
      <c r="I62" s="59"/>
      <c r="J62" s="59"/>
      <c r="K62" s="59"/>
      <c r="L62" s="68"/>
      <c r="M62" s="63"/>
      <c r="N62" s="59"/>
      <c r="O62" s="69"/>
      <c r="P62" s="70"/>
      <c r="Q62" s="70"/>
      <c r="R62" s="70"/>
      <c r="S62" s="70"/>
      <c r="T62" s="70"/>
      <c r="U62" s="70"/>
      <c r="V62" s="70"/>
      <c r="W62" s="70"/>
      <c r="X62" s="70"/>
      <c r="Y62" s="70"/>
      <c r="Z62" s="70"/>
      <c r="AA62" s="70"/>
      <c r="AB62" s="70"/>
      <c r="AC62" s="70"/>
      <c r="AD62" s="70"/>
      <c r="AE62" s="70"/>
      <c r="AF62" s="70"/>
      <c r="AG62" s="70"/>
      <c r="AH62" s="70"/>
      <c r="AI62" s="70"/>
      <c r="AJ62" s="70"/>
      <c r="AK62" s="70"/>
      <c r="AL62" s="70"/>
      <c r="AM62" s="70"/>
      <c r="AN62" s="70"/>
      <c r="AO62" s="70"/>
      <c r="AP62" s="70"/>
      <c r="AQ62" s="70"/>
      <c r="AR62" s="70"/>
      <c r="AS62" s="70"/>
      <c r="AT62" s="70"/>
      <c r="AU62" s="70"/>
      <c r="AV62" s="70"/>
      <c r="AW62" s="70"/>
      <c r="AX62" s="70"/>
      <c r="AY62" s="70"/>
      <c r="AZ62" s="70"/>
      <c r="BA62" s="70"/>
      <c r="BB62" s="70"/>
      <c r="BC62" s="70"/>
      <c r="BD62" s="70"/>
      <c r="BE62" s="70"/>
      <c r="BF62" s="70"/>
      <c r="BG62" s="70"/>
      <c r="BH62" s="70"/>
      <c r="BI62" s="70"/>
      <c r="BJ62" s="70"/>
      <c r="BK62" s="70"/>
      <c r="BL62" s="70"/>
      <c r="BM62" s="70"/>
      <c r="BN62" s="70"/>
      <c r="BO62" s="70"/>
      <c r="BP62" s="70"/>
      <c r="BQ62" s="70"/>
      <c r="BR62" s="70"/>
      <c r="BS62" s="70"/>
      <c r="BT62" s="70"/>
      <c r="BU62" s="70"/>
      <c r="BV62" s="70"/>
      <c r="BW62" s="70"/>
      <c r="BX62" s="70"/>
      <c r="BY62" s="70"/>
      <c r="BZ62" s="70"/>
      <c r="CA62" s="70"/>
      <c r="CB62" s="70"/>
      <c r="CC62" s="70"/>
      <c r="CD62" s="70"/>
      <c r="CE62" s="70"/>
      <c r="CF62" s="70"/>
      <c r="CG62" s="70"/>
      <c r="CH62" s="70"/>
      <c r="CI62" s="70"/>
      <c r="CJ62" s="70"/>
      <c r="CK62" s="70"/>
      <c r="CL62" s="70"/>
      <c r="CM62" s="70"/>
      <c r="CN62" s="70"/>
      <c r="CO62" s="70"/>
      <c r="CP62" s="70"/>
      <c r="CR62" s="173"/>
    </row>
    <row r="63" spans="1:96" x14ac:dyDescent="0.2">
      <c r="A63" s="59"/>
      <c r="B63" s="66"/>
      <c r="C63" s="66"/>
      <c r="D63" s="66"/>
      <c r="E63" s="59"/>
      <c r="F63" s="59"/>
      <c r="G63" s="59"/>
      <c r="H63" s="59"/>
      <c r="I63" s="59"/>
      <c r="J63" s="59"/>
      <c r="K63" s="59"/>
      <c r="L63" s="68"/>
      <c r="M63" s="63"/>
      <c r="N63" s="59"/>
      <c r="O63" s="69"/>
      <c r="P63" s="70"/>
      <c r="Q63" s="70"/>
      <c r="R63" s="70"/>
      <c r="S63" s="70"/>
      <c r="T63" s="70"/>
      <c r="U63" s="70"/>
      <c r="V63" s="70"/>
      <c r="W63" s="70"/>
      <c r="X63" s="70"/>
      <c r="Y63" s="70"/>
      <c r="Z63" s="70"/>
      <c r="AA63" s="70"/>
      <c r="AB63" s="70"/>
      <c r="AC63" s="70"/>
      <c r="AD63" s="70"/>
      <c r="AE63" s="70"/>
      <c r="AF63" s="70"/>
      <c r="AG63" s="70"/>
      <c r="AH63" s="70"/>
      <c r="AI63" s="70"/>
      <c r="AJ63" s="70"/>
      <c r="AK63" s="70"/>
      <c r="AL63" s="70"/>
      <c r="AM63" s="70"/>
      <c r="AN63" s="70"/>
      <c r="AO63" s="70"/>
      <c r="AP63" s="70"/>
      <c r="AQ63" s="70"/>
      <c r="AR63" s="70"/>
      <c r="AS63" s="70"/>
      <c r="AT63" s="70"/>
      <c r="AU63" s="70"/>
      <c r="AV63" s="70"/>
      <c r="AW63" s="70"/>
      <c r="AX63" s="70"/>
      <c r="AY63" s="70"/>
      <c r="AZ63" s="70"/>
      <c r="BA63" s="70"/>
      <c r="BB63" s="70"/>
      <c r="BC63" s="70"/>
      <c r="BD63" s="70"/>
      <c r="BE63" s="70"/>
      <c r="BF63" s="70"/>
      <c r="BG63" s="70"/>
      <c r="BH63" s="70"/>
      <c r="BI63" s="70"/>
      <c r="BJ63" s="70"/>
      <c r="BK63" s="70"/>
      <c r="BL63" s="70"/>
      <c r="BM63" s="70"/>
      <c r="BN63" s="70"/>
      <c r="BO63" s="70"/>
      <c r="BP63" s="70"/>
      <c r="BQ63" s="70"/>
      <c r="BR63" s="70"/>
      <c r="BS63" s="70"/>
      <c r="BT63" s="70"/>
      <c r="BU63" s="70"/>
      <c r="BV63" s="70"/>
      <c r="BW63" s="70"/>
      <c r="BX63" s="70"/>
      <c r="BY63" s="70"/>
      <c r="BZ63" s="70"/>
      <c r="CA63" s="70"/>
      <c r="CB63" s="70"/>
      <c r="CC63" s="70"/>
      <c r="CD63" s="70"/>
      <c r="CE63" s="70"/>
      <c r="CF63" s="70"/>
      <c r="CG63" s="70"/>
      <c r="CH63" s="70"/>
      <c r="CI63" s="70"/>
      <c r="CJ63" s="70"/>
      <c r="CK63" s="70"/>
      <c r="CL63" s="70"/>
      <c r="CM63" s="70"/>
      <c r="CN63" s="70"/>
      <c r="CO63" s="70"/>
      <c r="CP63" s="70"/>
      <c r="CR63" s="173"/>
    </row>
    <row r="64" spans="1:96" x14ac:dyDescent="0.2">
      <c r="A64" s="59"/>
      <c r="B64" s="66"/>
      <c r="C64" s="66"/>
      <c r="D64" s="66"/>
      <c r="E64" s="59"/>
      <c r="F64" s="59"/>
      <c r="G64" s="59"/>
      <c r="H64" s="59"/>
      <c r="I64" s="59"/>
      <c r="J64" s="59"/>
      <c r="K64" s="59"/>
      <c r="L64" s="68"/>
      <c r="M64" s="63"/>
      <c r="N64" s="59"/>
      <c r="O64" s="69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70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70"/>
      <c r="AQ64" s="70"/>
      <c r="AR64" s="70"/>
      <c r="AS64" s="70"/>
      <c r="AT64" s="70"/>
      <c r="AU64" s="70"/>
      <c r="AV64" s="70"/>
      <c r="AW64" s="70"/>
      <c r="AX64" s="70"/>
      <c r="AY64" s="70"/>
      <c r="AZ64" s="70"/>
      <c r="BA64" s="70"/>
      <c r="BB64" s="70"/>
      <c r="BC64" s="70"/>
      <c r="BD64" s="70"/>
      <c r="BE64" s="70"/>
      <c r="BF64" s="70"/>
      <c r="BG64" s="70"/>
      <c r="BH64" s="70"/>
      <c r="BI64" s="70"/>
      <c r="BJ64" s="70"/>
      <c r="BK64" s="70"/>
      <c r="BL64" s="70"/>
      <c r="BM64" s="70"/>
      <c r="BN64" s="70"/>
      <c r="BO64" s="70"/>
      <c r="BP64" s="70"/>
      <c r="BQ64" s="70"/>
      <c r="BR64" s="70"/>
      <c r="BS64" s="70"/>
      <c r="BT64" s="70"/>
      <c r="BU64" s="70"/>
      <c r="BV64" s="70"/>
      <c r="BW64" s="70"/>
      <c r="BX64" s="70"/>
      <c r="BY64" s="70"/>
      <c r="BZ64" s="70"/>
      <c r="CA64" s="70"/>
      <c r="CB64" s="70"/>
      <c r="CC64" s="70"/>
      <c r="CD64" s="70"/>
      <c r="CE64" s="70"/>
      <c r="CF64" s="70"/>
      <c r="CG64" s="70"/>
      <c r="CH64" s="70"/>
      <c r="CI64" s="70"/>
      <c r="CJ64" s="70"/>
      <c r="CK64" s="70"/>
      <c r="CL64" s="70"/>
      <c r="CM64" s="70"/>
      <c r="CN64" s="70"/>
      <c r="CO64" s="70"/>
      <c r="CP64" s="70"/>
      <c r="CR64" s="173"/>
    </row>
    <row r="65" spans="1:122" x14ac:dyDescent="0.2">
      <c r="A65" s="59"/>
      <c r="B65" s="66"/>
      <c r="C65" s="66"/>
      <c r="D65" s="66"/>
      <c r="E65" s="59"/>
      <c r="F65" s="59"/>
      <c r="G65" s="59"/>
      <c r="H65" s="59"/>
      <c r="I65" s="59"/>
      <c r="J65" s="59"/>
      <c r="K65" s="59"/>
      <c r="L65" s="68"/>
      <c r="M65" s="63"/>
      <c r="N65" s="59"/>
      <c r="O65" s="69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70"/>
      <c r="AQ65" s="70"/>
      <c r="AR65" s="70"/>
      <c r="AS65" s="70"/>
      <c r="AT65" s="70"/>
      <c r="AU65" s="70"/>
      <c r="AV65" s="70"/>
      <c r="AW65" s="70"/>
      <c r="AX65" s="70"/>
      <c r="AY65" s="70"/>
      <c r="AZ65" s="70"/>
      <c r="BA65" s="70"/>
      <c r="BB65" s="70"/>
      <c r="BC65" s="70"/>
      <c r="BD65" s="70"/>
      <c r="BE65" s="70"/>
      <c r="BF65" s="70"/>
      <c r="BG65" s="70"/>
      <c r="BH65" s="70"/>
      <c r="BI65" s="70"/>
      <c r="BJ65" s="70"/>
      <c r="BK65" s="70"/>
      <c r="BL65" s="70"/>
      <c r="BM65" s="70"/>
      <c r="BN65" s="70"/>
      <c r="BO65" s="70"/>
      <c r="BP65" s="70"/>
      <c r="BQ65" s="70"/>
      <c r="BR65" s="70"/>
      <c r="BS65" s="70"/>
      <c r="BT65" s="70"/>
      <c r="BU65" s="70"/>
      <c r="BV65" s="70"/>
      <c r="BW65" s="70"/>
      <c r="BX65" s="70"/>
      <c r="BY65" s="70"/>
      <c r="BZ65" s="70"/>
      <c r="CA65" s="70"/>
      <c r="CB65" s="70"/>
      <c r="CC65" s="70"/>
      <c r="CD65" s="70"/>
      <c r="CE65" s="70"/>
      <c r="CF65" s="70"/>
      <c r="CG65" s="70"/>
      <c r="CH65" s="70"/>
      <c r="CI65" s="70"/>
      <c r="CJ65" s="70"/>
      <c r="CK65" s="70"/>
      <c r="CL65" s="70"/>
      <c r="CM65" s="70"/>
      <c r="CN65" s="70"/>
      <c r="CO65" s="70"/>
      <c r="CP65" s="70"/>
      <c r="CR65" s="173"/>
    </row>
    <row r="66" spans="1:122" x14ac:dyDescent="0.2">
      <c r="A66" s="59"/>
      <c r="B66" s="66"/>
      <c r="C66" s="66"/>
      <c r="D66" s="66"/>
      <c r="E66" s="59"/>
      <c r="F66" s="59"/>
      <c r="G66" s="59"/>
      <c r="H66" s="59"/>
      <c r="I66" s="59"/>
      <c r="J66" s="59"/>
      <c r="K66" s="59"/>
      <c r="L66" s="68"/>
      <c r="M66" s="63"/>
      <c r="N66" s="59"/>
      <c r="O66" s="69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70"/>
      <c r="AQ66" s="70"/>
      <c r="AR66" s="70"/>
      <c r="AS66" s="70"/>
      <c r="AT66" s="70"/>
      <c r="AU66" s="70"/>
      <c r="AV66" s="70"/>
      <c r="AW66" s="70"/>
      <c r="AX66" s="70"/>
      <c r="AY66" s="70"/>
      <c r="AZ66" s="70"/>
      <c r="BA66" s="70"/>
      <c r="BB66" s="70"/>
      <c r="BC66" s="70"/>
      <c r="BD66" s="70"/>
      <c r="BE66" s="70"/>
      <c r="BF66" s="70"/>
      <c r="BG66" s="70"/>
      <c r="BH66" s="70"/>
      <c r="BI66" s="70"/>
      <c r="BJ66" s="70"/>
      <c r="BK66" s="70"/>
      <c r="BL66" s="70"/>
      <c r="BM66" s="70"/>
      <c r="BN66" s="70"/>
      <c r="BO66" s="70"/>
      <c r="BP66" s="70"/>
      <c r="BQ66" s="70"/>
      <c r="BR66" s="70"/>
      <c r="BS66" s="70"/>
      <c r="BT66" s="70"/>
      <c r="BU66" s="70"/>
      <c r="BV66" s="70"/>
      <c r="BW66" s="70"/>
      <c r="BX66" s="70"/>
      <c r="BY66" s="70"/>
      <c r="BZ66" s="70"/>
      <c r="CA66" s="70"/>
      <c r="CB66" s="70"/>
      <c r="CC66" s="70"/>
      <c r="CD66" s="70"/>
      <c r="CE66" s="70"/>
      <c r="CF66" s="70"/>
      <c r="CG66" s="70"/>
      <c r="CH66" s="70"/>
      <c r="CI66" s="70"/>
      <c r="CJ66" s="70"/>
      <c r="CK66" s="70"/>
      <c r="CL66" s="70"/>
      <c r="CM66" s="70"/>
      <c r="CN66" s="70"/>
      <c r="CO66" s="70"/>
      <c r="CP66" s="70"/>
      <c r="CR66" s="173"/>
    </row>
    <row r="67" spans="1:122" x14ac:dyDescent="0.2">
      <c r="A67" s="59"/>
      <c r="B67" s="66"/>
      <c r="C67" s="66"/>
      <c r="D67" s="66"/>
      <c r="E67" s="59"/>
      <c r="F67" s="59"/>
      <c r="G67" s="59"/>
      <c r="H67" s="59"/>
      <c r="I67" s="59"/>
      <c r="J67" s="59"/>
      <c r="K67" s="59"/>
      <c r="L67" s="68"/>
      <c r="M67" s="63"/>
      <c r="N67" s="59"/>
      <c r="O67" s="69"/>
      <c r="P67" s="70"/>
      <c r="Q67" s="70"/>
      <c r="R67" s="70"/>
      <c r="S67" s="70"/>
      <c r="T67" s="70"/>
      <c r="U67" s="70"/>
      <c r="V67" s="70"/>
      <c r="W67" s="70"/>
      <c r="X67" s="70"/>
      <c r="Y67" s="70"/>
      <c r="Z67" s="70"/>
      <c r="AA67" s="70"/>
      <c r="AB67" s="70"/>
      <c r="AC67" s="70"/>
      <c r="AD67" s="70"/>
      <c r="AE67" s="70"/>
      <c r="AF67" s="70"/>
      <c r="AG67" s="70"/>
      <c r="AH67" s="70"/>
      <c r="AI67" s="70"/>
      <c r="AJ67" s="70"/>
      <c r="AK67" s="70"/>
      <c r="AL67" s="70"/>
      <c r="AM67" s="70"/>
      <c r="AN67" s="70"/>
      <c r="AO67" s="70"/>
      <c r="AP67" s="70"/>
      <c r="AQ67" s="70"/>
      <c r="AR67" s="70"/>
      <c r="AS67" s="70"/>
      <c r="AT67" s="70"/>
      <c r="AU67" s="70"/>
      <c r="AV67" s="70"/>
      <c r="AW67" s="70"/>
      <c r="AX67" s="70"/>
      <c r="AY67" s="70"/>
      <c r="AZ67" s="70"/>
      <c r="BA67" s="70"/>
      <c r="BB67" s="70"/>
      <c r="BC67" s="70"/>
      <c r="BD67" s="70"/>
      <c r="BE67" s="70"/>
      <c r="BF67" s="70"/>
      <c r="BG67" s="70"/>
      <c r="BH67" s="70"/>
      <c r="BI67" s="70"/>
      <c r="BJ67" s="70"/>
      <c r="BK67" s="70"/>
      <c r="BL67" s="70"/>
      <c r="BM67" s="70"/>
      <c r="BN67" s="70"/>
      <c r="BO67" s="70"/>
      <c r="BP67" s="70"/>
      <c r="BQ67" s="70"/>
      <c r="BR67" s="70"/>
      <c r="BS67" s="70"/>
      <c r="BT67" s="70"/>
      <c r="BU67" s="70"/>
      <c r="BV67" s="70"/>
      <c r="BW67" s="70"/>
      <c r="BX67" s="70"/>
      <c r="BY67" s="70"/>
      <c r="BZ67" s="70"/>
      <c r="CA67" s="70"/>
      <c r="CB67" s="70"/>
      <c r="CC67" s="70"/>
      <c r="CD67" s="70"/>
      <c r="CE67" s="70"/>
      <c r="CF67" s="70"/>
      <c r="CG67" s="70"/>
      <c r="CH67" s="70"/>
      <c r="CI67" s="70"/>
      <c r="CJ67" s="70"/>
      <c r="CK67" s="70"/>
      <c r="CL67" s="70"/>
      <c r="CM67" s="70"/>
      <c r="CN67" s="70"/>
      <c r="CO67" s="70"/>
      <c r="CP67" s="70"/>
      <c r="CR67" s="173"/>
    </row>
    <row r="68" spans="1:122" x14ac:dyDescent="0.2">
      <c r="A68" s="59"/>
      <c r="B68" s="66"/>
      <c r="C68" s="66"/>
      <c r="D68" s="66"/>
      <c r="E68" s="59"/>
      <c r="F68" s="59"/>
      <c r="G68" s="59"/>
      <c r="H68" s="59"/>
      <c r="I68" s="59"/>
      <c r="J68" s="59"/>
      <c r="K68" s="59"/>
      <c r="L68" s="68"/>
      <c r="M68" s="63"/>
      <c r="N68" s="59"/>
      <c r="O68" s="69"/>
      <c r="P68" s="70"/>
      <c r="Q68" s="70"/>
      <c r="R68" s="70"/>
      <c r="S68" s="70"/>
      <c r="T68" s="70"/>
      <c r="U68" s="70"/>
      <c r="V68" s="70"/>
      <c r="W68" s="70"/>
      <c r="X68" s="70"/>
      <c r="Y68" s="70"/>
      <c r="Z68" s="70"/>
      <c r="AA68" s="70"/>
      <c r="AB68" s="70"/>
      <c r="AC68" s="70"/>
      <c r="AD68" s="70"/>
      <c r="AE68" s="70"/>
      <c r="AF68" s="70"/>
      <c r="AG68" s="70"/>
      <c r="AH68" s="70"/>
      <c r="AI68" s="70"/>
      <c r="AJ68" s="70"/>
      <c r="AK68" s="70"/>
      <c r="AL68" s="70"/>
      <c r="AM68" s="70"/>
      <c r="AN68" s="70"/>
      <c r="AO68" s="70"/>
      <c r="AP68" s="70"/>
      <c r="AQ68" s="70"/>
      <c r="AR68" s="70"/>
      <c r="AS68" s="70"/>
      <c r="AT68" s="70"/>
      <c r="AU68" s="70"/>
      <c r="AV68" s="70"/>
      <c r="AW68" s="70"/>
      <c r="AX68" s="70"/>
      <c r="AY68" s="70"/>
      <c r="AZ68" s="70"/>
      <c r="BA68" s="70"/>
      <c r="BB68" s="70"/>
      <c r="BC68" s="70"/>
      <c r="BD68" s="70"/>
      <c r="BE68" s="70"/>
      <c r="BF68" s="70"/>
      <c r="BG68" s="70"/>
      <c r="BH68" s="70"/>
      <c r="BI68" s="70"/>
      <c r="BJ68" s="70"/>
      <c r="BK68" s="70"/>
      <c r="BL68" s="70"/>
      <c r="BM68" s="70"/>
      <c r="BN68" s="70"/>
      <c r="BO68" s="70"/>
      <c r="BP68" s="70"/>
      <c r="BQ68" s="70"/>
      <c r="BR68" s="70"/>
      <c r="BS68" s="70"/>
      <c r="BT68" s="70"/>
      <c r="BU68" s="70"/>
      <c r="BV68" s="70"/>
      <c r="BW68" s="70"/>
      <c r="BX68" s="70"/>
      <c r="BY68" s="70"/>
      <c r="BZ68" s="70"/>
      <c r="CA68" s="70"/>
      <c r="CB68" s="70"/>
      <c r="CC68" s="70"/>
      <c r="CD68" s="70"/>
      <c r="CE68" s="70"/>
      <c r="CF68" s="70"/>
      <c r="CG68" s="70"/>
      <c r="CH68" s="70"/>
      <c r="CI68" s="70"/>
      <c r="CJ68" s="70"/>
      <c r="CK68" s="70"/>
      <c r="CL68" s="70"/>
      <c r="CM68" s="70"/>
      <c r="CN68" s="70"/>
      <c r="CO68" s="70"/>
      <c r="CP68" s="70"/>
      <c r="CR68" s="173"/>
    </row>
    <row r="69" spans="1:122" x14ac:dyDescent="0.2">
      <c r="A69" s="72"/>
      <c r="B69" s="98"/>
      <c r="C69" s="98"/>
      <c r="D69" s="98"/>
      <c r="E69" s="72"/>
      <c r="F69" s="72"/>
      <c r="G69" s="72"/>
      <c r="H69" s="72"/>
      <c r="I69" s="72"/>
      <c r="J69" s="72"/>
      <c r="K69" s="72"/>
      <c r="L69" s="73"/>
      <c r="M69" s="74"/>
      <c r="N69" s="72"/>
      <c r="O69" s="99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100"/>
      <c r="AC69" s="100"/>
      <c r="AD69" s="100"/>
      <c r="AE69" s="100"/>
      <c r="AF69" s="100"/>
      <c r="AG69" s="100"/>
      <c r="AH69" s="100"/>
      <c r="AI69" s="100"/>
      <c r="AJ69" s="100"/>
      <c r="AK69" s="100"/>
      <c r="AL69" s="100"/>
      <c r="AM69" s="100"/>
      <c r="AN69" s="100"/>
      <c r="AO69" s="100"/>
      <c r="AP69" s="100"/>
      <c r="AQ69" s="100"/>
      <c r="AR69" s="100"/>
      <c r="AS69" s="100"/>
      <c r="AT69" s="100"/>
      <c r="AU69" s="100"/>
      <c r="AV69" s="100"/>
      <c r="AW69" s="100"/>
      <c r="AX69" s="100"/>
      <c r="AY69" s="100"/>
      <c r="AZ69" s="100"/>
      <c r="BA69" s="100"/>
      <c r="BB69" s="100"/>
      <c r="BC69" s="100"/>
      <c r="BD69" s="100"/>
      <c r="BE69" s="100"/>
      <c r="BF69" s="100"/>
      <c r="BG69" s="100"/>
      <c r="BH69" s="100"/>
      <c r="BI69" s="100"/>
      <c r="BJ69" s="100"/>
      <c r="BK69" s="100"/>
      <c r="BL69" s="100"/>
      <c r="BM69" s="100"/>
      <c r="BN69" s="100"/>
      <c r="BO69" s="100"/>
      <c r="BP69" s="100"/>
      <c r="BQ69" s="100"/>
      <c r="BR69" s="100"/>
      <c r="BS69" s="100"/>
      <c r="BT69" s="100"/>
      <c r="BU69" s="100"/>
      <c r="BV69" s="100"/>
      <c r="BW69" s="100"/>
      <c r="BX69" s="100"/>
      <c r="BY69" s="100"/>
      <c r="BZ69" s="100"/>
      <c r="CA69" s="100"/>
      <c r="CB69" s="100"/>
      <c r="CC69" s="100"/>
      <c r="CD69" s="100"/>
      <c r="CE69" s="100"/>
      <c r="CF69" s="100"/>
      <c r="CG69" s="100"/>
      <c r="CH69" s="100"/>
      <c r="CI69" s="100"/>
      <c r="CJ69" s="100"/>
      <c r="CK69" s="100"/>
      <c r="CL69" s="100"/>
      <c r="CM69" s="100"/>
      <c r="CN69" s="100"/>
      <c r="CO69" s="100"/>
      <c r="CP69" s="100"/>
      <c r="CR69" s="174"/>
    </row>
    <row r="70" spans="1:122" x14ac:dyDescent="0.2">
      <c r="A70" s="21"/>
      <c r="B70" s="20"/>
      <c r="C70" s="20"/>
      <c r="D70" s="20"/>
      <c r="E70" s="21"/>
      <c r="F70" s="21"/>
      <c r="G70" s="21"/>
      <c r="H70" s="21"/>
      <c r="I70" s="21"/>
      <c r="J70" s="21"/>
      <c r="K70" s="21"/>
      <c r="L70" s="22"/>
      <c r="M70" s="22"/>
      <c r="N70" s="21"/>
      <c r="O70" s="21"/>
      <c r="P70" s="21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21"/>
      <c r="BE70" s="21"/>
      <c r="BF70" s="21"/>
      <c r="BG70" s="21"/>
      <c r="BH70" s="21"/>
      <c r="BI70" s="21"/>
      <c r="BJ70" s="21"/>
      <c r="BK70" s="21"/>
      <c r="BL70" s="21"/>
      <c r="BM70" s="21"/>
      <c r="BN70" s="21"/>
      <c r="BO70" s="21"/>
      <c r="BP70" s="21"/>
      <c r="BQ70" s="21"/>
      <c r="BR70" s="21"/>
      <c r="BS70" s="21"/>
      <c r="BT70" s="21"/>
      <c r="BU70" s="21"/>
      <c r="BV70" s="21"/>
      <c r="BW70" s="21"/>
      <c r="BX70" s="21"/>
      <c r="BY70" s="21"/>
      <c r="BZ70" s="21"/>
      <c r="CA70" s="21"/>
      <c r="CB70" s="21"/>
      <c r="CC70" s="21"/>
      <c r="CD70" s="21"/>
      <c r="CE70" s="21"/>
      <c r="CF70" s="21"/>
      <c r="CG70" s="21"/>
      <c r="CH70" s="21"/>
      <c r="CI70" s="21"/>
      <c r="CJ70" s="21"/>
      <c r="CK70" s="21"/>
      <c r="CL70" s="21"/>
      <c r="CM70" s="21"/>
      <c r="CN70" s="21"/>
      <c r="CO70" s="21"/>
      <c r="CP70" s="21"/>
      <c r="CR70" s="21"/>
      <c r="CS70" s="187"/>
      <c r="CT70" s="187"/>
      <c r="CU70" s="187"/>
      <c r="CV70" s="187"/>
      <c r="CW70" s="187"/>
      <c r="CX70" s="187"/>
      <c r="CY70" s="187"/>
      <c r="CZ70" s="187"/>
      <c r="DA70" s="187"/>
      <c r="DB70" s="187"/>
      <c r="DC70" s="187"/>
      <c r="DD70" s="187"/>
      <c r="DE70" s="187"/>
      <c r="DF70" s="187"/>
      <c r="DG70" s="187"/>
      <c r="DH70" s="187"/>
      <c r="DI70" s="187"/>
      <c r="DJ70" s="187"/>
      <c r="DK70" s="187"/>
      <c r="DL70" s="187"/>
      <c r="DM70" s="187"/>
      <c r="DN70" s="187"/>
      <c r="DO70" s="187"/>
      <c r="DP70" s="187"/>
      <c r="DQ70" s="187"/>
      <c r="DR70" s="187"/>
    </row>
    <row r="71" spans="1:122" ht="27" customHeight="1" x14ac:dyDescent="0.2">
      <c r="A71" s="19" t="s">
        <v>44</v>
      </c>
      <c r="B71" s="76"/>
      <c r="C71" s="76"/>
      <c r="D71" s="76"/>
      <c r="E71" s="75"/>
      <c r="F71" s="21"/>
      <c r="G71" s="21"/>
      <c r="H71" s="21"/>
      <c r="I71" s="21"/>
      <c r="J71" s="21"/>
      <c r="K71" s="21"/>
      <c r="L71" s="77"/>
      <c r="M71" s="77"/>
      <c r="N71" s="75"/>
      <c r="O71" s="34" t="s">
        <v>62</v>
      </c>
      <c r="P71" s="75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21"/>
      <c r="BE71" s="21"/>
      <c r="BF71" s="21"/>
      <c r="BG71" s="21"/>
      <c r="BH71" s="21"/>
      <c r="BI71" s="21"/>
      <c r="BJ71" s="21"/>
      <c r="BK71" s="21"/>
      <c r="BL71" s="21"/>
      <c r="BM71" s="21"/>
      <c r="BN71" s="21"/>
      <c r="BO71" s="21"/>
      <c r="BP71" s="21"/>
      <c r="BQ71" s="21"/>
      <c r="BR71" s="21"/>
      <c r="BS71" s="21"/>
      <c r="BT71" s="21"/>
      <c r="BU71" s="21"/>
      <c r="BV71" s="21"/>
      <c r="BW71" s="21"/>
      <c r="BX71" s="21"/>
      <c r="BY71" s="21"/>
      <c r="BZ71" s="21"/>
      <c r="CA71" s="21"/>
      <c r="CB71" s="21"/>
      <c r="CC71" s="21"/>
      <c r="CD71" s="21"/>
      <c r="CE71" s="21"/>
      <c r="CF71" s="21"/>
      <c r="CG71" s="21"/>
      <c r="CH71" s="21"/>
      <c r="CI71" s="21"/>
      <c r="CJ71" s="21"/>
      <c r="CK71" s="21"/>
      <c r="CL71" s="21"/>
      <c r="CM71" s="21"/>
      <c r="CN71" s="21"/>
      <c r="CO71" s="21"/>
      <c r="CP71" s="21"/>
      <c r="CR71" s="21"/>
      <c r="CS71" s="187"/>
      <c r="CT71" s="187"/>
      <c r="CU71" s="187"/>
      <c r="CV71" s="187"/>
      <c r="CW71" s="187"/>
      <c r="CX71" s="187"/>
      <c r="CY71" s="187"/>
      <c r="CZ71" s="187"/>
      <c r="DA71" s="187"/>
      <c r="DB71" s="187"/>
      <c r="DC71" s="187"/>
      <c r="DD71" s="187"/>
      <c r="DE71" s="187"/>
      <c r="DF71" s="187"/>
      <c r="DG71" s="187"/>
      <c r="DH71" s="187"/>
      <c r="DI71" s="187"/>
      <c r="DJ71" s="187"/>
      <c r="DK71" s="187"/>
      <c r="DL71" s="187"/>
      <c r="DM71" s="187"/>
      <c r="DN71" s="187"/>
      <c r="DO71" s="187"/>
      <c r="DP71" s="187"/>
      <c r="DQ71" s="187"/>
      <c r="DR71" s="187"/>
    </row>
    <row r="72" spans="1:122" x14ac:dyDescent="0.2">
      <c r="A72" s="78"/>
      <c r="B72" s="79"/>
      <c r="C72" s="79"/>
      <c r="D72" s="79"/>
      <c r="E72" s="80"/>
      <c r="F72" s="80"/>
      <c r="G72" s="80"/>
      <c r="H72" s="80"/>
      <c r="I72" s="80"/>
      <c r="J72" s="80"/>
      <c r="K72" s="80"/>
      <c r="L72" s="81"/>
      <c r="M72" s="81"/>
      <c r="N72" s="82"/>
      <c r="O72" s="83">
        <v>1</v>
      </c>
      <c r="P72" s="83">
        <v>2</v>
      </c>
      <c r="Q72" s="83">
        <v>3</v>
      </c>
      <c r="R72" s="83">
        <v>4</v>
      </c>
      <c r="S72" s="83">
        <v>5</v>
      </c>
      <c r="T72" s="83">
        <v>6</v>
      </c>
      <c r="U72" s="83">
        <v>7</v>
      </c>
      <c r="V72" s="83">
        <v>8</v>
      </c>
      <c r="W72" s="83">
        <v>9</v>
      </c>
      <c r="X72" s="83">
        <v>10</v>
      </c>
      <c r="Y72" s="83">
        <v>11</v>
      </c>
      <c r="Z72" s="83">
        <v>12</v>
      </c>
      <c r="AA72" s="83">
        <v>13</v>
      </c>
      <c r="AB72" s="83">
        <v>14</v>
      </c>
      <c r="AC72" s="83">
        <v>15</v>
      </c>
      <c r="AD72" s="83">
        <v>16</v>
      </c>
      <c r="AE72" s="83">
        <v>17</v>
      </c>
      <c r="AF72" s="83">
        <v>18</v>
      </c>
      <c r="AG72" s="83">
        <v>19</v>
      </c>
      <c r="AH72" s="83">
        <v>20</v>
      </c>
      <c r="AI72" s="83">
        <v>21</v>
      </c>
      <c r="AJ72" s="83">
        <v>22</v>
      </c>
      <c r="AK72" s="83">
        <v>23</v>
      </c>
      <c r="AL72" s="83">
        <v>24</v>
      </c>
      <c r="AM72" s="83">
        <v>25</v>
      </c>
      <c r="AN72" s="83">
        <v>26</v>
      </c>
      <c r="AO72" s="83">
        <v>27</v>
      </c>
      <c r="AP72" s="83">
        <v>28</v>
      </c>
      <c r="AQ72" s="83">
        <v>29</v>
      </c>
      <c r="AR72" s="83">
        <v>30</v>
      </c>
      <c r="AS72" s="83">
        <v>31</v>
      </c>
      <c r="AT72" s="83">
        <v>32</v>
      </c>
      <c r="AU72" s="83">
        <v>33</v>
      </c>
      <c r="AV72" s="83">
        <v>34</v>
      </c>
      <c r="AW72" s="83">
        <v>35</v>
      </c>
      <c r="AX72" s="83">
        <v>36</v>
      </c>
      <c r="AY72" s="83">
        <v>37</v>
      </c>
      <c r="AZ72" s="83">
        <v>38</v>
      </c>
      <c r="BA72" s="83">
        <v>39</v>
      </c>
      <c r="BB72" s="83">
        <v>40</v>
      </c>
      <c r="BC72" s="83">
        <v>41</v>
      </c>
      <c r="BD72" s="83">
        <v>42</v>
      </c>
      <c r="BE72" s="83">
        <v>43</v>
      </c>
      <c r="BF72" s="83">
        <v>44</v>
      </c>
      <c r="BG72" s="83">
        <v>45</v>
      </c>
      <c r="BH72" s="83">
        <v>46</v>
      </c>
      <c r="BI72" s="83">
        <v>47</v>
      </c>
      <c r="BJ72" s="83">
        <v>48</v>
      </c>
      <c r="BK72" s="83">
        <v>49</v>
      </c>
      <c r="BL72" s="83">
        <v>50</v>
      </c>
      <c r="BM72" s="83">
        <v>51</v>
      </c>
      <c r="BN72" s="83">
        <v>52</v>
      </c>
      <c r="BO72" s="83">
        <v>53</v>
      </c>
      <c r="BP72" s="83">
        <v>54</v>
      </c>
      <c r="BQ72" s="83">
        <v>55</v>
      </c>
      <c r="BR72" s="83">
        <v>56</v>
      </c>
      <c r="BS72" s="83">
        <v>57</v>
      </c>
      <c r="BT72" s="83">
        <v>58</v>
      </c>
      <c r="BU72" s="83">
        <v>59</v>
      </c>
      <c r="BV72" s="83">
        <v>60</v>
      </c>
      <c r="BW72" s="83">
        <v>61</v>
      </c>
      <c r="BX72" s="83">
        <v>62</v>
      </c>
      <c r="BY72" s="83">
        <v>63</v>
      </c>
      <c r="BZ72" s="83">
        <v>64</v>
      </c>
      <c r="CA72" s="83">
        <v>65</v>
      </c>
      <c r="CB72" s="83">
        <v>66</v>
      </c>
      <c r="CC72" s="83">
        <v>67</v>
      </c>
      <c r="CD72" s="83">
        <v>68</v>
      </c>
      <c r="CE72" s="83">
        <v>69</v>
      </c>
      <c r="CF72" s="83">
        <v>70</v>
      </c>
      <c r="CG72" s="83">
        <v>71</v>
      </c>
      <c r="CH72" s="83">
        <v>72</v>
      </c>
      <c r="CI72" s="83">
        <v>73</v>
      </c>
      <c r="CJ72" s="83">
        <v>74</v>
      </c>
      <c r="CK72" s="83">
        <v>75</v>
      </c>
      <c r="CL72" s="83">
        <v>76</v>
      </c>
      <c r="CM72" s="83">
        <v>77</v>
      </c>
      <c r="CN72" s="83">
        <v>78</v>
      </c>
      <c r="CO72" s="83">
        <v>79</v>
      </c>
      <c r="CP72" s="83">
        <v>80</v>
      </c>
      <c r="CR72" s="177" t="s">
        <v>168</v>
      </c>
      <c r="CS72" s="188" t="s">
        <v>169</v>
      </c>
      <c r="CT72" s="188" t="s">
        <v>170</v>
      </c>
      <c r="CU72" s="189" t="s">
        <v>169</v>
      </c>
      <c r="CV72" s="189" t="s">
        <v>170</v>
      </c>
      <c r="CW72" s="188" t="s">
        <v>169</v>
      </c>
      <c r="CX72" s="188" t="s">
        <v>170</v>
      </c>
      <c r="CY72" s="189" t="s">
        <v>169</v>
      </c>
      <c r="CZ72" s="189" t="s">
        <v>170</v>
      </c>
      <c r="DA72" s="188" t="s">
        <v>169</v>
      </c>
      <c r="DB72" s="188" t="s">
        <v>170</v>
      </c>
      <c r="DC72" s="189" t="s">
        <v>169</v>
      </c>
      <c r="DD72" s="189" t="s">
        <v>170</v>
      </c>
      <c r="DE72" s="188" t="s">
        <v>169</v>
      </c>
      <c r="DF72" s="188" t="s">
        <v>170</v>
      </c>
      <c r="DG72" s="189" t="s">
        <v>169</v>
      </c>
      <c r="DH72" s="189" t="s">
        <v>170</v>
      </c>
      <c r="DI72" s="188" t="s">
        <v>169</v>
      </c>
      <c r="DJ72" s="188" t="s">
        <v>170</v>
      </c>
      <c r="DK72" s="189" t="s">
        <v>169</v>
      </c>
      <c r="DL72" s="189" t="s">
        <v>170</v>
      </c>
      <c r="DM72" s="188" t="s">
        <v>169</v>
      </c>
      <c r="DN72" s="188" t="s">
        <v>170</v>
      </c>
      <c r="DO72" s="189" t="s">
        <v>169</v>
      </c>
      <c r="DP72" s="189" t="s">
        <v>170</v>
      </c>
      <c r="DQ72" s="188" t="s">
        <v>169</v>
      </c>
      <c r="DR72" s="188" t="s">
        <v>170</v>
      </c>
    </row>
    <row r="73" spans="1:122" x14ac:dyDescent="0.2">
      <c r="A73" s="84"/>
      <c r="B73" s="85"/>
      <c r="C73" s="85"/>
      <c r="D73" s="85"/>
      <c r="E73" s="86"/>
      <c r="F73" s="86"/>
      <c r="G73" s="86"/>
      <c r="H73" s="86"/>
      <c r="I73" s="86"/>
      <c r="J73" s="86"/>
      <c r="K73" s="86"/>
      <c r="L73" s="87"/>
      <c r="M73" s="87"/>
      <c r="N73" s="105" t="s">
        <v>80</v>
      </c>
      <c r="O73" s="102"/>
      <c r="P73" s="102"/>
      <c r="Q73" s="102"/>
      <c r="R73" s="102"/>
      <c r="S73" s="102"/>
      <c r="T73" s="102"/>
      <c r="U73" s="102"/>
      <c r="V73" s="102"/>
      <c r="W73" s="102"/>
      <c r="X73" s="102"/>
      <c r="Y73" s="102"/>
      <c r="Z73" s="102"/>
      <c r="AA73" s="102"/>
      <c r="AB73" s="102"/>
      <c r="AC73" s="102"/>
      <c r="AD73" s="102"/>
      <c r="AE73" s="102"/>
      <c r="AF73" s="102"/>
      <c r="AG73" s="102"/>
      <c r="AH73" s="102"/>
      <c r="AI73" s="102"/>
      <c r="AJ73" s="102"/>
      <c r="AK73" s="102"/>
      <c r="AL73" s="102"/>
      <c r="AM73" s="102"/>
      <c r="AN73" s="102"/>
      <c r="AO73" s="102"/>
      <c r="AP73" s="102"/>
      <c r="AQ73" s="102"/>
      <c r="AR73" s="102"/>
      <c r="AS73" s="102"/>
      <c r="AT73" s="102"/>
      <c r="AU73" s="102"/>
      <c r="AV73" s="102"/>
      <c r="AW73" s="102"/>
      <c r="AX73" s="102"/>
      <c r="AY73" s="102"/>
      <c r="AZ73" s="102"/>
      <c r="BA73" s="102"/>
      <c r="BB73" s="102"/>
      <c r="BC73" s="102"/>
      <c r="BD73" s="102"/>
      <c r="BE73" s="102"/>
      <c r="BF73" s="102"/>
      <c r="BG73" s="102"/>
      <c r="BH73" s="102"/>
      <c r="BI73" s="102"/>
      <c r="BJ73" s="102"/>
      <c r="BK73" s="102"/>
      <c r="BL73" s="102"/>
      <c r="BM73" s="102"/>
      <c r="BN73" s="102"/>
      <c r="BO73" s="102"/>
      <c r="BP73" s="102"/>
      <c r="BQ73" s="102"/>
      <c r="BR73" s="102"/>
      <c r="BS73" s="102"/>
      <c r="BT73" s="102"/>
      <c r="BU73" s="102"/>
      <c r="BV73" s="102"/>
      <c r="BW73" s="102"/>
      <c r="BX73" s="102"/>
      <c r="BY73" s="102"/>
      <c r="BZ73" s="102"/>
      <c r="CA73" s="102"/>
      <c r="CB73" s="102"/>
      <c r="CC73" s="102"/>
      <c r="CD73" s="102"/>
      <c r="CE73" s="102"/>
      <c r="CF73" s="102"/>
      <c r="CG73" s="102"/>
      <c r="CH73" s="102"/>
      <c r="CI73" s="102"/>
      <c r="CJ73" s="102"/>
      <c r="CK73" s="102"/>
      <c r="CL73" s="102"/>
      <c r="CM73" s="102"/>
      <c r="CN73" s="102"/>
      <c r="CO73" s="102"/>
      <c r="CP73" s="102"/>
    </row>
    <row r="74" spans="1:122" x14ac:dyDescent="0.2">
      <c r="A74" s="84"/>
      <c r="B74" s="85"/>
      <c r="C74" s="85"/>
      <c r="D74" s="85"/>
      <c r="E74" s="86"/>
      <c r="F74" s="86"/>
      <c r="G74" s="86"/>
      <c r="H74" s="86"/>
      <c r="I74" s="86"/>
      <c r="J74" s="86"/>
      <c r="K74" s="86"/>
      <c r="L74" s="87"/>
      <c r="M74" s="87"/>
      <c r="N74" s="88" t="s">
        <v>131</v>
      </c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  <c r="AA74" s="47"/>
      <c r="AB74" s="47"/>
      <c r="AC74" s="47"/>
      <c r="AD74" s="47"/>
      <c r="AE74" s="47"/>
      <c r="AF74" s="47"/>
      <c r="AG74" s="47"/>
      <c r="AH74" s="47"/>
      <c r="AI74" s="47"/>
      <c r="AJ74" s="47"/>
      <c r="AK74" s="47"/>
      <c r="AL74" s="47"/>
      <c r="AM74" s="47"/>
      <c r="AN74" s="47"/>
      <c r="AO74" s="47"/>
      <c r="AP74" s="47"/>
      <c r="AQ74" s="47"/>
      <c r="AR74" s="47"/>
      <c r="AS74" s="47"/>
      <c r="AT74" s="47"/>
      <c r="AU74" s="47"/>
      <c r="AV74" s="47"/>
      <c r="AW74" s="47"/>
      <c r="AX74" s="47"/>
      <c r="AY74" s="47"/>
      <c r="AZ74" s="47"/>
      <c r="BA74" s="47"/>
      <c r="BB74" s="47"/>
      <c r="BC74" s="47"/>
      <c r="BD74" s="47"/>
      <c r="BE74" s="47"/>
      <c r="BF74" s="47"/>
      <c r="BG74" s="47"/>
      <c r="BH74" s="47"/>
      <c r="BI74" s="47"/>
      <c r="BJ74" s="47"/>
      <c r="BK74" s="47"/>
      <c r="BL74" s="47"/>
      <c r="BM74" s="47"/>
      <c r="BN74" s="47"/>
      <c r="BO74" s="47"/>
      <c r="BP74" s="47"/>
      <c r="BQ74" s="47"/>
      <c r="BR74" s="47"/>
      <c r="BS74" s="47"/>
      <c r="BT74" s="47"/>
      <c r="BU74" s="47"/>
      <c r="BV74" s="47"/>
      <c r="BW74" s="47"/>
      <c r="BX74" s="47"/>
      <c r="BY74" s="47"/>
      <c r="BZ74" s="47"/>
      <c r="CA74" s="47"/>
      <c r="CB74" s="47"/>
      <c r="CC74" s="47"/>
      <c r="CD74" s="47"/>
      <c r="CE74" s="47"/>
      <c r="CF74" s="47"/>
      <c r="CG74" s="47"/>
      <c r="CH74" s="47"/>
      <c r="CI74" s="47"/>
      <c r="CJ74" s="47"/>
      <c r="CK74" s="47"/>
      <c r="CL74" s="47"/>
      <c r="CM74" s="47"/>
      <c r="CN74" s="47"/>
      <c r="CO74" s="47"/>
      <c r="CP74" s="47"/>
    </row>
    <row r="75" spans="1:122" x14ac:dyDescent="0.2">
      <c r="A75" s="84"/>
      <c r="B75" s="85"/>
      <c r="C75" s="85"/>
      <c r="D75" s="85"/>
      <c r="E75" s="86"/>
      <c r="F75" s="86"/>
      <c r="G75" s="86"/>
      <c r="H75" s="86"/>
      <c r="I75" s="86"/>
      <c r="J75" s="86"/>
      <c r="K75" s="86"/>
      <c r="L75" s="87"/>
      <c r="M75" s="87"/>
      <c r="N75" s="88" t="s">
        <v>52</v>
      </c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  <c r="AA75" s="47"/>
      <c r="AB75" s="47"/>
      <c r="AC75" s="47"/>
      <c r="AD75" s="47"/>
      <c r="AE75" s="47"/>
      <c r="AF75" s="47"/>
      <c r="AG75" s="47"/>
      <c r="AH75" s="47"/>
      <c r="AI75" s="47"/>
      <c r="AJ75" s="47"/>
      <c r="AK75" s="47"/>
      <c r="AL75" s="47"/>
      <c r="AM75" s="47"/>
      <c r="AN75" s="47"/>
      <c r="AO75" s="47"/>
      <c r="AP75" s="47"/>
      <c r="AQ75" s="47"/>
      <c r="AR75" s="47"/>
      <c r="AS75" s="47"/>
      <c r="AT75" s="47"/>
      <c r="AU75" s="47"/>
      <c r="AV75" s="47"/>
      <c r="AW75" s="47"/>
      <c r="AX75" s="47"/>
      <c r="AY75" s="47"/>
      <c r="AZ75" s="47"/>
      <c r="BA75" s="47"/>
      <c r="BB75" s="47"/>
      <c r="BC75" s="47"/>
      <c r="BD75" s="47"/>
      <c r="BE75" s="47"/>
      <c r="BF75" s="47"/>
      <c r="BG75" s="47"/>
      <c r="BH75" s="47"/>
      <c r="BI75" s="47"/>
      <c r="BJ75" s="47"/>
      <c r="BK75" s="47"/>
      <c r="BL75" s="47"/>
      <c r="BM75" s="47"/>
      <c r="BN75" s="47"/>
      <c r="BO75" s="47"/>
      <c r="BP75" s="47"/>
      <c r="BQ75" s="47"/>
      <c r="BR75" s="47"/>
      <c r="BS75" s="47"/>
      <c r="BT75" s="47"/>
      <c r="BU75" s="47"/>
      <c r="BV75" s="47"/>
      <c r="BW75" s="47"/>
      <c r="BX75" s="47"/>
      <c r="BY75" s="47"/>
      <c r="BZ75" s="47"/>
      <c r="CA75" s="47"/>
      <c r="CB75" s="47"/>
      <c r="CC75" s="47"/>
      <c r="CD75" s="47"/>
      <c r="CE75" s="47"/>
      <c r="CF75" s="47"/>
      <c r="CG75" s="47"/>
      <c r="CH75" s="47"/>
      <c r="CI75" s="47"/>
      <c r="CJ75" s="47"/>
      <c r="CK75" s="47"/>
      <c r="CL75" s="47"/>
      <c r="CM75" s="47"/>
      <c r="CN75" s="47"/>
      <c r="CO75" s="47"/>
      <c r="CP75" s="47"/>
    </row>
    <row r="76" spans="1:122" x14ac:dyDescent="0.2">
      <c r="A76" s="89"/>
      <c r="B76" s="90"/>
      <c r="C76" s="90"/>
      <c r="D76" s="90"/>
      <c r="E76" s="88"/>
      <c r="F76" s="88"/>
      <c r="G76" s="88"/>
      <c r="H76" s="88"/>
      <c r="I76" s="88"/>
      <c r="J76" s="88"/>
      <c r="K76" s="88"/>
      <c r="L76" s="91"/>
      <c r="M76" s="91"/>
      <c r="N76" s="88" t="s">
        <v>53</v>
      </c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/>
      <c r="AB76" s="52"/>
      <c r="AC76" s="52"/>
      <c r="AD76" s="52"/>
      <c r="AE76" s="52"/>
      <c r="AF76" s="52"/>
      <c r="AG76" s="52"/>
      <c r="AH76" s="52"/>
      <c r="AI76" s="52"/>
      <c r="AJ76" s="52"/>
      <c r="AK76" s="52"/>
      <c r="AL76" s="52"/>
      <c r="AM76" s="52"/>
      <c r="AN76" s="52"/>
      <c r="AO76" s="52"/>
      <c r="AP76" s="52"/>
      <c r="AQ76" s="52"/>
      <c r="AR76" s="52"/>
      <c r="AS76" s="52"/>
      <c r="AT76" s="52"/>
      <c r="AU76" s="52"/>
      <c r="AV76" s="52"/>
      <c r="AW76" s="52"/>
      <c r="AX76" s="52"/>
      <c r="AY76" s="52"/>
      <c r="AZ76" s="52"/>
      <c r="BA76" s="52"/>
      <c r="BB76" s="52"/>
      <c r="BC76" s="52"/>
      <c r="BD76" s="52"/>
      <c r="BE76" s="52"/>
      <c r="BF76" s="52"/>
      <c r="BG76" s="52"/>
      <c r="BH76" s="52"/>
      <c r="BI76" s="52"/>
      <c r="BJ76" s="52"/>
      <c r="BK76" s="52"/>
      <c r="BL76" s="52"/>
      <c r="BM76" s="52"/>
      <c r="BN76" s="52"/>
      <c r="BO76" s="52"/>
      <c r="BP76" s="52"/>
      <c r="BQ76" s="52"/>
      <c r="BR76" s="52"/>
      <c r="BS76" s="52"/>
      <c r="BT76" s="52"/>
      <c r="BU76" s="52"/>
      <c r="BV76" s="52"/>
      <c r="BW76" s="52"/>
      <c r="BX76" s="52"/>
      <c r="BY76" s="52"/>
      <c r="BZ76" s="52"/>
      <c r="CA76" s="52"/>
      <c r="CB76" s="52"/>
      <c r="CC76" s="52"/>
      <c r="CD76" s="52"/>
      <c r="CE76" s="52"/>
      <c r="CF76" s="52"/>
      <c r="CG76" s="52"/>
      <c r="CH76" s="52"/>
      <c r="CI76" s="52"/>
      <c r="CJ76" s="52"/>
      <c r="CK76" s="52"/>
      <c r="CL76" s="52"/>
      <c r="CM76" s="52"/>
      <c r="CN76" s="52"/>
      <c r="CO76" s="52"/>
      <c r="CP76" s="52"/>
      <c r="CR76" s="178" t="s">
        <v>171</v>
      </c>
      <c r="CS76" s="186"/>
      <c r="CT76" s="186"/>
      <c r="CU76" s="186"/>
      <c r="CV76" s="186"/>
      <c r="CW76" s="186"/>
      <c r="CX76" s="186"/>
      <c r="CY76" s="186"/>
      <c r="CZ76" s="186"/>
      <c r="DA76" s="186"/>
      <c r="DB76" s="186"/>
      <c r="DC76" s="186"/>
      <c r="DD76" s="186"/>
      <c r="DE76" s="186"/>
      <c r="DF76" s="186"/>
      <c r="DG76" s="186"/>
      <c r="DH76" s="186"/>
      <c r="DI76" s="186"/>
      <c r="DJ76" s="186"/>
      <c r="DK76" s="186"/>
      <c r="DL76" s="186"/>
      <c r="DM76" s="186"/>
      <c r="DN76" s="186"/>
      <c r="DO76" s="186"/>
      <c r="DP76" s="186"/>
      <c r="DQ76" s="186"/>
      <c r="DR76" s="186"/>
    </row>
    <row r="77" spans="1:122" ht="39.65" customHeight="1" x14ac:dyDescent="0.2">
      <c r="A77" s="92" t="s">
        <v>63</v>
      </c>
      <c r="B77" s="93" t="s">
        <v>55</v>
      </c>
      <c r="C77" s="93" t="s">
        <v>56</v>
      </c>
      <c r="D77" s="93" t="s">
        <v>57</v>
      </c>
      <c r="E77" s="93" t="s">
        <v>58</v>
      </c>
      <c r="F77" s="94" t="s">
        <v>59</v>
      </c>
      <c r="G77" s="94" t="s">
        <v>59</v>
      </c>
      <c r="H77" s="94" t="s">
        <v>59</v>
      </c>
      <c r="I77" s="94" t="s">
        <v>59</v>
      </c>
      <c r="J77" s="94" t="s">
        <v>59</v>
      </c>
      <c r="K77" s="94" t="s">
        <v>59</v>
      </c>
      <c r="L77" s="56" t="s">
        <v>2</v>
      </c>
      <c r="M77" s="56" t="s">
        <v>60</v>
      </c>
      <c r="N77" s="95" t="s">
        <v>61</v>
      </c>
      <c r="O77" s="58"/>
      <c r="P77" s="58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8"/>
      <c r="AG77" s="58"/>
      <c r="AH77" s="58"/>
      <c r="AI77" s="58"/>
      <c r="AJ77" s="58"/>
      <c r="AK77" s="58"/>
      <c r="AL77" s="58"/>
      <c r="AM77" s="58"/>
      <c r="AN77" s="58"/>
      <c r="AO77" s="58"/>
      <c r="AP77" s="58"/>
      <c r="AQ77" s="58"/>
      <c r="AR77" s="58"/>
      <c r="AS77" s="58"/>
      <c r="AT77" s="58"/>
      <c r="AU77" s="58"/>
      <c r="AV77" s="58"/>
      <c r="AW77" s="58"/>
      <c r="AX77" s="58"/>
      <c r="AY77" s="58"/>
      <c r="AZ77" s="58"/>
      <c r="BA77" s="58"/>
      <c r="BB77" s="58"/>
      <c r="BC77" s="58"/>
      <c r="BD77" s="58"/>
      <c r="BE77" s="58"/>
      <c r="BF77" s="58"/>
      <c r="BG77" s="58"/>
      <c r="BH77" s="58"/>
      <c r="BI77" s="58"/>
      <c r="BJ77" s="58"/>
      <c r="BK77" s="58"/>
      <c r="BL77" s="58"/>
      <c r="BM77" s="58"/>
      <c r="BN77" s="58"/>
      <c r="BO77" s="58"/>
      <c r="BP77" s="58"/>
      <c r="BQ77" s="58"/>
      <c r="BR77" s="58"/>
      <c r="BS77" s="58"/>
      <c r="BT77" s="58"/>
      <c r="BU77" s="58"/>
      <c r="BV77" s="58"/>
      <c r="BW77" s="58"/>
      <c r="BX77" s="58"/>
      <c r="BY77" s="58"/>
      <c r="BZ77" s="58"/>
      <c r="CA77" s="58"/>
      <c r="CB77" s="58"/>
      <c r="CC77" s="58"/>
      <c r="CD77" s="58"/>
      <c r="CE77" s="58"/>
      <c r="CF77" s="58"/>
      <c r="CG77" s="58"/>
      <c r="CH77" s="58"/>
      <c r="CI77" s="58"/>
      <c r="CJ77" s="58"/>
      <c r="CK77" s="58"/>
      <c r="CL77" s="58"/>
      <c r="CM77" s="58"/>
      <c r="CN77" s="58"/>
      <c r="CO77" s="58"/>
      <c r="CP77" s="58"/>
    </row>
    <row r="78" spans="1:122" x14ac:dyDescent="0.2">
      <c r="A78" s="59"/>
      <c r="B78" s="60"/>
      <c r="C78" s="60"/>
      <c r="D78" s="60"/>
      <c r="E78" s="61"/>
      <c r="F78" s="114"/>
      <c r="G78" s="114"/>
      <c r="H78" s="114"/>
      <c r="I78" s="114"/>
      <c r="J78" s="114"/>
      <c r="K78" s="114"/>
      <c r="L78" s="68"/>
      <c r="M78" s="63"/>
      <c r="N78" s="61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  <c r="CJ78" s="65"/>
      <c r="CK78" s="65"/>
      <c r="CL78" s="65"/>
      <c r="CM78" s="65"/>
      <c r="CN78" s="65"/>
      <c r="CO78" s="65"/>
      <c r="CP78" s="65"/>
      <c r="CR78" s="179" t="s">
        <v>172</v>
      </c>
    </row>
    <row r="79" spans="1:122" x14ac:dyDescent="0.2">
      <c r="A79" s="59"/>
      <c r="B79" s="66"/>
      <c r="C79" s="66"/>
      <c r="D79" s="66"/>
      <c r="E79" s="59"/>
      <c r="F79" s="59"/>
      <c r="G79" s="59"/>
      <c r="H79" s="59"/>
      <c r="I79" s="59"/>
      <c r="J79" s="59"/>
      <c r="K79" s="59"/>
      <c r="L79" s="68"/>
      <c r="M79" s="63"/>
      <c r="N79" s="59"/>
      <c r="O79" s="69"/>
      <c r="P79" s="70"/>
      <c r="Q79" s="70"/>
      <c r="R79" s="70"/>
      <c r="S79" s="70"/>
      <c r="T79" s="70"/>
      <c r="U79" s="70"/>
      <c r="V79" s="70"/>
      <c r="W79" s="70"/>
      <c r="X79" s="70"/>
      <c r="Y79" s="70"/>
      <c r="Z79" s="70"/>
      <c r="AA79" s="70"/>
      <c r="AB79" s="70"/>
      <c r="AC79" s="70"/>
      <c r="AD79" s="70"/>
      <c r="AE79" s="70"/>
      <c r="AF79" s="70"/>
      <c r="AG79" s="70"/>
      <c r="AH79" s="70"/>
      <c r="AI79" s="70"/>
      <c r="AJ79" s="70"/>
      <c r="AK79" s="70"/>
      <c r="AL79" s="70"/>
      <c r="AM79" s="70"/>
      <c r="AN79" s="70"/>
      <c r="AO79" s="70"/>
      <c r="AP79" s="70"/>
      <c r="AQ79" s="70"/>
      <c r="AR79" s="70"/>
      <c r="AS79" s="70"/>
      <c r="AT79" s="70"/>
      <c r="AU79" s="70"/>
      <c r="AV79" s="70"/>
      <c r="AW79" s="70"/>
      <c r="AX79" s="70"/>
      <c r="AY79" s="70"/>
      <c r="AZ79" s="70"/>
      <c r="BA79" s="70"/>
      <c r="BB79" s="70"/>
      <c r="BC79" s="70"/>
      <c r="BD79" s="70"/>
      <c r="BE79" s="70"/>
      <c r="BF79" s="70"/>
      <c r="BG79" s="70"/>
      <c r="BH79" s="70"/>
      <c r="BI79" s="70"/>
      <c r="BJ79" s="70"/>
      <c r="BK79" s="70"/>
      <c r="BL79" s="70"/>
      <c r="BM79" s="70"/>
      <c r="BN79" s="70"/>
      <c r="BO79" s="70"/>
      <c r="BP79" s="70"/>
      <c r="BQ79" s="70"/>
      <c r="BR79" s="70"/>
      <c r="BS79" s="70"/>
      <c r="BT79" s="70"/>
      <c r="BU79" s="70"/>
      <c r="BV79" s="70"/>
      <c r="BW79" s="70"/>
      <c r="BX79" s="70"/>
      <c r="BY79" s="70"/>
      <c r="BZ79" s="70"/>
      <c r="CA79" s="70"/>
      <c r="CB79" s="70"/>
      <c r="CC79" s="70"/>
      <c r="CD79" s="70"/>
      <c r="CE79" s="70"/>
      <c r="CF79" s="70"/>
      <c r="CG79" s="70"/>
      <c r="CH79" s="70"/>
      <c r="CI79" s="70"/>
      <c r="CJ79" s="70"/>
      <c r="CK79" s="70"/>
      <c r="CL79" s="70"/>
      <c r="CM79" s="70"/>
      <c r="CN79" s="70"/>
      <c r="CO79" s="70"/>
      <c r="CP79" s="70"/>
      <c r="CR79" s="180"/>
    </row>
    <row r="80" spans="1:122" x14ac:dyDescent="0.2">
      <c r="B80" s="66"/>
      <c r="C80" s="66"/>
      <c r="D80" s="66"/>
      <c r="E80" s="59"/>
      <c r="F80" s="59"/>
      <c r="G80" s="59"/>
      <c r="H80" s="59"/>
      <c r="I80" s="59"/>
      <c r="J80" s="59"/>
      <c r="K80" s="59"/>
      <c r="L80" s="68"/>
      <c r="M80" s="63"/>
      <c r="N80" s="59"/>
      <c r="O80" s="69"/>
      <c r="P80" s="70"/>
      <c r="Q80" s="70"/>
      <c r="R80" s="70"/>
      <c r="S80" s="70"/>
      <c r="T80" s="70"/>
      <c r="U80" s="70"/>
      <c r="V80" s="70"/>
      <c r="W80" s="70"/>
      <c r="X80" s="70"/>
      <c r="Y80" s="70"/>
      <c r="Z80" s="70"/>
      <c r="AA80" s="70"/>
      <c r="AB80" s="70"/>
      <c r="AC80" s="70"/>
      <c r="AD80" s="70"/>
      <c r="AE80" s="70"/>
      <c r="AF80" s="70"/>
      <c r="AG80" s="70"/>
      <c r="AH80" s="70"/>
      <c r="AI80" s="70"/>
      <c r="AJ80" s="70"/>
      <c r="AK80" s="70"/>
      <c r="AL80" s="70"/>
      <c r="AM80" s="70"/>
      <c r="AN80" s="70"/>
      <c r="AO80" s="70"/>
      <c r="AP80" s="70"/>
      <c r="AQ80" s="70"/>
      <c r="AR80" s="70"/>
      <c r="AS80" s="70"/>
      <c r="AT80" s="70"/>
      <c r="AU80" s="70"/>
      <c r="AV80" s="70"/>
      <c r="AW80" s="70"/>
      <c r="AX80" s="70"/>
      <c r="AY80" s="70"/>
      <c r="AZ80" s="70"/>
      <c r="BA80" s="70"/>
      <c r="BB80" s="70"/>
      <c r="BC80" s="70"/>
      <c r="BD80" s="70"/>
      <c r="BE80" s="70"/>
      <c r="BF80" s="70"/>
      <c r="BG80" s="70"/>
      <c r="BH80" s="70"/>
      <c r="BI80" s="70"/>
      <c r="BJ80" s="70"/>
      <c r="BK80" s="70"/>
      <c r="BL80" s="70"/>
      <c r="BM80" s="70"/>
      <c r="BN80" s="70"/>
      <c r="BO80" s="70"/>
      <c r="BP80" s="70"/>
      <c r="BQ80" s="70"/>
      <c r="BR80" s="70"/>
      <c r="BS80" s="70"/>
      <c r="BT80" s="70"/>
      <c r="BU80" s="70"/>
      <c r="BV80" s="70"/>
      <c r="BW80" s="70"/>
      <c r="BX80" s="70"/>
      <c r="BY80" s="70"/>
      <c r="BZ80" s="70"/>
      <c r="CA80" s="70"/>
      <c r="CB80" s="70"/>
      <c r="CC80" s="70"/>
      <c r="CD80" s="70"/>
      <c r="CE80" s="70"/>
      <c r="CF80" s="70"/>
      <c r="CG80" s="70"/>
      <c r="CH80" s="70"/>
      <c r="CI80" s="70"/>
      <c r="CJ80" s="70"/>
      <c r="CK80" s="70"/>
      <c r="CL80" s="70"/>
      <c r="CM80" s="70"/>
      <c r="CN80" s="70"/>
      <c r="CO80" s="70"/>
      <c r="CP80" s="70"/>
      <c r="CR80" s="180"/>
    </row>
    <row r="81" spans="1:96" x14ac:dyDescent="0.2">
      <c r="A81" s="59"/>
      <c r="B81" s="66"/>
      <c r="C81" s="66"/>
      <c r="D81" s="66"/>
      <c r="E81" s="59"/>
      <c r="F81" s="59"/>
      <c r="G81" s="59"/>
      <c r="H81" s="59"/>
      <c r="I81" s="59"/>
      <c r="J81" s="59"/>
      <c r="K81" s="59"/>
      <c r="L81" s="68"/>
      <c r="M81" s="63"/>
      <c r="N81" s="59"/>
      <c r="O81" s="69"/>
      <c r="P81" s="70"/>
      <c r="Q81" s="70"/>
      <c r="R81" s="70"/>
      <c r="S81" s="70"/>
      <c r="T81" s="70"/>
      <c r="U81" s="70"/>
      <c r="V81" s="70"/>
      <c r="W81" s="70"/>
      <c r="X81" s="70"/>
      <c r="Y81" s="70"/>
      <c r="Z81" s="70"/>
      <c r="AA81" s="70"/>
      <c r="AB81" s="70"/>
      <c r="AC81" s="70"/>
      <c r="AD81" s="70"/>
      <c r="AE81" s="70"/>
      <c r="AF81" s="70"/>
      <c r="AG81" s="70"/>
      <c r="AH81" s="70"/>
      <c r="AI81" s="70"/>
      <c r="AJ81" s="70"/>
      <c r="AK81" s="70"/>
      <c r="AL81" s="70"/>
      <c r="AM81" s="70"/>
      <c r="AN81" s="70"/>
      <c r="AO81" s="70"/>
      <c r="AP81" s="70"/>
      <c r="AQ81" s="70"/>
      <c r="AR81" s="70"/>
      <c r="AS81" s="70"/>
      <c r="AT81" s="70"/>
      <c r="AU81" s="70"/>
      <c r="AV81" s="70"/>
      <c r="AW81" s="70"/>
      <c r="AX81" s="70"/>
      <c r="AY81" s="70"/>
      <c r="AZ81" s="70"/>
      <c r="BA81" s="70"/>
      <c r="BB81" s="70"/>
      <c r="BC81" s="70"/>
      <c r="BD81" s="70"/>
      <c r="BE81" s="70"/>
      <c r="BF81" s="70"/>
      <c r="BG81" s="70"/>
      <c r="BH81" s="70"/>
      <c r="BI81" s="70"/>
      <c r="BJ81" s="70"/>
      <c r="BK81" s="70"/>
      <c r="BL81" s="70"/>
      <c r="BM81" s="70"/>
      <c r="BN81" s="70"/>
      <c r="BO81" s="70"/>
      <c r="BP81" s="70"/>
      <c r="BQ81" s="70"/>
      <c r="BR81" s="70"/>
      <c r="BS81" s="70"/>
      <c r="BT81" s="70"/>
      <c r="BU81" s="70"/>
      <c r="BV81" s="70"/>
      <c r="BW81" s="70"/>
      <c r="BX81" s="70"/>
      <c r="BY81" s="70"/>
      <c r="BZ81" s="70"/>
      <c r="CA81" s="70"/>
      <c r="CB81" s="70"/>
      <c r="CC81" s="70"/>
      <c r="CD81" s="70"/>
      <c r="CE81" s="70"/>
      <c r="CF81" s="70"/>
      <c r="CG81" s="70"/>
      <c r="CH81" s="70"/>
      <c r="CI81" s="70"/>
      <c r="CJ81" s="70"/>
      <c r="CK81" s="70"/>
      <c r="CL81" s="70"/>
      <c r="CM81" s="70"/>
      <c r="CN81" s="70"/>
      <c r="CO81" s="70"/>
      <c r="CP81" s="70"/>
      <c r="CR81" s="180"/>
    </row>
    <row r="82" spans="1:96" x14ac:dyDescent="0.2">
      <c r="B82" s="66"/>
      <c r="C82" s="66"/>
      <c r="D82" s="66"/>
      <c r="E82" s="59"/>
      <c r="F82" s="59"/>
      <c r="G82" s="59"/>
      <c r="H82" s="59"/>
      <c r="I82" s="59"/>
      <c r="J82" s="59"/>
      <c r="K82" s="59"/>
      <c r="L82" s="68"/>
      <c r="M82" s="63"/>
      <c r="N82" s="59"/>
      <c r="O82" s="69"/>
      <c r="P82" s="70"/>
      <c r="Q82" s="70"/>
      <c r="R82" s="70"/>
      <c r="S82" s="70"/>
      <c r="T82" s="70"/>
      <c r="U82" s="70"/>
      <c r="V82" s="70"/>
      <c r="W82" s="70"/>
      <c r="X82" s="70"/>
      <c r="Y82" s="70"/>
      <c r="Z82" s="70"/>
      <c r="AA82" s="70"/>
      <c r="AB82" s="70"/>
      <c r="AC82" s="70"/>
      <c r="AD82" s="70"/>
      <c r="AE82" s="70"/>
      <c r="AF82" s="70"/>
      <c r="AG82" s="70"/>
      <c r="AH82" s="70"/>
      <c r="AI82" s="70"/>
      <c r="AJ82" s="70"/>
      <c r="AK82" s="70"/>
      <c r="AL82" s="70"/>
      <c r="AM82" s="70"/>
      <c r="AN82" s="70"/>
      <c r="AO82" s="70"/>
      <c r="AP82" s="70"/>
      <c r="AQ82" s="70"/>
      <c r="AR82" s="70"/>
      <c r="AS82" s="70"/>
      <c r="AT82" s="70"/>
      <c r="AU82" s="70"/>
      <c r="AV82" s="70"/>
      <c r="AW82" s="70"/>
      <c r="AX82" s="70"/>
      <c r="AY82" s="70"/>
      <c r="AZ82" s="70"/>
      <c r="BA82" s="70"/>
      <c r="BB82" s="70"/>
      <c r="BC82" s="70"/>
      <c r="BD82" s="70"/>
      <c r="BE82" s="70"/>
      <c r="BF82" s="70"/>
      <c r="BG82" s="70"/>
      <c r="BH82" s="70"/>
      <c r="BI82" s="70"/>
      <c r="BJ82" s="70"/>
      <c r="BK82" s="70"/>
      <c r="BL82" s="70"/>
      <c r="BM82" s="70"/>
      <c r="BN82" s="70"/>
      <c r="BO82" s="70"/>
      <c r="BP82" s="70"/>
      <c r="BQ82" s="70"/>
      <c r="BR82" s="70"/>
      <c r="BS82" s="70"/>
      <c r="BT82" s="70"/>
      <c r="BU82" s="70"/>
      <c r="BV82" s="70"/>
      <c r="BW82" s="70"/>
      <c r="BX82" s="70"/>
      <c r="BY82" s="70"/>
      <c r="BZ82" s="70"/>
      <c r="CA82" s="70"/>
      <c r="CB82" s="70"/>
      <c r="CC82" s="70"/>
      <c r="CD82" s="70"/>
      <c r="CE82" s="70"/>
      <c r="CF82" s="70"/>
      <c r="CG82" s="70"/>
      <c r="CH82" s="70"/>
      <c r="CI82" s="70"/>
      <c r="CJ82" s="70"/>
      <c r="CK82" s="70"/>
      <c r="CL82" s="70"/>
      <c r="CM82" s="70"/>
      <c r="CN82" s="70"/>
      <c r="CO82" s="70"/>
      <c r="CP82" s="70"/>
      <c r="CR82" s="180"/>
    </row>
    <row r="83" spans="1:96" x14ac:dyDescent="0.2">
      <c r="A83" s="59"/>
      <c r="B83" s="66"/>
      <c r="C83" s="66"/>
      <c r="D83" s="66"/>
      <c r="E83" s="59"/>
      <c r="F83" s="59"/>
      <c r="G83" s="59"/>
      <c r="H83" s="59"/>
      <c r="I83" s="59"/>
      <c r="J83" s="59"/>
      <c r="K83" s="59"/>
      <c r="L83" s="68"/>
      <c r="M83" s="63"/>
      <c r="N83" s="59"/>
      <c r="O83" s="69"/>
      <c r="P83" s="70"/>
      <c r="Q83" s="70"/>
      <c r="R83" s="70"/>
      <c r="S83" s="70"/>
      <c r="T83" s="70"/>
      <c r="U83" s="70"/>
      <c r="V83" s="70"/>
      <c r="W83" s="70"/>
      <c r="X83" s="70"/>
      <c r="Y83" s="70"/>
      <c r="Z83" s="70"/>
      <c r="AA83" s="70"/>
      <c r="AB83" s="70"/>
      <c r="AC83" s="70"/>
      <c r="AD83" s="70"/>
      <c r="AE83" s="70"/>
      <c r="AF83" s="70"/>
      <c r="AG83" s="70"/>
      <c r="AH83" s="70"/>
      <c r="AI83" s="70"/>
      <c r="AJ83" s="70"/>
      <c r="AK83" s="70"/>
      <c r="AL83" s="70"/>
      <c r="AM83" s="70"/>
      <c r="AN83" s="70"/>
      <c r="AO83" s="70"/>
      <c r="AP83" s="70"/>
      <c r="AQ83" s="70"/>
      <c r="AR83" s="70"/>
      <c r="AS83" s="70"/>
      <c r="AT83" s="70"/>
      <c r="AU83" s="70"/>
      <c r="AV83" s="70"/>
      <c r="AW83" s="70"/>
      <c r="AX83" s="70"/>
      <c r="AY83" s="70"/>
      <c r="AZ83" s="70"/>
      <c r="BA83" s="70"/>
      <c r="BB83" s="70"/>
      <c r="BC83" s="70"/>
      <c r="BD83" s="70"/>
      <c r="BE83" s="70"/>
      <c r="BF83" s="70"/>
      <c r="BG83" s="70"/>
      <c r="BH83" s="70"/>
      <c r="BI83" s="70"/>
      <c r="BJ83" s="70"/>
      <c r="BK83" s="70"/>
      <c r="BL83" s="70"/>
      <c r="BM83" s="70"/>
      <c r="BN83" s="70"/>
      <c r="BO83" s="70"/>
      <c r="BP83" s="70"/>
      <c r="BQ83" s="70"/>
      <c r="BR83" s="70"/>
      <c r="BS83" s="70"/>
      <c r="BT83" s="70"/>
      <c r="BU83" s="70"/>
      <c r="BV83" s="70"/>
      <c r="BW83" s="70"/>
      <c r="BX83" s="70"/>
      <c r="BY83" s="70"/>
      <c r="BZ83" s="70"/>
      <c r="CA83" s="70"/>
      <c r="CB83" s="70"/>
      <c r="CC83" s="70"/>
      <c r="CD83" s="70"/>
      <c r="CE83" s="70"/>
      <c r="CF83" s="70"/>
      <c r="CG83" s="70"/>
      <c r="CH83" s="70"/>
      <c r="CI83" s="70"/>
      <c r="CJ83" s="70"/>
      <c r="CK83" s="70"/>
      <c r="CL83" s="70"/>
      <c r="CM83" s="70"/>
      <c r="CN83" s="70"/>
      <c r="CO83" s="70"/>
      <c r="CP83" s="70"/>
      <c r="CR83" s="180"/>
    </row>
    <row r="84" spans="1:96" x14ac:dyDescent="0.2">
      <c r="B84" s="66"/>
      <c r="C84" s="66"/>
      <c r="D84" s="66"/>
      <c r="E84" s="59"/>
      <c r="F84" s="59"/>
      <c r="G84" s="59"/>
      <c r="H84" s="59"/>
      <c r="I84" s="59"/>
      <c r="J84" s="59"/>
      <c r="K84" s="59"/>
      <c r="L84" s="68"/>
      <c r="M84" s="63"/>
      <c r="N84" s="59"/>
      <c r="O84" s="69"/>
      <c r="P84" s="70"/>
      <c r="Q84" s="70"/>
      <c r="R84" s="70"/>
      <c r="S84" s="70"/>
      <c r="T84" s="70"/>
      <c r="U84" s="70"/>
      <c r="V84" s="70"/>
      <c r="W84" s="70"/>
      <c r="X84" s="70"/>
      <c r="Y84" s="70"/>
      <c r="Z84" s="70"/>
      <c r="AA84" s="70"/>
      <c r="AB84" s="70"/>
      <c r="AC84" s="70"/>
      <c r="AD84" s="70"/>
      <c r="AE84" s="70"/>
      <c r="AF84" s="70"/>
      <c r="AG84" s="70"/>
      <c r="AH84" s="70"/>
      <c r="AI84" s="70"/>
      <c r="AJ84" s="70"/>
      <c r="AK84" s="70"/>
      <c r="AL84" s="70"/>
      <c r="AM84" s="70"/>
      <c r="AN84" s="70"/>
      <c r="AO84" s="70"/>
      <c r="AP84" s="70"/>
      <c r="AQ84" s="70"/>
      <c r="AR84" s="70"/>
      <c r="AS84" s="70"/>
      <c r="AT84" s="70"/>
      <c r="AU84" s="70"/>
      <c r="AV84" s="70"/>
      <c r="AW84" s="70"/>
      <c r="AX84" s="70"/>
      <c r="AY84" s="70"/>
      <c r="AZ84" s="70"/>
      <c r="BA84" s="70"/>
      <c r="BB84" s="70"/>
      <c r="BC84" s="70"/>
      <c r="BD84" s="70"/>
      <c r="BE84" s="70"/>
      <c r="BF84" s="70"/>
      <c r="BG84" s="70"/>
      <c r="BH84" s="70"/>
      <c r="BI84" s="70"/>
      <c r="BJ84" s="70"/>
      <c r="BK84" s="70"/>
      <c r="BL84" s="70"/>
      <c r="BM84" s="70"/>
      <c r="BN84" s="70"/>
      <c r="BO84" s="70"/>
      <c r="BP84" s="70"/>
      <c r="BQ84" s="70"/>
      <c r="BR84" s="70"/>
      <c r="BS84" s="70"/>
      <c r="BT84" s="70"/>
      <c r="BU84" s="70"/>
      <c r="BV84" s="70"/>
      <c r="BW84" s="70"/>
      <c r="BX84" s="70"/>
      <c r="BY84" s="70"/>
      <c r="BZ84" s="70"/>
      <c r="CA84" s="70"/>
      <c r="CB84" s="70"/>
      <c r="CC84" s="70"/>
      <c r="CD84" s="70"/>
      <c r="CE84" s="70"/>
      <c r="CF84" s="70"/>
      <c r="CG84" s="70"/>
      <c r="CH84" s="70"/>
      <c r="CI84" s="70"/>
      <c r="CJ84" s="70"/>
      <c r="CK84" s="70"/>
      <c r="CL84" s="70"/>
      <c r="CM84" s="70"/>
      <c r="CN84" s="70"/>
      <c r="CO84" s="70"/>
      <c r="CP84" s="70"/>
      <c r="CR84" s="180"/>
    </row>
    <row r="85" spans="1:96" x14ac:dyDescent="0.2">
      <c r="A85" s="59"/>
      <c r="B85" s="66"/>
      <c r="C85" s="66"/>
      <c r="D85" s="66"/>
      <c r="E85" s="59"/>
      <c r="F85" s="59"/>
      <c r="G85" s="59"/>
      <c r="H85" s="59"/>
      <c r="I85" s="59"/>
      <c r="J85" s="59"/>
      <c r="K85" s="59"/>
      <c r="L85" s="68"/>
      <c r="M85" s="63"/>
      <c r="N85" s="59"/>
      <c r="O85" s="69"/>
      <c r="P85" s="70"/>
      <c r="Q85" s="70"/>
      <c r="R85" s="70"/>
      <c r="S85" s="70"/>
      <c r="T85" s="70"/>
      <c r="U85" s="70"/>
      <c r="V85" s="70"/>
      <c r="W85" s="70"/>
      <c r="X85" s="70"/>
      <c r="Y85" s="70"/>
      <c r="Z85" s="70"/>
      <c r="AA85" s="70"/>
      <c r="AB85" s="70"/>
      <c r="AC85" s="70"/>
      <c r="AD85" s="70"/>
      <c r="AE85" s="70"/>
      <c r="AF85" s="70"/>
      <c r="AG85" s="70"/>
      <c r="AH85" s="70"/>
      <c r="AI85" s="70"/>
      <c r="AJ85" s="70"/>
      <c r="AK85" s="70"/>
      <c r="AL85" s="70"/>
      <c r="AM85" s="70"/>
      <c r="AN85" s="70"/>
      <c r="AO85" s="70"/>
      <c r="AP85" s="70"/>
      <c r="AQ85" s="70"/>
      <c r="AR85" s="70"/>
      <c r="AS85" s="70"/>
      <c r="AT85" s="70"/>
      <c r="AU85" s="70"/>
      <c r="AV85" s="70"/>
      <c r="AW85" s="70"/>
      <c r="AX85" s="70"/>
      <c r="AY85" s="70"/>
      <c r="AZ85" s="70"/>
      <c r="BA85" s="70"/>
      <c r="BB85" s="70"/>
      <c r="BC85" s="70"/>
      <c r="BD85" s="70"/>
      <c r="BE85" s="70"/>
      <c r="BF85" s="70"/>
      <c r="BG85" s="70"/>
      <c r="BH85" s="70"/>
      <c r="BI85" s="70"/>
      <c r="BJ85" s="70"/>
      <c r="BK85" s="70"/>
      <c r="BL85" s="70"/>
      <c r="BM85" s="70"/>
      <c r="BN85" s="70"/>
      <c r="BO85" s="70"/>
      <c r="BP85" s="70"/>
      <c r="BQ85" s="70"/>
      <c r="BR85" s="70"/>
      <c r="BS85" s="70"/>
      <c r="BT85" s="70"/>
      <c r="BU85" s="70"/>
      <c r="BV85" s="70"/>
      <c r="BW85" s="70"/>
      <c r="BX85" s="70"/>
      <c r="BY85" s="70"/>
      <c r="BZ85" s="70"/>
      <c r="CA85" s="70"/>
      <c r="CB85" s="70"/>
      <c r="CC85" s="70"/>
      <c r="CD85" s="70"/>
      <c r="CE85" s="70"/>
      <c r="CF85" s="70"/>
      <c r="CG85" s="70"/>
      <c r="CH85" s="70"/>
      <c r="CI85" s="70"/>
      <c r="CJ85" s="70"/>
      <c r="CK85" s="70"/>
      <c r="CL85" s="70"/>
      <c r="CM85" s="70"/>
      <c r="CN85" s="70"/>
      <c r="CO85" s="70"/>
      <c r="CP85" s="70"/>
      <c r="CR85" s="180"/>
    </row>
    <row r="86" spans="1:96" x14ac:dyDescent="0.2">
      <c r="B86" s="66"/>
      <c r="C86" s="66"/>
      <c r="D86" s="66"/>
      <c r="E86" s="59"/>
      <c r="F86" s="59"/>
      <c r="G86" s="59"/>
      <c r="H86" s="59"/>
      <c r="I86" s="59"/>
      <c r="J86" s="59"/>
      <c r="K86" s="59"/>
      <c r="L86" s="68"/>
      <c r="M86" s="63"/>
      <c r="N86" s="59"/>
      <c r="O86" s="69"/>
      <c r="P86" s="70"/>
      <c r="Q86" s="70"/>
      <c r="R86" s="70"/>
      <c r="S86" s="70"/>
      <c r="T86" s="70"/>
      <c r="U86" s="70"/>
      <c r="V86" s="70"/>
      <c r="W86" s="70"/>
      <c r="X86" s="70"/>
      <c r="Y86" s="70"/>
      <c r="Z86" s="70"/>
      <c r="AA86" s="70"/>
      <c r="AB86" s="70"/>
      <c r="AC86" s="70"/>
      <c r="AD86" s="70"/>
      <c r="AE86" s="70"/>
      <c r="AF86" s="70"/>
      <c r="AG86" s="70"/>
      <c r="AH86" s="70"/>
      <c r="AI86" s="70"/>
      <c r="AJ86" s="70"/>
      <c r="AK86" s="70"/>
      <c r="AL86" s="70"/>
      <c r="AM86" s="70"/>
      <c r="AN86" s="70"/>
      <c r="AO86" s="70"/>
      <c r="AP86" s="70"/>
      <c r="AQ86" s="70"/>
      <c r="AR86" s="70"/>
      <c r="AS86" s="70"/>
      <c r="AT86" s="70"/>
      <c r="AU86" s="70"/>
      <c r="AV86" s="70"/>
      <c r="AW86" s="70"/>
      <c r="AX86" s="70"/>
      <c r="AY86" s="70"/>
      <c r="AZ86" s="70"/>
      <c r="BA86" s="70"/>
      <c r="BB86" s="70"/>
      <c r="BC86" s="70"/>
      <c r="BD86" s="70"/>
      <c r="BE86" s="70"/>
      <c r="BF86" s="70"/>
      <c r="BG86" s="70"/>
      <c r="BH86" s="70"/>
      <c r="BI86" s="70"/>
      <c r="BJ86" s="70"/>
      <c r="BK86" s="70"/>
      <c r="BL86" s="70"/>
      <c r="BM86" s="70"/>
      <c r="BN86" s="70"/>
      <c r="BO86" s="70"/>
      <c r="BP86" s="70"/>
      <c r="BQ86" s="70"/>
      <c r="BR86" s="70"/>
      <c r="BS86" s="70"/>
      <c r="BT86" s="70"/>
      <c r="BU86" s="70"/>
      <c r="BV86" s="70"/>
      <c r="BW86" s="70"/>
      <c r="BX86" s="70"/>
      <c r="BY86" s="70"/>
      <c r="BZ86" s="70"/>
      <c r="CA86" s="70"/>
      <c r="CB86" s="70"/>
      <c r="CC86" s="70"/>
      <c r="CD86" s="70"/>
      <c r="CE86" s="70"/>
      <c r="CF86" s="70"/>
      <c r="CG86" s="70"/>
      <c r="CH86" s="70"/>
      <c r="CI86" s="70"/>
      <c r="CJ86" s="70"/>
      <c r="CK86" s="70"/>
      <c r="CL86" s="70"/>
      <c r="CM86" s="70"/>
      <c r="CN86" s="70"/>
      <c r="CO86" s="70"/>
      <c r="CP86" s="70"/>
      <c r="CR86" s="180"/>
    </row>
    <row r="87" spans="1:96" x14ac:dyDescent="0.2">
      <c r="A87" s="59"/>
      <c r="B87" s="66"/>
      <c r="C87" s="66"/>
      <c r="D87" s="66"/>
      <c r="E87" s="59"/>
      <c r="F87" s="59"/>
      <c r="G87" s="59"/>
      <c r="H87" s="59"/>
      <c r="I87" s="59"/>
      <c r="J87" s="59"/>
      <c r="K87" s="59"/>
      <c r="L87" s="68"/>
      <c r="M87" s="63"/>
      <c r="N87" s="59"/>
      <c r="O87" s="69"/>
      <c r="P87" s="70"/>
      <c r="Q87" s="70"/>
      <c r="R87" s="70"/>
      <c r="S87" s="70"/>
      <c r="T87" s="70"/>
      <c r="U87" s="70"/>
      <c r="V87" s="70"/>
      <c r="W87" s="70"/>
      <c r="X87" s="70"/>
      <c r="Y87" s="70"/>
      <c r="Z87" s="70"/>
      <c r="AA87" s="70"/>
      <c r="AB87" s="70"/>
      <c r="AC87" s="70"/>
      <c r="AD87" s="70"/>
      <c r="AE87" s="70"/>
      <c r="AF87" s="70"/>
      <c r="AG87" s="70"/>
      <c r="AH87" s="70"/>
      <c r="AI87" s="70"/>
      <c r="AJ87" s="70"/>
      <c r="AK87" s="70"/>
      <c r="AL87" s="70"/>
      <c r="AM87" s="70"/>
      <c r="AN87" s="70"/>
      <c r="AO87" s="70"/>
      <c r="AP87" s="70"/>
      <c r="AQ87" s="70"/>
      <c r="AR87" s="70"/>
      <c r="AS87" s="70"/>
      <c r="AT87" s="70"/>
      <c r="AU87" s="70"/>
      <c r="AV87" s="70"/>
      <c r="AW87" s="70"/>
      <c r="AX87" s="70"/>
      <c r="AY87" s="70"/>
      <c r="AZ87" s="70"/>
      <c r="BA87" s="70"/>
      <c r="BB87" s="70"/>
      <c r="BC87" s="70"/>
      <c r="BD87" s="70"/>
      <c r="BE87" s="70"/>
      <c r="BF87" s="70"/>
      <c r="BG87" s="70"/>
      <c r="BH87" s="70"/>
      <c r="BI87" s="70"/>
      <c r="BJ87" s="70"/>
      <c r="BK87" s="70"/>
      <c r="BL87" s="70"/>
      <c r="BM87" s="70"/>
      <c r="BN87" s="70"/>
      <c r="BO87" s="70"/>
      <c r="BP87" s="70"/>
      <c r="BQ87" s="70"/>
      <c r="BR87" s="70"/>
      <c r="BS87" s="70"/>
      <c r="BT87" s="70"/>
      <c r="BU87" s="70"/>
      <c r="BV87" s="70"/>
      <c r="BW87" s="70"/>
      <c r="BX87" s="70"/>
      <c r="BY87" s="70"/>
      <c r="BZ87" s="70"/>
      <c r="CA87" s="70"/>
      <c r="CB87" s="70"/>
      <c r="CC87" s="70"/>
      <c r="CD87" s="70"/>
      <c r="CE87" s="70"/>
      <c r="CF87" s="70"/>
      <c r="CG87" s="70"/>
      <c r="CH87" s="70"/>
      <c r="CI87" s="70"/>
      <c r="CJ87" s="70"/>
      <c r="CK87" s="70"/>
      <c r="CL87" s="70"/>
      <c r="CM87" s="70"/>
      <c r="CN87" s="70"/>
      <c r="CO87" s="70"/>
      <c r="CP87" s="70"/>
      <c r="CR87" s="180"/>
    </row>
    <row r="88" spans="1:96" x14ac:dyDescent="0.2">
      <c r="B88" s="66"/>
      <c r="C88" s="66"/>
      <c r="D88" s="66"/>
      <c r="E88" s="59"/>
      <c r="F88" s="59"/>
      <c r="G88" s="59"/>
      <c r="H88" s="59"/>
      <c r="I88" s="59"/>
      <c r="J88" s="59"/>
      <c r="K88" s="59"/>
      <c r="L88" s="68"/>
      <c r="M88" s="63"/>
      <c r="N88" s="59"/>
      <c r="O88" s="69"/>
      <c r="P88" s="70"/>
      <c r="Q88" s="70"/>
      <c r="R88" s="70"/>
      <c r="S88" s="70"/>
      <c r="T88" s="70"/>
      <c r="U88" s="70"/>
      <c r="V88" s="70"/>
      <c r="W88" s="70"/>
      <c r="X88" s="70"/>
      <c r="Y88" s="70"/>
      <c r="Z88" s="70"/>
      <c r="AA88" s="70"/>
      <c r="AB88" s="70"/>
      <c r="AC88" s="70"/>
      <c r="AD88" s="70"/>
      <c r="AE88" s="70"/>
      <c r="AF88" s="70"/>
      <c r="AG88" s="70"/>
      <c r="AH88" s="70"/>
      <c r="AI88" s="70"/>
      <c r="AJ88" s="70"/>
      <c r="AK88" s="70"/>
      <c r="AL88" s="70"/>
      <c r="AM88" s="70"/>
      <c r="AN88" s="70"/>
      <c r="AO88" s="70"/>
      <c r="AP88" s="70"/>
      <c r="AQ88" s="70"/>
      <c r="AR88" s="70"/>
      <c r="AS88" s="70"/>
      <c r="AT88" s="70"/>
      <c r="AU88" s="70"/>
      <c r="AV88" s="70"/>
      <c r="AW88" s="70"/>
      <c r="AX88" s="70"/>
      <c r="AY88" s="70"/>
      <c r="AZ88" s="70"/>
      <c r="BA88" s="70"/>
      <c r="BB88" s="70"/>
      <c r="BC88" s="70"/>
      <c r="BD88" s="70"/>
      <c r="BE88" s="70"/>
      <c r="BF88" s="70"/>
      <c r="BG88" s="70"/>
      <c r="BH88" s="70"/>
      <c r="BI88" s="70"/>
      <c r="BJ88" s="70"/>
      <c r="BK88" s="70"/>
      <c r="BL88" s="70"/>
      <c r="BM88" s="70"/>
      <c r="BN88" s="70"/>
      <c r="BO88" s="70"/>
      <c r="BP88" s="70"/>
      <c r="BQ88" s="70"/>
      <c r="BR88" s="70"/>
      <c r="BS88" s="70"/>
      <c r="BT88" s="70"/>
      <c r="BU88" s="70"/>
      <c r="BV88" s="70"/>
      <c r="BW88" s="70"/>
      <c r="BX88" s="70"/>
      <c r="BY88" s="70"/>
      <c r="BZ88" s="70"/>
      <c r="CA88" s="70"/>
      <c r="CB88" s="70"/>
      <c r="CC88" s="70"/>
      <c r="CD88" s="70"/>
      <c r="CE88" s="70"/>
      <c r="CF88" s="70"/>
      <c r="CG88" s="70"/>
      <c r="CH88" s="70"/>
      <c r="CI88" s="70"/>
      <c r="CJ88" s="70"/>
      <c r="CK88" s="70"/>
      <c r="CL88" s="70"/>
      <c r="CM88" s="70"/>
      <c r="CN88" s="70"/>
      <c r="CO88" s="70"/>
      <c r="CP88" s="70"/>
      <c r="CR88" s="180"/>
    </row>
    <row r="89" spans="1:96" x14ac:dyDescent="0.2">
      <c r="A89" s="59"/>
      <c r="B89" s="66"/>
      <c r="C89" s="66"/>
      <c r="D89" s="66"/>
      <c r="E89" s="59"/>
      <c r="F89" s="59"/>
      <c r="G89" s="59"/>
      <c r="H89" s="59"/>
      <c r="I89" s="59"/>
      <c r="J89" s="59"/>
      <c r="K89" s="59"/>
      <c r="L89" s="68"/>
      <c r="M89" s="63"/>
      <c r="N89" s="59"/>
      <c r="O89" s="69"/>
      <c r="P89" s="70"/>
      <c r="Q89" s="70"/>
      <c r="R89" s="70"/>
      <c r="S89" s="70"/>
      <c r="T89" s="70"/>
      <c r="U89" s="70"/>
      <c r="V89" s="70"/>
      <c r="W89" s="70"/>
      <c r="X89" s="70"/>
      <c r="Y89" s="70"/>
      <c r="Z89" s="70"/>
      <c r="AA89" s="70"/>
      <c r="AB89" s="70"/>
      <c r="AC89" s="70"/>
      <c r="AD89" s="70"/>
      <c r="AE89" s="70"/>
      <c r="AF89" s="70"/>
      <c r="AG89" s="70"/>
      <c r="AH89" s="70"/>
      <c r="AI89" s="70"/>
      <c r="AJ89" s="70"/>
      <c r="AK89" s="70"/>
      <c r="AL89" s="70"/>
      <c r="AM89" s="70"/>
      <c r="AN89" s="70"/>
      <c r="AO89" s="70"/>
      <c r="AP89" s="70"/>
      <c r="AQ89" s="70"/>
      <c r="AR89" s="70"/>
      <c r="AS89" s="70"/>
      <c r="AT89" s="70"/>
      <c r="AU89" s="70"/>
      <c r="AV89" s="70"/>
      <c r="AW89" s="70"/>
      <c r="AX89" s="70"/>
      <c r="AY89" s="70"/>
      <c r="AZ89" s="70"/>
      <c r="BA89" s="70"/>
      <c r="BB89" s="70"/>
      <c r="BC89" s="70"/>
      <c r="BD89" s="70"/>
      <c r="BE89" s="70"/>
      <c r="BF89" s="70"/>
      <c r="BG89" s="70"/>
      <c r="BH89" s="70"/>
      <c r="BI89" s="70"/>
      <c r="BJ89" s="70"/>
      <c r="BK89" s="70"/>
      <c r="BL89" s="70"/>
      <c r="BM89" s="70"/>
      <c r="BN89" s="70"/>
      <c r="BO89" s="70"/>
      <c r="BP89" s="70"/>
      <c r="BQ89" s="70"/>
      <c r="BR89" s="70"/>
      <c r="BS89" s="70"/>
      <c r="BT89" s="70"/>
      <c r="BU89" s="70"/>
      <c r="BV89" s="70"/>
      <c r="BW89" s="70"/>
      <c r="BX89" s="70"/>
      <c r="BY89" s="70"/>
      <c r="BZ89" s="70"/>
      <c r="CA89" s="70"/>
      <c r="CB89" s="70"/>
      <c r="CC89" s="70"/>
      <c r="CD89" s="70"/>
      <c r="CE89" s="70"/>
      <c r="CF89" s="70"/>
      <c r="CG89" s="70"/>
      <c r="CH89" s="70"/>
      <c r="CI89" s="70"/>
      <c r="CJ89" s="70"/>
      <c r="CK89" s="70"/>
      <c r="CL89" s="70"/>
      <c r="CM89" s="70"/>
      <c r="CN89" s="70"/>
      <c r="CO89" s="70"/>
      <c r="CP89" s="70"/>
      <c r="CR89" s="180"/>
    </row>
    <row r="90" spans="1:96" x14ac:dyDescent="0.2">
      <c r="B90" s="66"/>
      <c r="C90" s="66"/>
      <c r="D90" s="66"/>
      <c r="E90" s="59"/>
      <c r="F90" s="59"/>
      <c r="G90" s="59"/>
      <c r="H90" s="59"/>
      <c r="I90" s="59"/>
      <c r="J90" s="59"/>
      <c r="K90" s="59"/>
      <c r="L90" s="68"/>
      <c r="M90" s="63"/>
      <c r="N90" s="59"/>
      <c r="O90" s="69"/>
      <c r="P90" s="70"/>
      <c r="Q90" s="70"/>
      <c r="R90" s="70"/>
      <c r="S90" s="70"/>
      <c r="T90" s="70"/>
      <c r="U90" s="70"/>
      <c r="V90" s="70"/>
      <c r="W90" s="70"/>
      <c r="X90" s="70"/>
      <c r="Y90" s="70"/>
      <c r="Z90" s="70"/>
      <c r="AA90" s="70"/>
      <c r="AB90" s="70"/>
      <c r="AC90" s="70"/>
      <c r="AD90" s="70"/>
      <c r="AE90" s="70"/>
      <c r="AF90" s="70"/>
      <c r="AG90" s="70"/>
      <c r="AH90" s="70"/>
      <c r="AI90" s="70"/>
      <c r="AJ90" s="70"/>
      <c r="AK90" s="70"/>
      <c r="AL90" s="70"/>
      <c r="AM90" s="70"/>
      <c r="AN90" s="70"/>
      <c r="AO90" s="70"/>
      <c r="AP90" s="70"/>
      <c r="AQ90" s="70"/>
      <c r="AR90" s="70"/>
      <c r="AS90" s="70"/>
      <c r="AT90" s="70"/>
      <c r="AU90" s="70"/>
      <c r="AV90" s="70"/>
      <c r="AW90" s="70"/>
      <c r="AX90" s="70"/>
      <c r="AY90" s="70"/>
      <c r="AZ90" s="70"/>
      <c r="BA90" s="70"/>
      <c r="BB90" s="70"/>
      <c r="BC90" s="70"/>
      <c r="BD90" s="70"/>
      <c r="BE90" s="70"/>
      <c r="BF90" s="70"/>
      <c r="BG90" s="70"/>
      <c r="BH90" s="70"/>
      <c r="BI90" s="70"/>
      <c r="BJ90" s="70"/>
      <c r="BK90" s="70"/>
      <c r="BL90" s="70"/>
      <c r="BM90" s="70"/>
      <c r="BN90" s="70"/>
      <c r="BO90" s="70"/>
      <c r="BP90" s="70"/>
      <c r="BQ90" s="70"/>
      <c r="BR90" s="70"/>
      <c r="BS90" s="70"/>
      <c r="BT90" s="70"/>
      <c r="BU90" s="70"/>
      <c r="BV90" s="70"/>
      <c r="BW90" s="70"/>
      <c r="BX90" s="70"/>
      <c r="BY90" s="70"/>
      <c r="BZ90" s="70"/>
      <c r="CA90" s="70"/>
      <c r="CB90" s="70"/>
      <c r="CC90" s="70"/>
      <c r="CD90" s="70"/>
      <c r="CE90" s="70"/>
      <c r="CF90" s="70"/>
      <c r="CG90" s="70"/>
      <c r="CH90" s="70"/>
      <c r="CI90" s="70"/>
      <c r="CJ90" s="70"/>
      <c r="CK90" s="70"/>
      <c r="CL90" s="70"/>
      <c r="CM90" s="70"/>
      <c r="CN90" s="70"/>
      <c r="CO90" s="70"/>
      <c r="CP90" s="70"/>
      <c r="CR90" s="180"/>
    </row>
    <row r="91" spans="1:96" x14ac:dyDescent="0.2">
      <c r="A91" s="59"/>
      <c r="B91" s="66"/>
      <c r="C91" s="66"/>
      <c r="D91" s="66"/>
      <c r="E91" s="59"/>
      <c r="F91" s="59"/>
      <c r="G91" s="59"/>
      <c r="H91" s="59"/>
      <c r="I91" s="59"/>
      <c r="J91" s="59"/>
      <c r="K91" s="59"/>
      <c r="L91" s="68"/>
      <c r="M91" s="63"/>
      <c r="N91" s="59"/>
      <c r="O91" s="69"/>
      <c r="P91" s="70"/>
      <c r="Q91" s="70"/>
      <c r="R91" s="70"/>
      <c r="S91" s="70"/>
      <c r="T91" s="70"/>
      <c r="U91" s="70"/>
      <c r="V91" s="70"/>
      <c r="W91" s="70"/>
      <c r="X91" s="70"/>
      <c r="Y91" s="70"/>
      <c r="Z91" s="70"/>
      <c r="AA91" s="70"/>
      <c r="AB91" s="70"/>
      <c r="AC91" s="70"/>
      <c r="AD91" s="70"/>
      <c r="AE91" s="70"/>
      <c r="AF91" s="70"/>
      <c r="AG91" s="70"/>
      <c r="AH91" s="70"/>
      <c r="AI91" s="70"/>
      <c r="AJ91" s="70"/>
      <c r="AK91" s="70"/>
      <c r="AL91" s="70"/>
      <c r="AM91" s="70"/>
      <c r="AN91" s="70"/>
      <c r="AO91" s="70"/>
      <c r="AP91" s="70"/>
      <c r="AQ91" s="70"/>
      <c r="AR91" s="70"/>
      <c r="AS91" s="70"/>
      <c r="AT91" s="70"/>
      <c r="AU91" s="70"/>
      <c r="AV91" s="70"/>
      <c r="AW91" s="70"/>
      <c r="AX91" s="70"/>
      <c r="AY91" s="70"/>
      <c r="AZ91" s="70"/>
      <c r="BA91" s="70"/>
      <c r="BB91" s="70"/>
      <c r="BC91" s="70"/>
      <c r="BD91" s="70"/>
      <c r="BE91" s="70"/>
      <c r="BF91" s="70"/>
      <c r="BG91" s="70"/>
      <c r="BH91" s="70"/>
      <c r="BI91" s="70"/>
      <c r="BJ91" s="70"/>
      <c r="BK91" s="70"/>
      <c r="BL91" s="70"/>
      <c r="BM91" s="70"/>
      <c r="BN91" s="70"/>
      <c r="BO91" s="70"/>
      <c r="BP91" s="70"/>
      <c r="BQ91" s="70"/>
      <c r="BR91" s="70"/>
      <c r="BS91" s="70"/>
      <c r="BT91" s="70"/>
      <c r="BU91" s="70"/>
      <c r="BV91" s="70"/>
      <c r="BW91" s="70"/>
      <c r="BX91" s="70"/>
      <c r="BY91" s="70"/>
      <c r="BZ91" s="70"/>
      <c r="CA91" s="70"/>
      <c r="CB91" s="70"/>
      <c r="CC91" s="70"/>
      <c r="CD91" s="70"/>
      <c r="CE91" s="70"/>
      <c r="CF91" s="70"/>
      <c r="CG91" s="70"/>
      <c r="CH91" s="70"/>
      <c r="CI91" s="70"/>
      <c r="CJ91" s="70"/>
      <c r="CK91" s="70"/>
      <c r="CL91" s="70"/>
      <c r="CM91" s="70"/>
      <c r="CN91" s="70"/>
      <c r="CO91" s="70"/>
      <c r="CP91" s="70"/>
      <c r="CR91" s="180"/>
    </row>
    <row r="92" spans="1:96" x14ac:dyDescent="0.2">
      <c r="B92" s="66"/>
      <c r="C92" s="66"/>
      <c r="D92" s="66"/>
      <c r="E92" s="59"/>
      <c r="F92" s="59"/>
      <c r="G92" s="59"/>
      <c r="H92" s="59"/>
      <c r="I92" s="59"/>
      <c r="J92" s="59"/>
      <c r="K92" s="59"/>
      <c r="L92" s="68"/>
      <c r="M92" s="63"/>
      <c r="N92" s="59"/>
      <c r="O92" s="69"/>
      <c r="P92" s="70"/>
      <c r="Q92" s="70"/>
      <c r="R92" s="70"/>
      <c r="S92" s="70"/>
      <c r="T92" s="70"/>
      <c r="U92" s="70"/>
      <c r="V92" s="70"/>
      <c r="W92" s="70"/>
      <c r="X92" s="70"/>
      <c r="Y92" s="70"/>
      <c r="Z92" s="70"/>
      <c r="AA92" s="70"/>
      <c r="AB92" s="70"/>
      <c r="AC92" s="70"/>
      <c r="AD92" s="70"/>
      <c r="AE92" s="70"/>
      <c r="AF92" s="70"/>
      <c r="AG92" s="70"/>
      <c r="AH92" s="70"/>
      <c r="AI92" s="70"/>
      <c r="AJ92" s="70"/>
      <c r="AK92" s="70"/>
      <c r="AL92" s="70"/>
      <c r="AM92" s="70"/>
      <c r="AN92" s="70"/>
      <c r="AO92" s="70"/>
      <c r="AP92" s="70"/>
      <c r="AQ92" s="70"/>
      <c r="AR92" s="70"/>
      <c r="AS92" s="70"/>
      <c r="AT92" s="70"/>
      <c r="AU92" s="70"/>
      <c r="AV92" s="70"/>
      <c r="AW92" s="70"/>
      <c r="AX92" s="70"/>
      <c r="AY92" s="70"/>
      <c r="AZ92" s="70"/>
      <c r="BA92" s="70"/>
      <c r="BB92" s="70"/>
      <c r="BC92" s="70"/>
      <c r="BD92" s="70"/>
      <c r="BE92" s="70"/>
      <c r="BF92" s="70"/>
      <c r="BG92" s="70"/>
      <c r="BH92" s="70"/>
      <c r="BI92" s="70"/>
      <c r="BJ92" s="70"/>
      <c r="BK92" s="70"/>
      <c r="BL92" s="70"/>
      <c r="BM92" s="70"/>
      <c r="BN92" s="70"/>
      <c r="BO92" s="70"/>
      <c r="BP92" s="70"/>
      <c r="BQ92" s="70"/>
      <c r="BR92" s="70"/>
      <c r="BS92" s="70"/>
      <c r="BT92" s="70"/>
      <c r="BU92" s="70"/>
      <c r="BV92" s="70"/>
      <c r="BW92" s="70"/>
      <c r="BX92" s="70"/>
      <c r="BY92" s="70"/>
      <c r="BZ92" s="70"/>
      <c r="CA92" s="70"/>
      <c r="CB92" s="70"/>
      <c r="CC92" s="70"/>
      <c r="CD92" s="70"/>
      <c r="CE92" s="70"/>
      <c r="CF92" s="70"/>
      <c r="CG92" s="70"/>
      <c r="CH92" s="70"/>
      <c r="CI92" s="70"/>
      <c r="CJ92" s="70"/>
      <c r="CK92" s="70"/>
      <c r="CL92" s="70"/>
      <c r="CM92" s="70"/>
      <c r="CN92" s="70"/>
      <c r="CO92" s="70"/>
      <c r="CP92" s="70"/>
      <c r="CR92" s="180"/>
    </row>
    <row r="93" spans="1:96" x14ac:dyDescent="0.2">
      <c r="A93" s="59"/>
      <c r="B93" s="66"/>
      <c r="C93" s="66"/>
      <c r="D93" s="66"/>
      <c r="E93" s="59"/>
      <c r="F93" s="59"/>
      <c r="G93" s="59"/>
      <c r="H93" s="59"/>
      <c r="I93" s="59"/>
      <c r="J93" s="59"/>
      <c r="K93" s="59"/>
      <c r="L93" s="68"/>
      <c r="M93" s="63"/>
      <c r="N93" s="59"/>
      <c r="O93" s="69"/>
      <c r="P93" s="70"/>
      <c r="Q93" s="70"/>
      <c r="R93" s="70"/>
      <c r="S93" s="70"/>
      <c r="T93" s="70"/>
      <c r="U93" s="70"/>
      <c r="V93" s="70"/>
      <c r="W93" s="70"/>
      <c r="X93" s="70"/>
      <c r="Y93" s="70"/>
      <c r="Z93" s="70"/>
      <c r="AA93" s="70"/>
      <c r="AB93" s="70"/>
      <c r="AC93" s="70"/>
      <c r="AD93" s="70"/>
      <c r="AE93" s="70"/>
      <c r="AF93" s="70"/>
      <c r="AG93" s="70"/>
      <c r="AH93" s="70"/>
      <c r="AI93" s="70"/>
      <c r="AJ93" s="70"/>
      <c r="AK93" s="70"/>
      <c r="AL93" s="70"/>
      <c r="AM93" s="70"/>
      <c r="AN93" s="70"/>
      <c r="AO93" s="70"/>
      <c r="AP93" s="70"/>
      <c r="AQ93" s="70"/>
      <c r="AR93" s="70"/>
      <c r="AS93" s="70"/>
      <c r="AT93" s="70"/>
      <c r="AU93" s="70"/>
      <c r="AV93" s="70"/>
      <c r="AW93" s="70"/>
      <c r="AX93" s="70"/>
      <c r="AY93" s="70"/>
      <c r="AZ93" s="70"/>
      <c r="BA93" s="70"/>
      <c r="BB93" s="70"/>
      <c r="BC93" s="70"/>
      <c r="BD93" s="70"/>
      <c r="BE93" s="70"/>
      <c r="BF93" s="70"/>
      <c r="BG93" s="70"/>
      <c r="BH93" s="70"/>
      <c r="BI93" s="70"/>
      <c r="BJ93" s="70"/>
      <c r="BK93" s="70"/>
      <c r="BL93" s="70"/>
      <c r="BM93" s="70"/>
      <c r="BN93" s="70"/>
      <c r="BO93" s="70"/>
      <c r="BP93" s="70"/>
      <c r="BQ93" s="70"/>
      <c r="BR93" s="70"/>
      <c r="BS93" s="70"/>
      <c r="BT93" s="70"/>
      <c r="BU93" s="70"/>
      <c r="BV93" s="70"/>
      <c r="BW93" s="70"/>
      <c r="BX93" s="70"/>
      <c r="BY93" s="70"/>
      <c r="BZ93" s="70"/>
      <c r="CA93" s="70"/>
      <c r="CB93" s="70"/>
      <c r="CC93" s="70"/>
      <c r="CD93" s="70"/>
      <c r="CE93" s="70"/>
      <c r="CF93" s="70"/>
      <c r="CG93" s="70"/>
      <c r="CH93" s="70"/>
      <c r="CI93" s="70"/>
      <c r="CJ93" s="70"/>
      <c r="CK93" s="70"/>
      <c r="CL93" s="70"/>
      <c r="CM93" s="70"/>
      <c r="CN93" s="70"/>
      <c r="CO93" s="70"/>
      <c r="CP93" s="70"/>
      <c r="CR93" s="180"/>
    </row>
    <row r="94" spans="1:96" x14ac:dyDescent="0.2">
      <c r="B94" s="66"/>
      <c r="C94" s="66"/>
      <c r="D94" s="66"/>
      <c r="E94" s="59"/>
      <c r="F94" s="59"/>
      <c r="G94" s="59"/>
      <c r="H94" s="59"/>
      <c r="I94" s="59"/>
      <c r="J94" s="59"/>
      <c r="K94" s="59"/>
      <c r="L94" s="68"/>
      <c r="M94" s="63"/>
      <c r="N94" s="59"/>
      <c r="O94" s="69"/>
      <c r="P94" s="70"/>
      <c r="Q94" s="70"/>
      <c r="R94" s="70"/>
      <c r="S94" s="70"/>
      <c r="T94" s="70"/>
      <c r="U94" s="70"/>
      <c r="V94" s="70"/>
      <c r="W94" s="70"/>
      <c r="X94" s="70"/>
      <c r="Y94" s="70"/>
      <c r="Z94" s="70"/>
      <c r="AA94" s="70"/>
      <c r="AB94" s="70"/>
      <c r="AC94" s="70"/>
      <c r="AD94" s="70"/>
      <c r="AE94" s="70"/>
      <c r="AF94" s="70"/>
      <c r="AG94" s="70"/>
      <c r="AH94" s="70"/>
      <c r="AI94" s="70"/>
      <c r="AJ94" s="70"/>
      <c r="AK94" s="70"/>
      <c r="AL94" s="70"/>
      <c r="AM94" s="70"/>
      <c r="AN94" s="70"/>
      <c r="AO94" s="70"/>
      <c r="AP94" s="70"/>
      <c r="AQ94" s="70"/>
      <c r="AR94" s="70"/>
      <c r="AS94" s="70"/>
      <c r="AT94" s="70"/>
      <c r="AU94" s="70"/>
      <c r="AV94" s="70"/>
      <c r="AW94" s="70"/>
      <c r="AX94" s="70"/>
      <c r="AY94" s="70"/>
      <c r="AZ94" s="70"/>
      <c r="BA94" s="70"/>
      <c r="BB94" s="70"/>
      <c r="BC94" s="70"/>
      <c r="BD94" s="70"/>
      <c r="BE94" s="70"/>
      <c r="BF94" s="70"/>
      <c r="BG94" s="70"/>
      <c r="BH94" s="70"/>
      <c r="BI94" s="70"/>
      <c r="BJ94" s="70"/>
      <c r="BK94" s="70"/>
      <c r="BL94" s="70"/>
      <c r="BM94" s="70"/>
      <c r="BN94" s="70"/>
      <c r="BO94" s="70"/>
      <c r="BP94" s="70"/>
      <c r="BQ94" s="70"/>
      <c r="BR94" s="70"/>
      <c r="BS94" s="70"/>
      <c r="BT94" s="70"/>
      <c r="BU94" s="70"/>
      <c r="BV94" s="70"/>
      <c r="BW94" s="70"/>
      <c r="BX94" s="70"/>
      <c r="BY94" s="70"/>
      <c r="BZ94" s="70"/>
      <c r="CA94" s="70"/>
      <c r="CB94" s="70"/>
      <c r="CC94" s="70"/>
      <c r="CD94" s="70"/>
      <c r="CE94" s="70"/>
      <c r="CF94" s="70"/>
      <c r="CG94" s="70"/>
      <c r="CH94" s="70"/>
      <c r="CI94" s="70"/>
      <c r="CJ94" s="70"/>
      <c r="CK94" s="70"/>
      <c r="CL94" s="70"/>
      <c r="CM94" s="70"/>
      <c r="CN94" s="70"/>
      <c r="CO94" s="70"/>
      <c r="CP94" s="70"/>
      <c r="CR94" s="180"/>
    </row>
    <row r="95" spans="1:96" x14ac:dyDescent="0.2">
      <c r="A95" s="59"/>
      <c r="B95" s="66"/>
      <c r="C95" s="66"/>
      <c r="D95" s="66"/>
      <c r="E95" s="59"/>
      <c r="F95" s="59"/>
      <c r="G95" s="59"/>
      <c r="H95" s="59"/>
      <c r="I95" s="59"/>
      <c r="J95" s="59"/>
      <c r="K95" s="59"/>
      <c r="L95" s="68"/>
      <c r="M95" s="63"/>
      <c r="N95" s="59"/>
      <c r="O95" s="69"/>
      <c r="P95" s="70"/>
      <c r="Q95" s="70"/>
      <c r="R95" s="70"/>
      <c r="S95" s="70"/>
      <c r="T95" s="70"/>
      <c r="U95" s="70"/>
      <c r="V95" s="70"/>
      <c r="W95" s="70"/>
      <c r="X95" s="70"/>
      <c r="Y95" s="70"/>
      <c r="Z95" s="70"/>
      <c r="AA95" s="70"/>
      <c r="AB95" s="70"/>
      <c r="AC95" s="70"/>
      <c r="AD95" s="70"/>
      <c r="AE95" s="70"/>
      <c r="AF95" s="70"/>
      <c r="AG95" s="70"/>
      <c r="AH95" s="70"/>
      <c r="AI95" s="70"/>
      <c r="AJ95" s="70"/>
      <c r="AK95" s="70"/>
      <c r="AL95" s="70"/>
      <c r="AM95" s="70"/>
      <c r="AN95" s="70"/>
      <c r="AO95" s="70"/>
      <c r="AP95" s="70"/>
      <c r="AQ95" s="70"/>
      <c r="AR95" s="70"/>
      <c r="AS95" s="70"/>
      <c r="AT95" s="70"/>
      <c r="AU95" s="70"/>
      <c r="AV95" s="70"/>
      <c r="AW95" s="70"/>
      <c r="AX95" s="70"/>
      <c r="AY95" s="70"/>
      <c r="AZ95" s="70"/>
      <c r="BA95" s="70"/>
      <c r="BB95" s="70"/>
      <c r="BC95" s="70"/>
      <c r="BD95" s="70"/>
      <c r="BE95" s="70"/>
      <c r="BF95" s="70"/>
      <c r="BG95" s="70"/>
      <c r="BH95" s="70"/>
      <c r="BI95" s="70"/>
      <c r="BJ95" s="70"/>
      <c r="BK95" s="70"/>
      <c r="BL95" s="70"/>
      <c r="BM95" s="70"/>
      <c r="BN95" s="70"/>
      <c r="BO95" s="70"/>
      <c r="BP95" s="70"/>
      <c r="BQ95" s="70"/>
      <c r="BR95" s="70"/>
      <c r="BS95" s="70"/>
      <c r="BT95" s="70"/>
      <c r="BU95" s="70"/>
      <c r="BV95" s="70"/>
      <c r="BW95" s="70"/>
      <c r="BX95" s="70"/>
      <c r="BY95" s="70"/>
      <c r="BZ95" s="70"/>
      <c r="CA95" s="70"/>
      <c r="CB95" s="70"/>
      <c r="CC95" s="70"/>
      <c r="CD95" s="70"/>
      <c r="CE95" s="70"/>
      <c r="CF95" s="70"/>
      <c r="CG95" s="70"/>
      <c r="CH95" s="70"/>
      <c r="CI95" s="70"/>
      <c r="CJ95" s="70"/>
      <c r="CK95" s="70"/>
      <c r="CL95" s="70"/>
      <c r="CM95" s="70"/>
      <c r="CN95" s="70"/>
      <c r="CO95" s="70"/>
      <c r="CP95" s="70"/>
      <c r="CR95" s="180"/>
    </row>
    <row r="96" spans="1:96" x14ac:dyDescent="0.2">
      <c r="B96" s="66"/>
      <c r="C96" s="66"/>
      <c r="D96" s="66"/>
      <c r="E96" s="59"/>
      <c r="F96" s="59"/>
      <c r="G96" s="59"/>
      <c r="H96" s="59"/>
      <c r="I96" s="59"/>
      <c r="J96" s="59"/>
      <c r="K96" s="59"/>
      <c r="L96" s="68"/>
      <c r="M96" s="63"/>
      <c r="N96" s="59"/>
      <c r="O96" s="69"/>
      <c r="P96" s="70"/>
      <c r="Q96" s="70"/>
      <c r="R96" s="70"/>
      <c r="S96" s="70"/>
      <c r="T96" s="70"/>
      <c r="U96" s="70"/>
      <c r="V96" s="70"/>
      <c r="W96" s="70"/>
      <c r="X96" s="70"/>
      <c r="Y96" s="70"/>
      <c r="Z96" s="70"/>
      <c r="AA96" s="70"/>
      <c r="AB96" s="70"/>
      <c r="AC96" s="70"/>
      <c r="AD96" s="70"/>
      <c r="AE96" s="70"/>
      <c r="AF96" s="70"/>
      <c r="AG96" s="70"/>
      <c r="AH96" s="70"/>
      <c r="AI96" s="70"/>
      <c r="AJ96" s="70"/>
      <c r="AK96" s="70"/>
      <c r="AL96" s="70"/>
      <c r="AM96" s="70"/>
      <c r="AN96" s="70"/>
      <c r="AO96" s="70"/>
      <c r="AP96" s="70"/>
      <c r="AQ96" s="70"/>
      <c r="AR96" s="70"/>
      <c r="AS96" s="70"/>
      <c r="AT96" s="70"/>
      <c r="AU96" s="70"/>
      <c r="AV96" s="70"/>
      <c r="AW96" s="70"/>
      <c r="AX96" s="70"/>
      <c r="AY96" s="70"/>
      <c r="AZ96" s="70"/>
      <c r="BA96" s="70"/>
      <c r="BB96" s="70"/>
      <c r="BC96" s="70"/>
      <c r="BD96" s="70"/>
      <c r="BE96" s="70"/>
      <c r="BF96" s="70"/>
      <c r="BG96" s="70"/>
      <c r="BH96" s="70"/>
      <c r="BI96" s="70"/>
      <c r="BJ96" s="70"/>
      <c r="BK96" s="70"/>
      <c r="BL96" s="70"/>
      <c r="BM96" s="70"/>
      <c r="BN96" s="70"/>
      <c r="BO96" s="70"/>
      <c r="BP96" s="70"/>
      <c r="BQ96" s="70"/>
      <c r="BR96" s="70"/>
      <c r="BS96" s="70"/>
      <c r="BT96" s="70"/>
      <c r="BU96" s="70"/>
      <c r="BV96" s="70"/>
      <c r="BW96" s="70"/>
      <c r="BX96" s="70"/>
      <c r="BY96" s="70"/>
      <c r="BZ96" s="70"/>
      <c r="CA96" s="70"/>
      <c r="CB96" s="70"/>
      <c r="CC96" s="70"/>
      <c r="CD96" s="70"/>
      <c r="CE96" s="70"/>
      <c r="CF96" s="70"/>
      <c r="CG96" s="70"/>
      <c r="CH96" s="70"/>
      <c r="CI96" s="70"/>
      <c r="CJ96" s="70"/>
      <c r="CK96" s="70"/>
      <c r="CL96" s="70"/>
      <c r="CM96" s="70"/>
      <c r="CN96" s="70"/>
      <c r="CO96" s="70"/>
      <c r="CP96" s="70"/>
      <c r="CR96" s="180"/>
    </row>
    <row r="97" spans="1:96" x14ac:dyDescent="0.2">
      <c r="A97" s="59"/>
      <c r="B97" s="66"/>
      <c r="C97" s="66"/>
      <c r="D97" s="66"/>
      <c r="E97" s="59"/>
      <c r="F97" s="59"/>
      <c r="G97" s="59"/>
      <c r="H97" s="59"/>
      <c r="I97" s="59"/>
      <c r="J97" s="59"/>
      <c r="K97" s="59"/>
      <c r="L97" s="68"/>
      <c r="M97" s="63"/>
      <c r="N97" s="59"/>
      <c r="O97" s="69"/>
      <c r="P97" s="70"/>
      <c r="Q97" s="70"/>
      <c r="R97" s="70"/>
      <c r="S97" s="70"/>
      <c r="T97" s="70"/>
      <c r="U97" s="70"/>
      <c r="V97" s="70"/>
      <c r="W97" s="70"/>
      <c r="X97" s="70"/>
      <c r="Y97" s="70"/>
      <c r="Z97" s="70"/>
      <c r="AA97" s="70"/>
      <c r="AB97" s="70"/>
      <c r="AC97" s="70"/>
      <c r="AD97" s="70"/>
      <c r="AE97" s="70"/>
      <c r="AF97" s="70"/>
      <c r="AG97" s="70"/>
      <c r="AH97" s="70"/>
      <c r="AI97" s="70"/>
      <c r="AJ97" s="70"/>
      <c r="AK97" s="70"/>
      <c r="AL97" s="70"/>
      <c r="AM97" s="70"/>
      <c r="AN97" s="70"/>
      <c r="AO97" s="70"/>
      <c r="AP97" s="70"/>
      <c r="AQ97" s="70"/>
      <c r="AR97" s="70"/>
      <c r="AS97" s="70"/>
      <c r="AT97" s="70"/>
      <c r="AU97" s="70"/>
      <c r="AV97" s="70"/>
      <c r="AW97" s="70"/>
      <c r="AX97" s="70"/>
      <c r="AY97" s="70"/>
      <c r="AZ97" s="70"/>
      <c r="BA97" s="70"/>
      <c r="BB97" s="70"/>
      <c r="BC97" s="70"/>
      <c r="BD97" s="70"/>
      <c r="BE97" s="70"/>
      <c r="BF97" s="70"/>
      <c r="BG97" s="70"/>
      <c r="BH97" s="70"/>
      <c r="BI97" s="70"/>
      <c r="BJ97" s="70"/>
      <c r="BK97" s="70"/>
      <c r="BL97" s="70"/>
      <c r="BM97" s="70"/>
      <c r="BN97" s="70"/>
      <c r="BO97" s="70"/>
      <c r="BP97" s="70"/>
      <c r="BQ97" s="70"/>
      <c r="BR97" s="70"/>
      <c r="BS97" s="70"/>
      <c r="BT97" s="70"/>
      <c r="BU97" s="70"/>
      <c r="BV97" s="70"/>
      <c r="BW97" s="70"/>
      <c r="BX97" s="70"/>
      <c r="BY97" s="70"/>
      <c r="BZ97" s="70"/>
      <c r="CA97" s="70"/>
      <c r="CB97" s="70"/>
      <c r="CC97" s="70"/>
      <c r="CD97" s="70"/>
      <c r="CE97" s="70"/>
      <c r="CF97" s="70"/>
      <c r="CG97" s="70"/>
      <c r="CH97" s="70"/>
      <c r="CI97" s="70"/>
      <c r="CJ97" s="70"/>
      <c r="CK97" s="70"/>
      <c r="CL97" s="70"/>
      <c r="CM97" s="70"/>
      <c r="CN97" s="70"/>
      <c r="CO97" s="70"/>
      <c r="CP97" s="70"/>
      <c r="CR97" s="180"/>
    </row>
    <row r="98" spans="1:96" x14ac:dyDescent="0.2">
      <c r="B98" s="66"/>
      <c r="C98" s="66"/>
      <c r="D98" s="66"/>
      <c r="E98" s="59"/>
      <c r="F98" s="59"/>
      <c r="G98" s="59"/>
      <c r="H98" s="59"/>
      <c r="I98" s="59"/>
      <c r="J98" s="59"/>
      <c r="K98" s="59"/>
      <c r="L98" s="68"/>
      <c r="M98" s="63"/>
      <c r="N98" s="59"/>
      <c r="O98" s="69"/>
      <c r="P98" s="70"/>
      <c r="Q98" s="70"/>
      <c r="R98" s="70"/>
      <c r="S98" s="70"/>
      <c r="T98" s="70"/>
      <c r="U98" s="70"/>
      <c r="V98" s="70"/>
      <c r="W98" s="70"/>
      <c r="X98" s="70"/>
      <c r="Y98" s="70"/>
      <c r="Z98" s="70"/>
      <c r="AA98" s="70"/>
      <c r="AB98" s="70"/>
      <c r="AC98" s="70"/>
      <c r="AD98" s="70"/>
      <c r="AE98" s="70"/>
      <c r="AF98" s="70"/>
      <c r="AG98" s="70"/>
      <c r="AH98" s="70"/>
      <c r="AI98" s="70"/>
      <c r="AJ98" s="70"/>
      <c r="AK98" s="70"/>
      <c r="AL98" s="70"/>
      <c r="AM98" s="70"/>
      <c r="AN98" s="70"/>
      <c r="AO98" s="70"/>
      <c r="AP98" s="70"/>
      <c r="AQ98" s="70"/>
      <c r="AR98" s="70"/>
      <c r="AS98" s="70"/>
      <c r="AT98" s="70"/>
      <c r="AU98" s="70"/>
      <c r="AV98" s="70"/>
      <c r="AW98" s="70"/>
      <c r="AX98" s="70"/>
      <c r="AY98" s="70"/>
      <c r="AZ98" s="70"/>
      <c r="BA98" s="70"/>
      <c r="BB98" s="70"/>
      <c r="BC98" s="70"/>
      <c r="BD98" s="70"/>
      <c r="BE98" s="70"/>
      <c r="BF98" s="70"/>
      <c r="BG98" s="70"/>
      <c r="BH98" s="70"/>
      <c r="BI98" s="70"/>
      <c r="BJ98" s="70"/>
      <c r="BK98" s="70"/>
      <c r="BL98" s="70"/>
      <c r="BM98" s="70"/>
      <c r="BN98" s="70"/>
      <c r="BO98" s="70"/>
      <c r="BP98" s="70"/>
      <c r="BQ98" s="70"/>
      <c r="BR98" s="70"/>
      <c r="BS98" s="70"/>
      <c r="BT98" s="70"/>
      <c r="BU98" s="70"/>
      <c r="BV98" s="70"/>
      <c r="BW98" s="70"/>
      <c r="BX98" s="70"/>
      <c r="BY98" s="70"/>
      <c r="BZ98" s="70"/>
      <c r="CA98" s="70"/>
      <c r="CB98" s="70"/>
      <c r="CC98" s="70"/>
      <c r="CD98" s="70"/>
      <c r="CE98" s="70"/>
      <c r="CF98" s="70"/>
      <c r="CG98" s="70"/>
      <c r="CH98" s="70"/>
      <c r="CI98" s="70"/>
      <c r="CJ98" s="70"/>
      <c r="CK98" s="70"/>
      <c r="CL98" s="70"/>
      <c r="CM98" s="70"/>
      <c r="CN98" s="70"/>
      <c r="CO98" s="70"/>
      <c r="CP98" s="70"/>
      <c r="CR98" s="180"/>
    </row>
    <row r="99" spans="1:96" x14ac:dyDescent="0.2">
      <c r="A99" s="59"/>
      <c r="B99" s="66"/>
      <c r="C99" s="66"/>
      <c r="D99" s="66"/>
      <c r="E99" s="59"/>
      <c r="F99" s="59"/>
      <c r="G99" s="59"/>
      <c r="H99" s="59"/>
      <c r="I99" s="59"/>
      <c r="J99" s="59"/>
      <c r="K99" s="59"/>
      <c r="L99" s="68"/>
      <c r="M99" s="63"/>
      <c r="N99" s="59"/>
      <c r="O99" s="69"/>
      <c r="P99" s="70"/>
      <c r="Q99" s="70"/>
      <c r="R99" s="70"/>
      <c r="S99" s="70"/>
      <c r="T99" s="70"/>
      <c r="U99" s="70"/>
      <c r="V99" s="70"/>
      <c r="W99" s="70"/>
      <c r="X99" s="70"/>
      <c r="Y99" s="70"/>
      <c r="Z99" s="70"/>
      <c r="AA99" s="70"/>
      <c r="AB99" s="70"/>
      <c r="AC99" s="70"/>
      <c r="AD99" s="70"/>
      <c r="AE99" s="70"/>
      <c r="AF99" s="70"/>
      <c r="AG99" s="70"/>
      <c r="AH99" s="70"/>
      <c r="AI99" s="70"/>
      <c r="AJ99" s="70"/>
      <c r="AK99" s="70"/>
      <c r="AL99" s="70"/>
      <c r="AM99" s="70"/>
      <c r="AN99" s="70"/>
      <c r="AO99" s="70"/>
      <c r="AP99" s="70"/>
      <c r="AQ99" s="70"/>
      <c r="AR99" s="70"/>
      <c r="AS99" s="70"/>
      <c r="AT99" s="70"/>
      <c r="AU99" s="70"/>
      <c r="AV99" s="70"/>
      <c r="AW99" s="70"/>
      <c r="AX99" s="70"/>
      <c r="AY99" s="70"/>
      <c r="AZ99" s="70"/>
      <c r="BA99" s="70"/>
      <c r="BB99" s="70"/>
      <c r="BC99" s="70"/>
      <c r="BD99" s="70"/>
      <c r="BE99" s="70"/>
      <c r="BF99" s="70"/>
      <c r="BG99" s="70"/>
      <c r="BH99" s="70"/>
      <c r="BI99" s="70"/>
      <c r="BJ99" s="70"/>
      <c r="BK99" s="70"/>
      <c r="BL99" s="70"/>
      <c r="BM99" s="70"/>
      <c r="BN99" s="70"/>
      <c r="BO99" s="70"/>
      <c r="BP99" s="70"/>
      <c r="BQ99" s="70"/>
      <c r="BR99" s="70"/>
      <c r="BS99" s="70"/>
      <c r="BT99" s="70"/>
      <c r="BU99" s="70"/>
      <c r="BV99" s="70"/>
      <c r="BW99" s="70"/>
      <c r="BX99" s="70"/>
      <c r="BY99" s="70"/>
      <c r="BZ99" s="70"/>
      <c r="CA99" s="70"/>
      <c r="CB99" s="70"/>
      <c r="CC99" s="70"/>
      <c r="CD99" s="70"/>
      <c r="CE99" s="70"/>
      <c r="CF99" s="70"/>
      <c r="CG99" s="70"/>
      <c r="CH99" s="70"/>
      <c r="CI99" s="70"/>
      <c r="CJ99" s="70"/>
      <c r="CK99" s="70"/>
      <c r="CL99" s="70"/>
      <c r="CM99" s="70"/>
      <c r="CN99" s="70"/>
      <c r="CO99" s="70"/>
      <c r="CP99" s="70"/>
      <c r="CR99" s="180"/>
    </row>
    <row r="100" spans="1:96" x14ac:dyDescent="0.2">
      <c r="B100" s="66"/>
      <c r="C100" s="66"/>
      <c r="D100" s="66"/>
      <c r="E100" s="59"/>
      <c r="F100" s="59"/>
      <c r="G100" s="59"/>
      <c r="H100" s="59"/>
      <c r="I100" s="59"/>
      <c r="J100" s="59"/>
      <c r="K100" s="59"/>
      <c r="L100" s="68"/>
      <c r="M100" s="63"/>
      <c r="N100" s="59"/>
      <c r="O100" s="69"/>
      <c r="P100" s="70"/>
      <c r="Q100" s="70"/>
      <c r="R100" s="70"/>
      <c r="S100" s="70"/>
      <c r="T100" s="70"/>
      <c r="U100" s="70"/>
      <c r="V100" s="70"/>
      <c r="W100" s="70"/>
      <c r="X100" s="70"/>
      <c r="Y100" s="70"/>
      <c r="Z100" s="70"/>
      <c r="AA100" s="70"/>
      <c r="AB100" s="70"/>
      <c r="AC100" s="70"/>
      <c r="AD100" s="70"/>
      <c r="AE100" s="70"/>
      <c r="AF100" s="70"/>
      <c r="AG100" s="70"/>
      <c r="AH100" s="70"/>
      <c r="AI100" s="70"/>
      <c r="AJ100" s="70"/>
      <c r="AK100" s="70"/>
      <c r="AL100" s="70"/>
      <c r="AM100" s="70"/>
      <c r="AN100" s="70"/>
      <c r="AO100" s="70"/>
      <c r="AP100" s="70"/>
      <c r="AQ100" s="70"/>
      <c r="AR100" s="70"/>
      <c r="AS100" s="70"/>
      <c r="AT100" s="70"/>
      <c r="AU100" s="70"/>
      <c r="AV100" s="70"/>
      <c r="AW100" s="70"/>
      <c r="AX100" s="70"/>
      <c r="AY100" s="70"/>
      <c r="AZ100" s="70"/>
      <c r="BA100" s="70"/>
      <c r="BB100" s="70"/>
      <c r="BC100" s="70"/>
      <c r="BD100" s="70"/>
      <c r="BE100" s="70"/>
      <c r="BF100" s="70"/>
      <c r="BG100" s="70"/>
      <c r="BH100" s="70"/>
      <c r="BI100" s="70"/>
      <c r="BJ100" s="70"/>
      <c r="BK100" s="70"/>
      <c r="BL100" s="70"/>
      <c r="BM100" s="70"/>
      <c r="BN100" s="70"/>
      <c r="BO100" s="70"/>
      <c r="BP100" s="70"/>
      <c r="BQ100" s="70"/>
      <c r="BR100" s="70"/>
      <c r="BS100" s="70"/>
      <c r="BT100" s="70"/>
      <c r="BU100" s="70"/>
      <c r="BV100" s="70"/>
      <c r="BW100" s="70"/>
      <c r="BX100" s="70"/>
      <c r="BY100" s="70"/>
      <c r="BZ100" s="70"/>
      <c r="CA100" s="70"/>
      <c r="CB100" s="70"/>
      <c r="CC100" s="70"/>
      <c r="CD100" s="70"/>
      <c r="CE100" s="70"/>
      <c r="CF100" s="70"/>
      <c r="CG100" s="70"/>
      <c r="CH100" s="70"/>
      <c r="CI100" s="70"/>
      <c r="CJ100" s="70"/>
      <c r="CK100" s="70"/>
      <c r="CL100" s="70"/>
      <c r="CM100" s="70"/>
      <c r="CN100" s="70"/>
      <c r="CO100" s="70"/>
      <c r="CP100" s="70"/>
      <c r="CR100" s="180"/>
    </row>
    <row r="101" spans="1:96" x14ac:dyDescent="0.2">
      <c r="A101" s="59"/>
      <c r="B101" s="66"/>
      <c r="C101" s="66"/>
      <c r="D101" s="66"/>
      <c r="E101" s="59"/>
      <c r="F101" s="59"/>
      <c r="G101" s="59"/>
      <c r="H101" s="59"/>
      <c r="I101" s="59"/>
      <c r="J101" s="59"/>
      <c r="K101" s="59"/>
      <c r="L101" s="68"/>
      <c r="M101" s="63"/>
      <c r="N101" s="59"/>
      <c r="O101" s="69"/>
      <c r="P101" s="70"/>
      <c r="Q101" s="70"/>
      <c r="R101" s="70"/>
      <c r="S101" s="70"/>
      <c r="T101" s="70"/>
      <c r="U101" s="70"/>
      <c r="V101" s="70"/>
      <c r="W101" s="70"/>
      <c r="X101" s="70"/>
      <c r="Y101" s="70"/>
      <c r="Z101" s="70"/>
      <c r="AA101" s="70"/>
      <c r="AB101" s="70"/>
      <c r="AC101" s="70"/>
      <c r="AD101" s="70"/>
      <c r="AE101" s="70"/>
      <c r="AF101" s="70"/>
      <c r="AG101" s="70"/>
      <c r="AH101" s="70"/>
      <c r="AI101" s="70"/>
      <c r="AJ101" s="70"/>
      <c r="AK101" s="70"/>
      <c r="AL101" s="70"/>
      <c r="AM101" s="70"/>
      <c r="AN101" s="70"/>
      <c r="AO101" s="70"/>
      <c r="AP101" s="70"/>
      <c r="AQ101" s="70"/>
      <c r="AR101" s="70"/>
      <c r="AS101" s="70"/>
      <c r="AT101" s="70"/>
      <c r="AU101" s="70"/>
      <c r="AV101" s="70"/>
      <c r="AW101" s="70"/>
      <c r="AX101" s="70"/>
      <c r="AY101" s="70"/>
      <c r="AZ101" s="70"/>
      <c r="BA101" s="70"/>
      <c r="BB101" s="70"/>
      <c r="BC101" s="70"/>
      <c r="BD101" s="70"/>
      <c r="BE101" s="70"/>
      <c r="BF101" s="70"/>
      <c r="BG101" s="70"/>
      <c r="BH101" s="70"/>
      <c r="BI101" s="70"/>
      <c r="BJ101" s="70"/>
      <c r="BK101" s="70"/>
      <c r="BL101" s="70"/>
      <c r="BM101" s="70"/>
      <c r="BN101" s="70"/>
      <c r="BO101" s="70"/>
      <c r="BP101" s="70"/>
      <c r="BQ101" s="70"/>
      <c r="BR101" s="70"/>
      <c r="BS101" s="70"/>
      <c r="BT101" s="70"/>
      <c r="BU101" s="70"/>
      <c r="BV101" s="70"/>
      <c r="BW101" s="70"/>
      <c r="BX101" s="70"/>
      <c r="BY101" s="70"/>
      <c r="BZ101" s="70"/>
      <c r="CA101" s="70"/>
      <c r="CB101" s="70"/>
      <c r="CC101" s="70"/>
      <c r="CD101" s="70"/>
      <c r="CE101" s="70"/>
      <c r="CF101" s="70"/>
      <c r="CG101" s="70"/>
      <c r="CH101" s="70"/>
      <c r="CI101" s="70"/>
      <c r="CJ101" s="70"/>
      <c r="CK101" s="70"/>
      <c r="CL101" s="70"/>
      <c r="CM101" s="70"/>
      <c r="CN101" s="70"/>
      <c r="CO101" s="70"/>
      <c r="CP101" s="70"/>
      <c r="CR101" s="180"/>
    </row>
    <row r="102" spans="1:96" x14ac:dyDescent="0.2">
      <c r="B102" s="66"/>
      <c r="C102" s="66"/>
      <c r="D102" s="66"/>
      <c r="E102" s="59"/>
      <c r="F102" s="59"/>
      <c r="G102" s="59"/>
      <c r="H102" s="59"/>
      <c r="I102" s="59"/>
      <c r="J102" s="59"/>
      <c r="K102" s="59"/>
      <c r="L102" s="68"/>
      <c r="M102" s="63"/>
      <c r="N102" s="59"/>
      <c r="O102" s="69"/>
      <c r="P102" s="70"/>
      <c r="Q102" s="70"/>
      <c r="R102" s="70"/>
      <c r="S102" s="70"/>
      <c r="T102" s="70"/>
      <c r="U102" s="70"/>
      <c r="V102" s="70"/>
      <c r="W102" s="70"/>
      <c r="X102" s="70"/>
      <c r="Y102" s="70"/>
      <c r="Z102" s="70"/>
      <c r="AA102" s="70"/>
      <c r="AB102" s="70"/>
      <c r="AC102" s="70"/>
      <c r="AD102" s="70"/>
      <c r="AE102" s="70"/>
      <c r="AF102" s="70"/>
      <c r="AG102" s="70"/>
      <c r="AH102" s="70"/>
      <c r="AI102" s="70"/>
      <c r="AJ102" s="70"/>
      <c r="AK102" s="70"/>
      <c r="AL102" s="70"/>
      <c r="AM102" s="70"/>
      <c r="AN102" s="70"/>
      <c r="AO102" s="70"/>
      <c r="AP102" s="70"/>
      <c r="AQ102" s="70"/>
      <c r="AR102" s="70"/>
      <c r="AS102" s="70"/>
      <c r="AT102" s="70"/>
      <c r="AU102" s="70"/>
      <c r="AV102" s="70"/>
      <c r="AW102" s="70"/>
      <c r="AX102" s="70"/>
      <c r="AY102" s="70"/>
      <c r="AZ102" s="70"/>
      <c r="BA102" s="70"/>
      <c r="BB102" s="70"/>
      <c r="BC102" s="70"/>
      <c r="BD102" s="70"/>
      <c r="BE102" s="70"/>
      <c r="BF102" s="70"/>
      <c r="BG102" s="70"/>
      <c r="BH102" s="70"/>
      <c r="BI102" s="70"/>
      <c r="BJ102" s="70"/>
      <c r="BK102" s="70"/>
      <c r="BL102" s="70"/>
      <c r="BM102" s="70"/>
      <c r="BN102" s="70"/>
      <c r="BO102" s="70"/>
      <c r="BP102" s="70"/>
      <c r="BQ102" s="70"/>
      <c r="BR102" s="70"/>
      <c r="BS102" s="70"/>
      <c r="BT102" s="70"/>
      <c r="BU102" s="70"/>
      <c r="BV102" s="70"/>
      <c r="BW102" s="70"/>
      <c r="BX102" s="70"/>
      <c r="BY102" s="70"/>
      <c r="BZ102" s="70"/>
      <c r="CA102" s="70"/>
      <c r="CB102" s="70"/>
      <c r="CC102" s="70"/>
      <c r="CD102" s="70"/>
      <c r="CE102" s="70"/>
      <c r="CF102" s="70"/>
      <c r="CG102" s="70"/>
      <c r="CH102" s="70"/>
      <c r="CI102" s="70"/>
      <c r="CJ102" s="70"/>
      <c r="CK102" s="70"/>
      <c r="CL102" s="70"/>
      <c r="CM102" s="70"/>
      <c r="CN102" s="70"/>
      <c r="CO102" s="70"/>
      <c r="CP102" s="70"/>
      <c r="CR102" s="180"/>
    </row>
    <row r="103" spans="1:96" x14ac:dyDescent="0.2">
      <c r="A103" s="59"/>
      <c r="B103" s="66"/>
      <c r="C103" s="66"/>
      <c r="D103" s="66"/>
      <c r="E103" s="59"/>
      <c r="F103" s="59"/>
      <c r="G103" s="59"/>
      <c r="H103" s="59"/>
      <c r="I103" s="59"/>
      <c r="J103" s="59"/>
      <c r="K103" s="59"/>
      <c r="L103" s="68"/>
      <c r="M103" s="63"/>
      <c r="N103" s="59"/>
      <c r="O103" s="69"/>
      <c r="P103" s="70"/>
      <c r="Q103" s="70"/>
      <c r="R103" s="70"/>
      <c r="S103" s="70"/>
      <c r="T103" s="70"/>
      <c r="U103" s="70"/>
      <c r="V103" s="70"/>
      <c r="W103" s="70"/>
      <c r="X103" s="70"/>
      <c r="Y103" s="70"/>
      <c r="Z103" s="70"/>
      <c r="AA103" s="70"/>
      <c r="AB103" s="70"/>
      <c r="AC103" s="70"/>
      <c r="AD103" s="70"/>
      <c r="AE103" s="70"/>
      <c r="AF103" s="70"/>
      <c r="AG103" s="70"/>
      <c r="AH103" s="70"/>
      <c r="AI103" s="70"/>
      <c r="AJ103" s="70"/>
      <c r="AK103" s="70"/>
      <c r="AL103" s="70"/>
      <c r="AM103" s="70"/>
      <c r="AN103" s="70"/>
      <c r="AO103" s="70"/>
      <c r="AP103" s="70"/>
      <c r="AQ103" s="70"/>
      <c r="AR103" s="70"/>
      <c r="AS103" s="70"/>
      <c r="AT103" s="70"/>
      <c r="AU103" s="70"/>
      <c r="AV103" s="70"/>
      <c r="AW103" s="70"/>
      <c r="AX103" s="70"/>
      <c r="AY103" s="70"/>
      <c r="AZ103" s="70"/>
      <c r="BA103" s="70"/>
      <c r="BB103" s="70"/>
      <c r="BC103" s="70"/>
      <c r="BD103" s="70"/>
      <c r="BE103" s="70"/>
      <c r="BF103" s="70"/>
      <c r="BG103" s="70"/>
      <c r="BH103" s="70"/>
      <c r="BI103" s="70"/>
      <c r="BJ103" s="70"/>
      <c r="BK103" s="70"/>
      <c r="BL103" s="70"/>
      <c r="BM103" s="70"/>
      <c r="BN103" s="70"/>
      <c r="BO103" s="70"/>
      <c r="BP103" s="70"/>
      <c r="BQ103" s="70"/>
      <c r="BR103" s="70"/>
      <c r="BS103" s="70"/>
      <c r="BT103" s="70"/>
      <c r="BU103" s="70"/>
      <c r="BV103" s="70"/>
      <c r="BW103" s="70"/>
      <c r="BX103" s="70"/>
      <c r="BY103" s="70"/>
      <c r="BZ103" s="70"/>
      <c r="CA103" s="70"/>
      <c r="CB103" s="70"/>
      <c r="CC103" s="70"/>
      <c r="CD103" s="70"/>
      <c r="CE103" s="70"/>
      <c r="CF103" s="70"/>
      <c r="CG103" s="70"/>
      <c r="CH103" s="70"/>
      <c r="CI103" s="70"/>
      <c r="CJ103" s="70"/>
      <c r="CK103" s="70"/>
      <c r="CL103" s="70"/>
      <c r="CM103" s="70"/>
      <c r="CN103" s="70"/>
      <c r="CO103" s="70"/>
      <c r="CP103" s="70"/>
      <c r="CR103" s="180"/>
    </row>
    <row r="104" spans="1:96" x14ac:dyDescent="0.2">
      <c r="B104" s="66"/>
      <c r="C104" s="66"/>
      <c r="D104" s="66"/>
      <c r="E104" s="59"/>
      <c r="F104" s="59"/>
      <c r="G104" s="59"/>
      <c r="H104" s="59"/>
      <c r="I104" s="59"/>
      <c r="J104" s="59"/>
      <c r="K104" s="59"/>
      <c r="L104" s="68"/>
      <c r="M104" s="63"/>
      <c r="N104" s="59"/>
      <c r="O104" s="69"/>
      <c r="P104" s="70"/>
      <c r="Q104" s="70"/>
      <c r="R104" s="70"/>
      <c r="S104" s="70"/>
      <c r="T104" s="70"/>
      <c r="U104" s="70"/>
      <c r="V104" s="70"/>
      <c r="W104" s="70"/>
      <c r="X104" s="70"/>
      <c r="Y104" s="70"/>
      <c r="Z104" s="70"/>
      <c r="AA104" s="70"/>
      <c r="AB104" s="70"/>
      <c r="AC104" s="70"/>
      <c r="AD104" s="70"/>
      <c r="AE104" s="70"/>
      <c r="AF104" s="70"/>
      <c r="AG104" s="70"/>
      <c r="AH104" s="70"/>
      <c r="AI104" s="70"/>
      <c r="AJ104" s="70"/>
      <c r="AK104" s="70"/>
      <c r="AL104" s="70"/>
      <c r="AM104" s="70"/>
      <c r="AN104" s="70"/>
      <c r="AO104" s="70"/>
      <c r="AP104" s="70"/>
      <c r="AQ104" s="70"/>
      <c r="AR104" s="70"/>
      <c r="AS104" s="70"/>
      <c r="AT104" s="70"/>
      <c r="AU104" s="70"/>
      <c r="AV104" s="70"/>
      <c r="AW104" s="70"/>
      <c r="AX104" s="70"/>
      <c r="AY104" s="70"/>
      <c r="AZ104" s="70"/>
      <c r="BA104" s="70"/>
      <c r="BB104" s="70"/>
      <c r="BC104" s="70"/>
      <c r="BD104" s="70"/>
      <c r="BE104" s="70"/>
      <c r="BF104" s="70"/>
      <c r="BG104" s="70"/>
      <c r="BH104" s="70"/>
      <c r="BI104" s="70"/>
      <c r="BJ104" s="70"/>
      <c r="BK104" s="70"/>
      <c r="BL104" s="70"/>
      <c r="BM104" s="70"/>
      <c r="BN104" s="70"/>
      <c r="BO104" s="70"/>
      <c r="BP104" s="70"/>
      <c r="BQ104" s="70"/>
      <c r="BR104" s="70"/>
      <c r="BS104" s="70"/>
      <c r="BT104" s="70"/>
      <c r="BU104" s="70"/>
      <c r="BV104" s="70"/>
      <c r="BW104" s="70"/>
      <c r="BX104" s="70"/>
      <c r="BY104" s="70"/>
      <c r="BZ104" s="70"/>
      <c r="CA104" s="70"/>
      <c r="CB104" s="70"/>
      <c r="CC104" s="70"/>
      <c r="CD104" s="70"/>
      <c r="CE104" s="70"/>
      <c r="CF104" s="70"/>
      <c r="CG104" s="70"/>
      <c r="CH104" s="70"/>
      <c r="CI104" s="70"/>
      <c r="CJ104" s="70"/>
      <c r="CK104" s="70"/>
      <c r="CL104" s="70"/>
      <c r="CM104" s="70"/>
      <c r="CN104" s="70"/>
      <c r="CO104" s="70"/>
      <c r="CP104" s="70"/>
      <c r="CR104" s="180"/>
    </row>
    <row r="105" spans="1:96" x14ac:dyDescent="0.2">
      <c r="A105" s="59"/>
      <c r="B105" s="66"/>
      <c r="C105" s="66"/>
      <c r="D105" s="66"/>
      <c r="E105" s="59"/>
      <c r="F105" s="59"/>
      <c r="G105" s="59"/>
      <c r="H105" s="59"/>
      <c r="I105" s="59"/>
      <c r="J105" s="59"/>
      <c r="K105" s="59"/>
      <c r="L105" s="68"/>
      <c r="M105" s="63"/>
      <c r="N105" s="59"/>
      <c r="O105" s="69"/>
      <c r="P105" s="70"/>
      <c r="Q105" s="70"/>
      <c r="R105" s="70"/>
      <c r="S105" s="70"/>
      <c r="T105" s="70"/>
      <c r="U105" s="70"/>
      <c r="V105" s="70"/>
      <c r="W105" s="70"/>
      <c r="X105" s="70"/>
      <c r="Y105" s="70"/>
      <c r="Z105" s="70"/>
      <c r="AA105" s="70"/>
      <c r="AB105" s="70"/>
      <c r="AC105" s="70"/>
      <c r="AD105" s="70"/>
      <c r="AE105" s="70"/>
      <c r="AF105" s="70"/>
      <c r="AG105" s="70"/>
      <c r="AH105" s="70"/>
      <c r="AI105" s="70"/>
      <c r="AJ105" s="70"/>
      <c r="AK105" s="70"/>
      <c r="AL105" s="70"/>
      <c r="AM105" s="70"/>
      <c r="AN105" s="70"/>
      <c r="AO105" s="70"/>
      <c r="AP105" s="70"/>
      <c r="AQ105" s="70"/>
      <c r="AR105" s="70"/>
      <c r="AS105" s="70"/>
      <c r="AT105" s="70"/>
      <c r="AU105" s="70"/>
      <c r="AV105" s="70"/>
      <c r="AW105" s="70"/>
      <c r="AX105" s="70"/>
      <c r="AY105" s="70"/>
      <c r="AZ105" s="70"/>
      <c r="BA105" s="70"/>
      <c r="BB105" s="70"/>
      <c r="BC105" s="70"/>
      <c r="BD105" s="70"/>
      <c r="BE105" s="70"/>
      <c r="BF105" s="70"/>
      <c r="BG105" s="70"/>
      <c r="BH105" s="70"/>
      <c r="BI105" s="70"/>
      <c r="BJ105" s="70"/>
      <c r="BK105" s="70"/>
      <c r="BL105" s="70"/>
      <c r="BM105" s="70"/>
      <c r="BN105" s="70"/>
      <c r="BO105" s="70"/>
      <c r="BP105" s="70"/>
      <c r="BQ105" s="70"/>
      <c r="BR105" s="70"/>
      <c r="BS105" s="70"/>
      <c r="BT105" s="70"/>
      <c r="BU105" s="70"/>
      <c r="BV105" s="70"/>
      <c r="BW105" s="70"/>
      <c r="BX105" s="70"/>
      <c r="BY105" s="70"/>
      <c r="BZ105" s="70"/>
      <c r="CA105" s="70"/>
      <c r="CB105" s="70"/>
      <c r="CC105" s="70"/>
      <c r="CD105" s="70"/>
      <c r="CE105" s="70"/>
      <c r="CF105" s="70"/>
      <c r="CG105" s="70"/>
      <c r="CH105" s="70"/>
      <c r="CI105" s="70"/>
      <c r="CJ105" s="70"/>
      <c r="CK105" s="70"/>
      <c r="CL105" s="70"/>
      <c r="CM105" s="70"/>
      <c r="CN105" s="70"/>
      <c r="CO105" s="70"/>
      <c r="CP105" s="70"/>
      <c r="CR105" s="180"/>
    </row>
    <row r="106" spans="1:96" x14ac:dyDescent="0.2">
      <c r="B106" s="66"/>
      <c r="C106" s="66"/>
      <c r="D106" s="66"/>
      <c r="E106" s="59"/>
      <c r="F106" s="59"/>
      <c r="G106" s="59"/>
      <c r="H106" s="59"/>
      <c r="I106" s="59"/>
      <c r="J106" s="59"/>
      <c r="K106" s="59"/>
      <c r="L106" s="68"/>
      <c r="M106" s="63"/>
      <c r="N106" s="59"/>
      <c r="O106" s="69"/>
      <c r="P106" s="70"/>
      <c r="Q106" s="70"/>
      <c r="R106" s="70"/>
      <c r="S106" s="70"/>
      <c r="T106" s="70"/>
      <c r="U106" s="70"/>
      <c r="V106" s="70"/>
      <c r="W106" s="70"/>
      <c r="X106" s="70"/>
      <c r="Y106" s="70"/>
      <c r="Z106" s="70"/>
      <c r="AA106" s="70"/>
      <c r="AB106" s="70"/>
      <c r="AC106" s="70"/>
      <c r="AD106" s="70"/>
      <c r="AE106" s="70"/>
      <c r="AF106" s="70"/>
      <c r="AG106" s="70"/>
      <c r="AH106" s="70"/>
      <c r="AI106" s="70"/>
      <c r="AJ106" s="70"/>
      <c r="AK106" s="70"/>
      <c r="AL106" s="70"/>
      <c r="AM106" s="70"/>
      <c r="AN106" s="70"/>
      <c r="AO106" s="70"/>
      <c r="AP106" s="70"/>
      <c r="AQ106" s="70"/>
      <c r="AR106" s="70"/>
      <c r="AS106" s="70"/>
      <c r="AT106" s="70"/>
      <c r="AU106" s="70"/>
      <c r="AV106" s="70"/>
      <c r="AW106" s="70"/>
      <c r="AX106" s="70"/>
      <c r="AY106" s="70"/>
      <c r="AZ106" s="70"/>
      <c r="BA106" s="70"/>
      <c r="BB106" s="70"/>
      <c r="BC106" s="70"/>
      <c r="BD106" s="70"/>
      <c r="BE106" s="70"/>
      <c r="BF106" s="70"/>
      <c r="BG106" s="70"/>
      <c r="BH106" s="70"/>
      <c r="BI106" s="70"/>
      <c r="BJ106" s="70"/>
      <c r="BK106" s="70"/>
      <c r="BL106" s="70"/>
      <c r="BM106" s="70"/>
      <c r="BN106" s="70"/>
      <c r="BO106" s="70"/>
      <c r="BP106" s="70"/>
      <c r="BQ106" s="70"/>
      <c r="BR106" s="70"/>
      <c r="BS106" s="70"/>
      <c r="BT106" s="70"/>
      <c r="BU106" s="70"/>
      <c r="BV106" s="70"/>
      <c r="BW106" s="70"/>
      <c r="BX106" s="70"/>
      <c r="BY106" s="70"/>
      <c r="BZ106" s="70"/>
      <c r="CA106" s="70"/>
      <c r="CB106" s="70"/>
      <c r="CC106" s="70"/>
      <c r="CD106" s="70"/>
      <c r="CE106" s="70"/>
      <c r="CF106" s="70"/>
      <c r="CG106" s="70"/>
      <c r="CH106" s="70"/>
      <c r="CI106" s="70"/>
      <c r="CJ106" s="70"/>
      <c r="CK106" s="70"/>
      <c r="CL106" s="70"/>
      <c r="CM106" s="70"/>
      <c r="CN106" s="70"/>
      <c r="CO106" s="70"/>
      <c r="CP106" s="70"/>
      <c r="CR106" s="180"/>
    </row>
    <row r="107" spans="1:96" x14ac:dyDescent="0.2">
      <c r="A107" s="59"/>
      <c r="B107" s="66"/>
      <c r="C107" s="66"/>
      <c r="D107" s="66"/>
      <c r="E107" s="59"/>
      <c r="F107" s="59"/>
      <c r="G107" s="59"/>
      <c r="H107" s="59"/>
      <c r="I107" s="59"/>
      <c r="J107" s="59"/>
      <c r="K107" s="59"/>
      <c r="L107" s="68"/>
      <c r="M107" s="63"/>
      <c r="N107" s="59"/>
      <c r="O107" s="69"/>
      <c r="P107" s="70"/>
      <c r="Q107" s="70"/>
      <c r="R107" s="70"/>
      <c r="S107" s="70"/>
      <c r="T107" s="70"/>
      <c r="U107" s="70"/>
      <c r="V107" s="70"/>
      <c r="W107" s="70"/>
      <c r="X107" s="70"/>
      <c r="Y107" s="70"/>
      <c r="Z107" s="70"/>
      <c r="AA107" s="70"/>
      <c r="AB107" s="70"/>
      <c r="AC107" s="70"/>
      <c r="AD107" s="70"/>
      <c r="AE107" s="70"/>
      <c r="AF107" s="70"/>
      <c r="AG107" s="70"/>
      <c r="AH107" s="70"/>
      <c r="AI107" s="70"/>
      <c r="AJ107" s="70"/>
      <c r="AK107" s="70"/>
      <c r="AL107" s="70"/>
      <c r="AM107" s="70"/>
      <c r="AN107" s="70"/>
      <c r="AO107" s="70"/>
      <c r="AP107" s="70"/>
      <c r="AQ107" s="70"/>
      <c r="AR107" s="70"/>
      <c r="AS107" s="70"/>
      <c r="AT107" s="70"/>
      <c r="AU107" s="70"/>
      <c r="AV107" s="70"/>
      <c r="AW107" s="70"/>
      <c r="AX107" s="70"/>
      <c r="AY107" s="70"/>
      <c r="AZ107" s="70"/>
      <c r="BA107" s="70"/>
      <c r="BB107" s="70"/>
      <c r="BC107" s="70"/>
      <c r="BD107" s="70"/>
      <c r="BE107" s="70"/>
      <c r="BF107" s="70"/>
      <c r="BG107" s="70"/>
      <c r="BH107" s="70"/>
      <c r="BI107" s="70"/>
      <c r="BJ107" s="70"/>
      <c r="BK107" s="70"/>
      <c r="BL107" s="70"/>
      <c r="BM107" s="70"/>
      <c r="BN107" s="70"/>
      <c r="BO107" s="70"/>
      <c r="BP107" s="70"/>
      <c r="BQ107" s="70"/>
      <c r="BR107" s="70"/>
      <c r="BS107" s="70"/>
      <c r="BT107" s="70"/>
      <c r="BU107" s="70"/>
      <c r="BV107" s="70"/>
      <c r="BW107" s="70"/>
      <c r="BX107" s="70"/>
      <c r="BY107" s="70"/>
      <c r="BZ107" s="70"/>
      <c r="CA107" s="70"/>
      <c r="CB107" s="70"/>
      <c r="CC107" s="70"/>
      <c r="CD107" s="70"/>
      <c r="CE107" s="70"/>
      <c r="CF107" s="70"/>
      <c r="CG107" s="70"/>
      <c r="CH107" s="70"/>
      <c r="CI107" s="70"/>
      <c r="CJ107" s="70"/>
      <c r="CK107" s="70"/>
      <c r="CL107" s="70"/>
      <c r="CM107" s="70"/>
      <c r="CN107" s="70"/>
      <c r="CO107" s="70"/>
      <c r="CP107" s="70"/>
      <c r="CR107" s="180"/>
    </row>
    <row r="108" spans="1:96" x14ac:dyDescent="0.2">
      <c r="B108" s="66"/>
      <c r="C108" s="66"/>
      <c r="D108" s="66"/>
      <c r="E108" s="59"/>
      <c r="F108" s="59"/>
      <c r="G108" s="59"/>
      <c r="H108" s="59"/>
      <c r="I108" s="59"/>
      <c r="J108" s="59"/>
      <c r="K108" s="59"/>
      <c r="L108" s="68"/>
      <c r="M108" s="63"/>
      <c r="N108" s="59"/>
      <c r="O108" s="69"/>
      <c r="P108" s="70"/>
      <c r="Q108" s="70"/>
      <c r="R108" s="70"/>
      <c r="S108" s="70"/>
      <c r="T108" s="70"/>
      <c r="U108" s="70"/>
      <c r="V108" s="70"/>
      <c r="W108" s="70"/>
      <c r="X108" s="70"/>
      <c r="Y108" s="70"/>
      <c r="Z108" s="70"/>
      <c r="AA108" s="70"/>
      <c r="AB108" s="70"/>
      <c r="AC108" s="70"/>
      <c r="AD108" s="70"/>
      <c r="AE108" s="70"/>
      <c r="AF108" s="70"/>
      <c r="AG108" s="70"/>
      <c r="AH108" s="70"/>
      <c r="AI108" s="70"/>
      <c r="AJ108" s="70"/>
      <c r="AK108" s="70"/>
      <c r="AL108" s="70"/>
      <c r="AM108" s="70"/>
      <c r="AN108" s="70"/>
      <c r="AO108" s="70"/>
      <c r="AP108" s="70"/>
      <c r="AQ108" s="70"/>
      <c r="AR108" s="70"/>
      <c r="AS108" s="70"/>
      <c r="AT108" s="70"/>
      <c r="AU108" s="70"/>
      <c r="AV108" s="70"/>
      <c r="AW108" s="70"/>
      <c r="AX108" s="70"/>
      <c r="AY108" s="70"/>
      <c r="AZ108" s="70"/>
      <c r="BA108" s="70"/>
      <c r="BB108" s="70"/>
      <c r="BC108" s="70"/>
      <c r="BD108" s="70"/>
      <c r="BE108" s="70"/>
      <c r="BF108" s="70"/>
      <c r="BG108" s="70"/>
      <c r="BH108" s="70"/>
      <c r="BI108" s="70"/>
      <c r="BJ108" s="70"/>
      <c r="BK108" s="70"/>
      <c r="BL108" s="70"/>
      <c r="BM108" s="70"/>
      <c r="BN108" s="70"/>
      <c r="BO108" s="70"/>
      <c r="BP108" s="70"/>
      <c r="BQ108" s="70"/>
      <c r="BR108" s="70"/>
      <c r="BS108" s="70"/>
      <c r="BT108" s="70"/>
      <c r="BU108" s="70"/>
      <c r="BV108" s="70"/>
      <c r="BW108" s="70"/>
      <c r="BX108" s="70"/>
      <c r="BY108" s="70"/>
      <c r="BZ108" s="70"/>
      <c r="CA108" s="70"/>
      <c r="CB108" s="70"/>
      <c r="CC108" s="70"/>
      <c r="CD108" s="70"/>
      <c r="CE108" s="70"/>
      <c r="CF108" s="70"/>
      <c r="CG108" s="70"/>
      <c r="CH108" s="70"/>
      <c r="CI108" s="70"/>
      <c r="CJ108" s="70"/>
      <c r="CK108" s="70"/>
      <c r="CL108" s="70"/>
      <c r="CM108" s="70"/>
      <c r="CN108" s="70"/>
      <c r="CO108" s="70"/>
      <c r="CP108" s="70"/>
      <c r="CR108" s="180"/>
    </row>
    <row r="109" spans="1:96" x14ac:dyDescent="0.2">
      <c r="A109" s="59"/>
      <c r="B109" s="66"/>
      <c r="C109" s="66"/>
      <c r="D109" s="66"/>
      <c r="E109" s="59"/>
      <c r="F109" s="59"/>
      <c r="G109" s="59"/>
      <c r="H109" s="59"/>
      <c r="I109" s="59"/>
      <c r="J109" s="59"/>
      <c r="K109" s="59"/>
      <c r="L109" s="68"/>
      <c r="M109" s="63"/>
      <c r="N109" s="59"/>
      <c r="O109" s="69"/>
      <c r="P109" s="70"/>
      <c r="Q109" s="70"/>
      <c r="R109" s="70"/>
      <c r="S109" s="70"/>
      <c r="T109" s="70"/>
      <c r="U109" s="70"/>
      <c r="V109" s="70"/>
      <c r="W109" s="70"/>
      <c r="X109" s="70"/>
      <c r="Y109" s="70"/>
      <c r="Z109" s="70"/>
      <c r="AA109" s="70"/>
      <c r="AB109" s="70"/>
      <c r="AC109" s="70"/>
      <c r="AD109" s="70"/>
      <c r="AE109" s="70"/>
      <c r="AF109" s="70"/>
      <c r="AG109" s="70"/>
      <c r="AH109" s="70"/>
      <c r="AI109" s="70"/>
      <c r="AJ109" s="70"/>
      <c r="AK109" s="70"/>
      <c r="AL109" s="70"/>
      <c r="AM109" s="70"/>
      <c r="AN109" s="70"/>
      <c r="AO109" s="70"/>
      <c r="AP109" s="70"/>
      <c r="AQ109" s="70"/>
      <c r="AR109" s="70"/>
      <c r="AS109" s="70"/>
      <c r="AT109" s="70"/>
      <c r="AU109" s="70"/>
      <c r="AV109" s="70"/>
      <c r="AW109" s="70"/>
      <c r="AX109" s="70"/>
      <c r="AY109" s="70"/>
      <c r="AZ109" s="70"/>
      <c r="BA109" s="70"/>
      <c r="BB109" s="70"/>
      <c r="BC109" s="70"/>
      <c r="BD109" s="70"/>
      <c r="BE109" s="70"/>
      <c r="BF109" s="70"/>
      <c r="BG109" s="70"/>
      <c r="BH109" s="70"/>
      <c r="BI109" s="70"/>
      <c r="BJ109" s="70"/>
      <c r="BK109" s="70"/>
      <c r="BL109" s="70"/>
      <c r="BM109" s="70"/>
      <c r="BN109" s="70"/>
      <c r="BO109" s="70"/>
      <c r="BP109" s="70"/>
      <c r="BQ109" s="70"/>
      <c r="BR109" s="70"/>
      <c r="BS109" s="70"/>
      <c r="BT109" s="70"/>
      <c r="BU109" s="70"/>
      <c r="BV109" s="70"/>
      <c r="BW109" s="70"/>
      <c r="BX109" s="70"/>
      <c r="BY109" s="70"/>
      <c r="BZ109" s="70"/>
      <c r="CA109" s="70"/>
      <c r="CB109" s="70"/>
      <c r="CC109" s="70"/>
      <c r="CD109" s="70"/>
      <c r="CE109" s="70"/>
      <c r="CF109" s="70"/>
      <c r="CG109" s="70"/>
      <c r="CH109" s="70"/>
      <c r="CI109" s="70"/>
      <c r="CJ109" s="70"/>
      <c r="CK109" s="70"/>
      <c r="CL109" s="70"/>
      <c r="CM109" s="70"/>
      <c r="CN109" s="70"/>
      <c r="CO109" s="70"/>
      <c r="CP109" s="70"/>
      <c r="CR109" s="180"/>
    </row>
    <row r="110" spans="1:96" x14ac:dyDescent="0.2">
      <c r="B110" s="66"/>
      <c r="C110" s="66"/>
      <c r="D110" s="66"/>
      <c r="E110" s="59"/>
      <c r="F110" s="59"/>
      <c r="G110" s="59"/>
      <c r="H110" s="59"/>
      <c r="I110" s="59"/>
      <c r="J110" s="59"/>
      <c r="K110" s="59"/>
      <c r="L110" s="68"/>
      <c r="M110" s="63"/>
      <c r="N110" s="59"/>
      <c r="O110" s="69"/>
      <c r="P110" s="70"/>
      <c r="Q110" s="70"/>
      <c r="R110" s="70"/>
      <c r="S110" s="70"/>
      <c r="T110" s="70"/>
      <c r="U110" s="70"/>
      <c r="V110" s="70"/>
      <c r="W110" s="70"/>
      <c r="X110" s="70"/>
      <c r="Y110" s="70"/>
      <c r="Z110" s="70"/>
      <c r="AA110" s="70"/>
      <c r="AB110" s="70"/>
      <c r="AC110" s="70"/>
      <c r="AD110" s="70"/>
      <c r="AE110" s="70"/>
      <c r="AF110" s="70"/>
      <c r="AG110" s="70"/>
      <c r="AH110" s="70"/>
      <c r="AI110" s="70"/>
      <c r="AJ110" s="70"/>
      <c r="AK110" s="70"/>
      <c r="AL110" s="70"/>
      <c r="AM110" s="70"/>
      <c r="AN110" s="70"/>
      <c r="AO110" s="70"/>
      <c r="AP110" s="70"/>
      <c r="AQ110" s="70"/>
      <c r="AR110" s="70"/>
      <c r="AS110" s="70"/>
      <c r="AT110" s="70"/>
      <c r="AU110" s="70"/>
      <c r="AV110" s="70"/>
      <c r="AW110" s="70"/>
      <c r="AX110" s="70"/>
      <c r="AY110" s="70"/>
      <c r="AZ110" s="70"/>
      <c r="BA110" s="70"/>
      <c r="BB110" s="70"/>
      <c r="BC110" s="70"/>
      <c r="BD110" s="70"/>
      <c r="BE110" s="70"/>
      <c r="BF110" s="70"/>
      <c r="BG110" s="70"/>
      <c r="BH110" s="70"/>
      <c r="BI110" s="70"/>
      <c r="BJ110" s="70"/>
      <c r="BK110" s="70"/>
      <c r="BL110" s="70"/>
      <c r="BM110" s="70"/>
      <c r="BN110" s="70"/>
      <c r="BO110" s="70"/>
      <c r="BP110" s="70"/>
      <c r="BQ110" s="70"/>
      <c r="BR110" s="70"/>
      <c r="BS110" s="70"/>
      <c r="BT110" s="70"/>
      <c r="BU110" s="70"/>
      <c r="BV110" s="70"/>
      <c r="BW110" s="70"/>
      <c r="BX110" s="70"/>
      <c r="BY110" s="70"/>
      <c r="BZ110" s="70"/>
      <c r="CA110" s="70"/>
      <c r="CB110" s="70"/>
      <c r="CC110" s="70"/>
      <c r="CD110" s="70"/>
      <c r="CE110" s="70"/>
      <c r="CF110" s="70"/>
      <c r="CG110" s="70"/>
      <c r="CH110" s="70"/>
      <c r="CI110" s="70"/>
      <c r="CJ110" s="70"/>
      <c r="CK110" s="70"/>
      <c r="CL110" s="70"/>
      <c r="CM110" s="70"/>
      <c r="CN110" s="70"/>
      <c r="CO110" s="70"/>
      <c r="CP110" s="70"/>
      <c r="CR110" s="180"/>
    </row>
    <row r="111" spans="1:96" x14ac:dyDescent="0.2">
      <c r="A111" s="59"/>
      <c r="B111" s="66"/>
      <c r="C111" s="66"/>
      <c r="D111" s="66"/>
      <c r="E111" s="59"/>
      <c r="F111" s="59"/>
      <c r="G111" s="59"/>
      <c r="H111" s="59"/>
      <c r="I111" s="59"/>
      <c r="J111" s="59"/>
      <c r="K111" s="59"/>
      <c r="L111" s="68"/>
      <c r="M111" s="63"/>
      <c r="N111" s="59"/>
      <c r="O111" s="69"/>
      <c r="P111" s="70"/>
      <c r="Q111" s="70"/>
      <c r="R111" s="70"/>
      <c r="S111" s="70"/>
      <c r="T111" s="70"/>
      <c r="U111" s="70"/>
      <c r="V111" s="70"/>
      <c r="W111" s="70"/>
      <c r="X111" s="70"/>
      <c r="Y111" s="70"/>
      <c r="Z111" s="70"/>
      <c r="AA111" s="70"/>
      <c r="AB111" s="70"/>
      <c r="AC111" s="70"/>
      <c r="AD111" s="70"/>
      <c r="AE111" s="70"/>
      <c r="AF111" s="70"/>
      <c r="AG111" s="70"/>
      <c r="AH111" s="70"/>
      <c r="AI111" s="70"/>
      <c r="AJ111" s="70"/>
      <c r="AK111" s="70"/>
      <c r="AL111" s="70"/>
      <c r="AM111" s="70"/>
      <c r="AN111" s="70"/>
      <c r="AO111" s="70"/>
      <c r="AP111" s="70"/>
      <c r="AQ111" s="70"/>
      <c r="AR111" s="70"/>
      <c r="AS111" s="70"/>
      <c r="AT111" s="70"/>
      <c r="AU111" s="70"/>
      <c r="AV111" s="70"/>
      <c r="AW111" s="70"/>
      <c r="AX111" s="70"/>
      <c r="AY111" s="70"/>
      <c r="AZ111" s="70"/>
      <c r="BA111" s="70"/>
      <c r="BB111" s="70"/>
      <c r="BC111" s="70"/>
      <c r="BD111" s="70"/>
      <c r="BE111" s="70"/>
      <c r="BF111" s="70"/>
      <c r="BG111" s="70"/>
      <c r="BH111" s="70"/>
      <c r="BI111" s="70"/>
      <c r="BJ111" s="70"/>
      <c r="BK111" s="70"/>
      <c r="BL111" s="70"/>
      <c r="BM111" s="70"/>
      <c r="BN111" s="70"/>
      <c r="BO111" s="70"/>
      <c r="BP111" s="70"/>
      <c r="BQ111" s="70"/>
      <c r="BR111" s="70"/>
      <c r="BS111" s="70"/>
      <c r="BT111" s="70"/>
      <c r="BU111" s="70"/>
      <c r="BV111" s="70"/>
      <c r="BW111" s="70"/>
      <c r="BX111" s="70"/>
      <c r="BY111" s="70"/>
      <c r="BZ111" s="70"/>
      <c r="CA111" s="70"/>
      <c r="CB111" s="70"/>
      <c r="CC111" s="70"/>
      <c r="CD111" s="70"/>
      <c r="CE111" s="70"/>
      <c r="CF111" s="70"/>
      <c r="CG111" s="70"/>
      <c r="CH111" s="70"/>
      <c r="CI111" s="70"/>
      <c r="CJ111" s="70"/>
      <c r="CK111" s="70"/>
      <c r="CL111" s="70"/>
      <c r="CM111" s="70"/>
      <c r="CN111" s="70"/>
      <c r="CO111" s="70"/>
      <c r="CP111" s="70"/>
      <c r="CR111" s="180"/>
    </row>
    <row r="112" spans="1:96" x14ac:dyDescent="0.2">
      <c r="B112" s="66"/>
      <c r="C112" s="66"/>
      <c r="D112" s="66"/>
      <c r="E112" s="59"/>
      <c r="F112" s="59"/>
      <c r="G112" s="59"/>
      <c r="H112" s="59"/>
      <c r="I112" s="59"/>
      <c r="J112" s="59"/>
      <c r="K112" s="59"/>
      <c r="L112" s="68"/>
      <c r="M112" s="63"/>
      <c r="N112" s="59"/>
      <c r="O112" s="69"/>
      <c r="P112" s="70"/>
      <c r="Q112" s="70"/>
      <c r="R112" s="70"/>
      <c r="S112" s="70"/>
      <c r="T112" s="70"/>
      <c r="U112" s="70"/>
      <c r="V112" s="70"/>
      <c r="W112" s="70"/>
      <c r="X112" s="70"/>
      <c r="Y112" s="70"/>
      <c r="Z112" s="70"/>
      <c r="AA112" s="70"/>
      <c r="AB112" s="70"/>
      <c r="AC112" s="70"/>
      <c r="AD112" s="70"/>
      <c r="AE112" s="70"/>
      <c r="AF112" s="70"/>
      <c r="AG112" s="70"/>
      <c r="AH112" s="70"/>
      <c r="AI112" s="70"/>
      <c r="AJ112" s="70"/>
      <c r="AK112" s="70"/>
      <c r="AL112" s="70"/>
      <c r="AM112" s="70"/>
      <c r="AN112" s="70"/>
      <c r="AO112" s="70"/>
      <c r="AP112" s="70"/>
      <c r="AQ112" s="70"/>
      <c r="AR112" s="70"/>
      <c r="AS112" s="70"/>
      <c r="AT112" s="70"/>
      <c r="AU112" s="70"/>
      <c r="AV112" s="70"/>
      <c r="AW112" s="70"/>
      <c r="AX112" s="70"/>
      <c r="AY112" s="70"/>
      <c r="AZ112" s="70"/>
      <c r="BA112" s="70"/>
      <c r="BB112" s="70"/>
      <c r="BC112" s="70"/>
      <c r="BD112" s="70"/>
      <c r="BE112" s="70"/>
      <c r="BF112" s="70"/>
      <c r="BG112" s="70"/>
      <c r="BH112" s="70"/>
      <c r="BI112" s="70"/>
      <c r="BJ112" s="70"/>
      <c r="BK112" s="70"/>
      <c r="BL112" s="70"/>
      <c r="BM112" s="70"/>
      <c r="BN112" s="70"/>
      <c r="BO112" s="70"/>
      <c r="BP112" s="70"/>
      <c r="BQ112" s="70"/>
      <c r="BR112" s="70"/>
      <c r="BS112" s="70"/>
      <c r="BT112" s="70"/>
      <c r="BU112" s="70"/>
      <c r="BV112" s="70"/>
      <c r="BW112" s="70"/>
      <c r="BX112" s="70"/>
      <c r="BY112" s="70"/>
      <c r="BZ112" s="70"/>
      <c r="CA112" s="70"/>
      <c r="CB112" s="70"/>
      <c r="CC112" s="70"/>
      <c r="CD112" s="70"/>
      <c r="CE112" s="70"/>
      <c r="CF112" s="70"/>
      <c r="CG112" s="70"/>
      <c r="CH112" s="70"/>
      <c r="CI112" s="70"/>
      <c r="CJ112" s="70"/>
      <c r="CK112" s="70"/>
      <c r="CL112" s="70"/>
      <c r="CM112" s="70"/>
      <c r="CN112" s="70"/>
      <c r="CO112" s="70"/>
      <c r="CP112" s="70"/>
      <c r="CR112" s="180"/>
    </row>
    <row r="113" spans="1:96" x14ac:dyDescent="0.2">
      <c r="A113" s="59"/>
      <c r="B113" s="66"/>
      <c r="C113" s="66"/>
      <c r="D113" s="66"/>
      <c r="E113" s="59"/>
      <c r="F113" s="59"/>
      <c r="G113" s="59"/>
      <c r="H113" s="59"/>
      <c r="I113" s="59"/>
      <c r="J113" s="59"/>
      <c r="K113" s="59"/>
      <c r="L113" s="68"/>
      <c r="M113" s="63"/>
      <c r="N113" s="59"/>
      <c r="O113" s="69"/>
      <c r="P113" s="70"/>
      <c r="Q113" s="70"/>
      <c r="R113" s="70"/>
      <c r="S113" s="70"/>
      <c r="T113" s="70"/>
      <c r="U113" s="70"/>
      <c r="V113" s="70"/>
      <c r="W113" s="70"/>
      <c r="X113" s="70"/>
      <c r="Y113" s="70"/>
      <c r="Z113" s="70"/>
      <c r="AA113" s="70"/>
      <c r="AB113" s="70"/>
      <c r="AC113" s="70"/>
      <c r="AD113" s="70"/>
      <c r="AE113" s="70"/>
      <c r="AF113" s="70"/>
      <c r="AG113" s="70"/>
      <c r="AH113" s="70"/>
      <c r="AI113" s="70"/>
      <c r="AJ113" s="70"/>
      <c r="AK113" s="70"/>
      <c r="AL113" s="70"/>
      <c r="AM113" s="70"/>
      <c r="AN113" s="70"/>
      <c r="AO113" s="70"/>
      <c r="AP113" s="70"/>
      <c r="AQ113" s="70"/>
      <c r="AR113" s="70"/>
      <c r="AS113" s="70"/>
      <c r="AT113" s="70"/>
      <c r="AU113" s="70"/>
      <c r="AV113" s="70"/>
      <c r="AW113" s="70"/>
      <c r="AX113" s="70"/>
      <c r="AY113" s="70"/>
      <c r="AZ113" s="70"/>
      <c r="BA113" s="70"/>
      <c r="BB113" s="70"/>
      <c r="BC113" s="70"/>
      <c r="BD113" s="70"/>
      <c r="BE113" s="70"/>
      <c r="BF113" s="70"/>
      <c r="BG113" s="70"/>
      <c r="BH113" s="70"/>
      <c r="BI113" s="70"/>
      <c r="BJ113" s="70"/>
      <c r="BK113" s="70"/>
      <c r="BL113" s="70"/>
      <c r="BM113" s="70"/>
      <c r="BN113" s="70"/>
      <c r="BO113" s="70"/>
      <c r="BP113" s="70"/>
      <c r="BQ113" s="70"/>
      <c r="BR113" s="70"/>
      <c r="BS113" s="70"/>
      <c r="BT113" s="70"/>
      <c r="BU113" s="70"/>
      <c r="BV113" s="70"/>
      <c r="BW113" s="70"/>
      <c r="BX113" s="70"/>
      <c r="BY113" s="70"/>
      <c r="BZ113" s="70"/>
      <c r="CA113" s="70"/>
      <c r="CB113" s="70"/>
      <c r="CC113" s="70"/>
      <c r="CD113" s="70"/>
      <c r="CE113" s="70"/>
      <c r="CF113" s="70"/>
      <c r="CG113" s="70"/>
      <c r="CH113" s="70"/>
      <c r="CI113" s="70"/>
      <c r="CJ113" s="70"/>
      <c r="CK113" s="70"/>
      <c r="CL113" s="70"/>
      <c r="CM113" s="70"/>
      <c r="CN113" s="70"/>
      <c r="CO113" s="70"/>
      <c r="CP113" s="70"/>
      <c r="CR113" s="180"/>
    </row>
    <row r="114" spans="1:96" x14ac:dyDescent="0.2">
      <c r="B114" s="66"/>
      <c r="C114" s="66"/>
      <c r="D114" s="66"/>
      <c r="E114" s="59"/>
      <c r="F114" s="59"/>
      <c r="G114" s="59"/>
      <c r="H114" s="59"/>
      <c r="I114" s="59"/>
      <c r="J114" s="59"/>
      <c r="K114" s="59"/>
      <c r="L114" s="68"/>
      <c r="M114" s="63"/>
      <c r="N114" s="59"/>
      <c r="O114" s="69"/>
      <c r="P114" s="70"/>
      <c r="Q114" s="70"/>
      <c r="R114" s="70"/>
      <c r="S114" s="70"/>
      <c r="T114" s="70"/>
      <c r="U114" s="70"/>
      <c r="V114" s="70"/>
      <c r="W114" s="70"/>
      <c r="X114" s="70"/>
      <c r="Y114" s="70"/>
      <c r="Z114" s="70"/>
      <c r="AA114" s="70"/>
      <c r="AB114" s="70"/>
      <c r="AC114" s="70"/>
      <c r="AD114" s="70"/>
      <c r="AE114" s="70"/>
      <c r="AF114" s="70"/>
      <c r="AG114" s="70"/>
      <c r="AH114" s="70"/>
      <c r="AI114" s="70"/>
      <c r="AJ114" s="70"/>
      <c r="AK114" s="70"/>
      <c r="AL114" s="70"/>
      <c r="AM114" s="70"/>
      <c r="AN114" s="70"/>
      <c r="AO114" s="70"/>
      <c r="AP114" s="70"/>
      <c r="AQ114" s="70"/>
      <c r="AR114" s="70"/>
      <c r="AS114" s="70"/>
      <c r="AT114" s="70"/>
      <c r="AU114" s="70"/>
      <c r="AV114" s="70"/>
      <c r="AW114" s="70"/>
      <c r="AX114" s="70"/>
      <c r="AY114" s="70"/>
      <c r="AZ114" s="70"/>
      <c r="BA114" s="70"/>
      <c r="BB114" s="70"/>
      <c r="BC114" s="70"/>
      <c r="BD114" s="70"/>
      <c r="BE114" s="70"/>
      <c r="BF114" s="70"/>
      <c r="BG114" s="70"/>
      <c r="BH114" s="70"/>
      <c r="BI114" s="70"/>
      <c r="BJ114" s="70"/>
      <c r="BK114" s="70"/>
      <c r="BL114" s="70"/>
      <c r="BM114" s="70"/>
      <c r="BN114" s="70"/>
      <c r="BO114" s="70"/>
      <c r="BP114" s="70"/>
      <c r="BQ114" s="70"/>
      <c r="BR114" s="70"/>
      <c r="BS114" s="70"/>
      <c r="BT114" s="70"/>
      <c r="BU114" s="70"/>
      <c r="BV114" s="70"/>
      <c r="BW114" s="70"/>
      <c r="BX114" s="70"/>
      <c r="BY114" s="70"/>
      <c r="BZ114" s="70"/>
      <c r="CA114" s="70"/>
      <c r="CB114" s="70"/>
      <c r="CC114" s="70"/>
      <c r="CD114" s="70"/>
      <c r="CE114" s="70"/>
      <c r="CF114" s="70"/>
      <c r="CG114" s="70"/>
      <c r="CH114" s="70"/>
      <c r="CI114" s="70"/>
      <c r="CJ114" s="70"/>
      <c r="CK114" s="70"/>
      <c r="CL114" s="70"/>
      <c r="CM114" s="70"/>
      <c r="CN114" s="70"/>
      <c r="CO114" s="70"/>
      <c r="CP114" s="70"/>
      <c r="CR114" s="180"/>
    </row>
    <row r="115" spans="1:96" x14ac:dyDescent="0.2">
      <c r="A115" s="59"/>
      <c r="B115" s="66"/>
      <c r="C115" s="66"/>
      <c r="D115" s="66"/>
      <c r="E115" s="59"/>
      <c r="F115" s="59"/>
      <c r="G115" s="59"/>
      <c r="H115" s="59"/>
      <c r="I115" s="59"/>
      <c r="J115" s="59"/>
      <c r="K115" s="59"/>
      <c r="L115" s="68"/>
      <c r="M115" s="63"/>
      <c r="N115" s="59"/>
      <c r="O115" s="69"/>
      <c r="P115" s="70"/>
      <c r="Q115" s="70"/>
      <c r="R115" s="70"/>
      <c r="S115" s="70"/>
      <c r="T115" s="70"/>
      <c r="U115" s="70"/>
      <c r="V115" s="70"/>
      <c r="W115" s="70"/>
      <c r="X115" s="70"/>
      <c r="Y115" s="70"/>
      <c r="Z115" s="70"/>
      <c r="AA115" s="70"/>
      <c r="AB115" s="70"/>
      <c r="AC115" s="70"/>
      <c r="AD115" s="70"/>
      <c r="AE115" s="70"/>
      <c r="AF115" s="70"/>
      <c r="AG115" s="70"/>
      <c r="AH115" s="70"/>
      <c r="AI115" s="70"/>
      <c r="AJ115" s="70"/>
      <c r="AK115" s="70"/>
      <c r="AL115" s="70"/>
      <c r="AM115" s="70"/>
      <c r="AN115" s="70"/>
      <c r="AO115" s="70"/>
      <c r="AP115" s="70"/>
      <c r="AQ115" s="70"/>
      <c r="AR115" s="70"/>
      <c r="AS115" s="70"/>
      <c r="AT115" s="70"/>
      <c r="AU115" s="70"/>
      <c r="AV115" s="70"/>
      <c r="AW115" s="70"/>
      <c r="AX115" s="70"/>
      <c r="AY115" s="70"/>
      <c r="AZ115" s="70"/>
      <c r="BA115" s="70"/>
      <c r="BB115" s="70"/>
      <c r="BC115" s="70"/>
      <c r="BD115" s="70"/>
      <c r="BE115" s="70"/>
      <c r="BF115" s="70"/>
      <c r="BG115" s="70"/>
      <c r="BH115" s="70"/>
      <c r="BI115" s="70"/>
      <c r="BJ115" s="70"/>
      <c r="BK115" s="70"/>
      <c r="BL115" s="70"/>
      <c r="BM115" s="70"/>
      <c r="BN115" s="70"/>
      <c r="BO115" s="70"/>
      <c r="BP115" s="70"/>
      <c r="BQ115" s="70"/>
      <c r="BR115" s="70"/>
      <c r="BS115" s="70"/>
      <c r="BT115" s="70"/>
      <c r="BU115" s="70"/>
      <c r="BV115" s="70"/>
      <c r="BW115" s="70"/>
      <c r="BX115" s="70"/>
      <c r="BY115" s="70"/>
      <c r="BZ115" s="70"/>
      <c r="CA115" s="70"/>
      <c r="CB115" s="70"/>
      <c r="CC115" s="70"/>
      <c r="CD115" s="70"/>
      <c r="CE115" s="70"/>
      <c r="CF115" s="70"/>
      <c r="CG115" s="70"/>
      <c r="CH115" s="70"/>
      <c r="CI115" s="70"/>
      <c r="CJ115" s="70"/>
      <c r="CK115" s="70"/>
      <c r="CL115" s="70"/>
      <c r="CM115" s="70"/>
      <c r="CN115" s="70"/>
      <c r="CO115" s="70"/>
      <c r="CP115" s="70"/>
      <c r="CR115" s="180"/>
    </row>
    <row r="116" spans="1:96" x14ac:dyDescent="0.2">
      <c r="B116" s="66"/>
      <c r="C116" s="66"/>
      <c r="D116" s="66"/>
      <c r="E116" s="59"/>
      <c r="F116" s="59"/>
      <c r="G116" s="59"/>
      <c r="H116" s="59"/>
      <c r="I116" s="59"/>
      <c r="J116" s="59"/>
      <c r="K116" s="59"/>
      <c r="L116" s="68"/>
      <c r="M116" s="63"/>
      <c r="N116" s="59"/>
      <c r="O116" s="69"/>
      <c r="P116" s="70"/>
      <c r="Q116" s="70"/>
      <c r="R116" s="70"/>
      <c r="S116" s="70"/>
      <c r="T116" s="70"/>
      <c r="U116" s="70"/>
      <c r="V116" s="70"/>
      <c r="W116" s="70"/>
      <c r="X116" s="70"/>
      <c r="Y116" s="70"/>
      <c r="Z116" s="70"/>
      <c r="AA116" s="70"/>
      <c r="AB116" s="70"/>
      <c r="AC116" s="70"/>
      <c r="AD116" s="70"/>
      <c r="AE116" s="70"/>
      <c r="AF116" s="70"/>
      <c r="AG116" s="70"/>
      <c r="AH116" s="70"/>
      <c r="AI116" s="70"/>
      <c r="AJ116" s="70"/>
      <c r="AK116" s="70"/>
      <c r="AL116" s="70"/>
      <c r="AM116" s="70"/>
      <c r="AN116" s="70"/>
      <c r="AO116" s="70"/>
      <c r="AP116" s="70"/>
      <c r="AQ116" s="70"/>
      <c r="AR116" s="70"/>
      <c r="AS116" s="70"/>
      <c r="AT116" s="70"/>
      <c r="AU116" s="70"/>
      <c r="AV116" s="70"/>
      <c r="AW116" s="70"/>
      <c r="AX116" s="70"/>
      <c r="AY116" s="70"/>
      <c r="AZ116" s="70"/>
      <c r="BA116" s="70"/>
      <c r="BB116" s="70"/>
      <c r="BC116" s="70"/>
      <c r="BD116" s="70"/>
      <c r="BE116" s="70"/>
      <c r="BF116" s="70"/>
      <c r="BG116" s="70"/>
      <c r="BH116" s="70"/>
      <c r="BI116" s="70"/>
      <c r="BJ116" s="70"/>
      <c r="BK116" s="70"/>
      <c r="BL116" s="70"/>
      <c r="BM116" s="70"/>
      <c r="BN116" s="70"/>
      <c r="BO116" s="70"/>
      <c r="BP116" s="70"/>
      <c r="BQ116" s="70"/>
      <c r="BR116" s="70"/>
      <c r="BS116" s="70"/>
      <c r="BT116" s="70"/>
      <c r="BU116" s="70"/>
      <c r="BV116" s="70"/>
      <c r="BW116" s="70"/>
      <c r="BX116" s="70"/>
      <c r="BY116" s="70"/>
      <c r="BZ116" s="70"/>
      <c r="CA116" s="70"/>
      <c r="CB116" s="70"/>
      <c r="CC116" s="70"/>
      <c r="CD116" s="70"/>
      <c r="CE116" s="70"/>
      <c r="CF116" s="70"/>
      <c r="CG116" s="70"/>
      <c r="CH116" s="70"/>
      <c r="CI116" s="70"/>
      <c r="CJ116" s="70"/>
      <c r="CK116" s="70"/>
      <c r="CL116" s="70"/>
      <c r="CM116" s="70"/>
      <c r="CN116" s="70"/>
      <c r="CO116" s="70"/>
      <c r="CP116" s="70"/>
      <c r="CR116" s="180"/>
    </row>
    <row r="117" spans="1:96" x14ac:dyDescent="0.2">
      <c r="A117" s="59"/>
      <c r="B117" s="66"/>
      <c r="C117" s="66"/>
      <c r="D117" s="66"/>
      <c r="E117" s="59"/>
      <c r="F117" s="59"/>
      <c r="G117" s="59"/>
      <c r="H117" s="59"/>
      <c r="I117" s="59"/>
      <c r="J117" s="59"/>
      <c r="K117" s="59"/>
      <c r="L117" s="68"/>
      <c r="M117" s="63"/>
      <c r="N117" s="59"/>
      <c r="O117" s="69"/>
      <c r="P117" s="70"/>
      <c r="Q117" s="70"/>
      <c r="R117" s="70"/>
      <c r="S117" s="70"/>
      <c r="T117" s="70"/>
      <c r="U117" s="70"/>
      <c r="V117" s="70"/>
      <c r="W117" s="70"/>
      <c r="X117" s="70"/>
      <c r="Y117" s="70"/>
      <c r="Z117" s="70"/>
      <c r="AA117" s="70"/>
      <c r="AB117" s="70"/>
      <c r="AC117" s="70"/>
      <c r="AD117" s="70"/>
      <c r="AE117" s="70"/>
      <c r="AF117" s="70"/>
      <c r="AG117" s="70"/>
      <c r="AH117" s="70"/>
      <c r="AI117" s="70"/>
      <c r="AJ117" s="70"/>
      <c r="AK117" s="70"/>
      <c r="AL117" s="70"/>
      <c r="AM117" s="70"/>
      <c r="AN117" s="70"/>
      <c r="AO117" s="70"/>
      <c r="AP117" s="70"/>
      <c r="AQ117" s="70"/>
      <c r="AR117" s="70"/>
      <c r="AS117" s="70"/>
      <c r="AT117" s="70"/>
      <c r="AU117" s="70"/>
      <c r="AV117" s="70"/>
      <c r="AW117" s="70"/>
      <c r="AX117" s="70"/>
      <c r="AY117" s="70"/>
      <c r="AZ117" s="70"/>
      <c r="BA117" s="70"/>
      <c r="BB117" s="70"/>
      <c r="BC117" s="70"/>
      <c r="BD117" s="70"/>
      <c r="BE117" s="70"/>
      <c r="BF117" s="70"/>
      <c r="BG117" s="70"/>
      <c r="BH117" s="70"/>
      <c r="BI117" s="70"/>
      <c r="BJ117" s="70"/>
      <c r="BK117" s="70"/>
      <c r="BL117" s="70"/>
      <c r="BM117" s="70"/>
      <c r="BN117" s="70"/>
      <c r="BO117" s="70"/>
      <c r="BP117" s="70"/>
      <c r="BQ117" s="70"/>
      <c r="BR117" s="70"/>
      <c r="BS117" s="70"/>
      <c r="BT117" s="70"/>
      <c r="BU117" s="70"/>
      <c r="BV117" s="70"/>
      <c r="BW117" s="70"/>
      <c r="BX117" s="70"/>
      <c r="BY117" s="70"/>
      <c r="BZ117" s="70"/>
      <c r="CA117" s="70"/>
      <c r="CB117" s="70"/>
      <c r="CC117" s="70"/>
      <c r="CD117" s="70"/>
      <c r="CE117" s="70"/>
      <c r="CF117" s="70"/>
      <c r="CG117" s="70"/>
      <c r="CH117" s="70"/>
      <c r="CI117" s="70"/>
      <c r="CJ117" s="70"/>
      <c r="CK117" s="70"/>
      <c r="CL117" s="70"/>
      <c r="CM117" s="70"/>
      <c r="CN117" s="70"/>
      <c r="CO117" s="70"/>
      <c r="CP117" s="70"/>
      <c r="CR117" s="180"/>
    </row>
    <row r="118" spans="1:96" x14ac:dyDescent="0.2">
      <c r="B118" s="66"/>
      <c r="C118" s="66"/>
      <c r="D118" s="66"/>
      <c r="E118" s="59"/>
      <c r="F118" s="59"/>
      <c r="G118" s="59"/>
      <c r="H118" s="59"/>
      <c r="I118" s="59"/>
      <c r="J118" s="59"/>
      <c r="K118" s="59"/>
      <c r="L118" s="68"/>
      <c r="M118" s="63"/>
      <c r="N118" s="59"/>
      <c r="O118" s="69"/>
      <c r="P118" s="70"/>
      <c r="Q118" s="70"/>
      <c r="R118" s="70"/>
      <c r="S118" s="70"/>
      <c r="T118" s="70"/>
      <c r="U118" s="70"/>
      <c r="V118" s="70"/>
      <c r="W118" s="70"/>
      <c r="X118" s="70"/>
      <c r="Y118" s="70"/>
      <c r="Z118" s="70"/>
      <c r="AA118" s="70"/>
      <c r="AB118" s="70"/>
      <c r="AC118" s="70"/>
      <c r="AD118" s="70"/>
      <c r="AE118" s="70"/>
      <c r="AF118" s="70"/>
      <c r="AG118" s="70"/>
      <c r="AH118" s="70"/>
      <c r="AI118" s="70"/>
      <c r="AJ118" s="70"/>
      <c r="AK118" s="70"/>
      <c r="AL118" s="70"/>
      <c r="AM118" s="70"/>
      <c r="AN118" s="70"/>
      <c r="AO118" s="70"/>
      <c r="AP118" s="70"/>
      <c r="AQ118" s="70"/>
      <c r="AR118" s="70"/>
      <c r="AS118" s="70"/>
      <c r="AT118" s="70"/>
      <c r="AU118" s="70"/>
      <c r="AV118" s="70"/>
      <c r="AW118" s="70"/>
      <c r="AX118" s="70"/>
      <c r="AY118" s="70"/>
      <c r="AZ118" s="70"/>
      <c r="BA118" s="70"/>
      <c r="BB118" s="70"/>
      <c r="BC118" s="70"/>
      <c r="BD118" s="70"/>
      <c r="BE118" s="70"/>
      <c r="BF118" s="70"/>
      <c r="BG118" s="70"/>
      <c r="BH118" s="70"/>
      <c r="BI118" s="70"/>
      <c r="BJ118" s="70"/>
      <c r="BK118" s="70"/>
      <c r="BL118" s="70"/>
      <c r="BM118" s="70"/>
      <c r="BN118" s="70"/>
      <c r="BO118" s="70"/>
      <c r="BP118" s="70"/>
      <c r="BQ118" s="70"/>
      <c r="BR118" s="70"/>
      <c r="BS118" s="70"/>
      <c r="BT118" s="70"/>
      <c r="BU118" s="70"/>
      <c r="BV118" s="70"/>
      <c r="BW118" s="70"/>
      <c r="BX118" s="70"/>
      <c r="BY118" s="70"/>
      <c r="BZ118" s="70"/>
      <c r="CA118" s="70"/>
      <c r="CB118" s="70"/>
      <c r="CC118" s="70"/>
      <c r="CD118" s="70"/>
      <c r="CE118" s="70"/>
      <c r="CF118" s="70"/>
      <c r="CG118" s="70"/>
      <c r="CH118" s="70"/>
      <c r="CI118" s="70"/>
      <c r="CJ118" s="70"/>
      <c r="CK118" s="70"/>
      <c r="CL118" s="70"/>
      <c r="CM118" s="70"/>
      <c r="CN118" s="70"/>
      <c r="CO118" s="70"/>
      <c r="CP118" s="70"/>
      <c r="CR118" s="180"/>
    </row>
    <row r="119" spans="1:96" x14ac:dyDescent="0.2">
      <c r="A119" s="59"/>
      <c r="B119" s="66"/>
      <c r="C119" s="66"/>
      <c r="D119" s="66"/>
      <c r="E119" s="59"/>
      <c r="F119" s="59"/>
      <c r="G119" s="59"/>
      <c r="H119" s="59"/>
      <c r="I119" s="59"/>
      <c r="J119" s="59"/>
      <c r="K119" s="59"/>
      <c r="L119" s="68"/>
      <c r="M119" s="63"/>
      <c r="N119" s="59"/>
      <c r="O119" s="69"/>
      <c r="P119" s="70"/>
      <c r="Q119" s="70"/>
      <c r="R119" s="70"/>
      <c r="S119" s="70"/>
      <c r="T119" s="70"/>
      <c r="U119" s="70"/>
      <c r="V119" s="70"/>
      <c r="W119" s="70"/>
      <c r="X119" s="70"/>
      <c r="Y119" s="70"/>
      <c r="Z119" s="70"/>
      <c r="AA119" s="70"/>
      <c r="AB119" s="70"/>
      <c r="AC119" s="70"/>
      <c r="AD119" s="70"/>
      <c r="AE119" s="70"/>
      <c r="AF119" s="70"/>
      <c r="AG119" s="70"/>
      <c r="AH119" s="70"/>
      <c r="AI119" s="70"/>
      <c r="AJ119" s="70"/>
      <c r="AK119" s="70"/>
      <c r="AL119" s="70"/>
      <c r="AM119" s="70"/>
      <c r="AN119" s="70"/>
      <c r="AO119" s="70"/>
      <c r="AP119" s="70"/>
      <c r="AQ119" s="70"/>
      <c r="AR119" s="70"/>
      <c r="AS119" s="70"/>
      <c r="AT119" s="70"/>
      <c r="AU119" s="70"/>
      <c r="AV119" s="70"/>
      <c r="AW119" s="70"/>
      <c r="AX119" s="70"/>
      <c r="AY119" s="70"/>
      <c r="AZ119" s="70"/>
      <c r="BA119" s="70"/>
      <c r="BB119" s="70"/>
      <c r="BC119" s="70"/>
      <c r="BD119" s="70"/>
      <c r="BE119" s="70"/>
      <c r="BF119" s="70"/>
      <c r="BG119" s="70"/>
      <c r="BH119" s="70"/>
      <c r="BI119" s="70"/>
      <c r="BJ119" s="70"/>
      <c r="BK119" s="70"/>
      <c r="BL119" s="70"/>
      <c r="BM119" s="70"/>
      <c r="BN119" s="70"/>
      <c r="BO119" s="70"/>
      <c r="BP119" s="70"/>
      <c r="BQ119" s="70"/>
      <c r="BR119" s="70"/>
      <c r="BS119" s="70"/>
      <c r="BT119" s="70"/>
      <c r="BU119" s="70"/>
      <c r="BV119" s="70"/>
      <c r="BW119" s="70"/>
      <c r="BX119" s="70"/>
      <c r="BY119" s="70"/>
      <c r="BZ119" s="70"/>
      <c r="CA119" s="70"/>
      <c r="CB119" s="70"/>
      <c r="CC119" s="70"/>
      <c r="CD119" s="70"/>
      <c r="CE119" s="70"/>
      <c r="CF119" s="70"/>
      <c r="CG119" s="70"/>
      <c r="CH119" s="70"/>
      <c r="CI119" s="70"/>
      <c r="CJ119" s="70"/>
      <c r="CK119" s="70"/>
      <c r="CL119" s="70"/>
      <c r="CM119" s="70"/>
      <c r="CN119" s="70"/>
      <c r="CO119" s="70"/>
      <c r="CP119" s="70"/>
      <c r="CR119" s="180"/>
    </row>
    <row r="120" spans="1:96" x14ac:dyDescent="0.2">
      <c r="B120" s="66"/>
      <c r="C120" s="66"/>
      <c r="D120" s="66"/>
      <c r="E120" s="59"/>
      <c r="F120" s="59"/>
      <c r="G120" s="59"/>
      <c r="H120" s="59"/>
      <c r="I120" s="59"/>
      <c r="J120" s="59"/>
      <c r="K120" s="59"/>
      <c r="L120" s="68"/>
      <c r="M120" s="63"/>
      <c r="N120" s="59"/>
      <c r="O120" s="69"/>
      <c r="P120" s="70"/>
      <c r="Q120" s="70"/>
      <c r="R120" s="70"/>
      <c r="S120" s="70"/>
      <c r="T120" s="70"/>
      <c r="U120" s="70"/>
      <c r="V120" s="70"/>
      <c r="W120" s="70"/>
      <c r="X120" s="70"/>
      <c r="Y120" s="70"/>
      <c r="Z120" s="70"/>
      <c r="AA120" s="70"/>
      <c r="AB120" s="70"/>
      <c r="AC120" s="70"/>
      <c r="AD120" s="70"/>
      <c r="AE120" s="70"/>
      <c r="AF120" s="70"/>
      <c r="AG120" s="70"/>
      <c r="AH120" s="70"/>
      <c r="AI120" s="70"/>
      <c r="AJ120" s="70"/>
      <c r="AK120" s="70"/>
      <c r="AL120" s="70"/>
      <c r="AM120" s="70"/>
      <c r="AN120" s="70"/>
      <c r="AO120" s="70"/>
      <c r="AP120" s="70"/>
      <c r="AQ120" s="70"/>
      <c r="AR120" s="70"/>
      <c r="AS120" s="70"/>
      <c r="AT120" s="70"/>
      <c r="AU120" s="70"/>
      <c r="AV120" s="70"/>
      <c r="AW120" s="70"/>
      <c r="AX120" s="70"/>
      <c r="AY120" s="70"/>
      <c r="AZ120" s="70"/>
      <c r="BA120" s="70"/>
      <c r="BB120" s="70"/>
      <c r="BC120" s="70"/>
      <c r="BD120" s="70"/>
      <c r="BE120" s="70"/>
      <c r="BF120" s="70"/>
      <c r="BG120" s="70"/>
      <c r="BH120" s="70"/>
      <c r="BI120" s="70"/>
      <c r="BJ120" s="70"/>
      <c r="BK120" s="70"/>
      <c r="BL120" s="70"/>
      <c r="BM120" s="70"/>
      <c r="BN120" s="70"/>
      <c r="BO120" s="70"/>
      <c r="BP120" s="70"/>
      <c r="BQ120" s="70"/>
      <c r="BR120" s="70"/>
      <c r="BS120" s="70"/>
      <c r="BT120" s="70"/>
      <c r="BU120" s="70"/>
      <c r="BV120" s="70"/>
      <c r="BW120" s="70"/>
      <c r="BX120" s="70"/>
      <c r="BY120" s="70"/>
      <c r="BZ120" s="70"/>
      <c r="CA120" s="70"/>
      <c r="CB120" s="70"/>
      <c r="CC120" s="70"/>
      <c r="CD120" s="70"/>
      <c r="CE120" s="70"/>
      <c r="CF120" s="70"/>
      <c r="CG120" s="70"/>
      <c r="CH120" s="70"/>
      <c r="CI120" s="70"/>
      <c r="CJ120" s="70"/>
      <c r="CK120" s="70"/>
      <c r="CL120" s="70"/>
      <c r="CM120" s="70"/>
      <c r="CN120" s="70"/>
      <c r="CO120" s="70"/>
      <c r="CP120" s="70"/>
      <c r="CR120" s="180"/>
    </row>
    <row r="121" spans="1:96" x14ac:dyDescent="0.2">
      <c r="A121" s="59"/>
      <c r="B121" s="66"/>
      <c r="C121" s="66"/>
      <c r="D121" s="66"/>
      <c r="E121" s="59"/>
      <c r="F121" s="59"/>
      <c r="G121" s="59"/>
      <c r="H121" s="59"/>
      <c r="I121" s="59"/>
      <c r="J121" s="59"/>
      <c r="K121" s="59"/>
      <c r="L121" s="68"/>
      <c r="M121" s="63"/>
      <c r="N121" s="59"/>
      <c r="O121" s="69"/>
      <c r="P121" s="70"/>
      <c r="Q121" s="70"/>
      <c r="R121" s="70"/>
      <c r="S121" s="70"/>
      <c r="T121" s="70"/>
      <c r="U121" s="70"/>
      <c r="V121" s="70"/>
      <c r="W121" s="70"/>
      <c r="X121" s="70"/>
      <c r="Y121" s="70"/>
      <c r="Z121" s="70"/>
      <c r="AA121" s="70"/>
      <c r="AB121" s="70"/>
      <c r="AC121" s="70"/>
      <c r="AD121" s="70"/>
      <c r="AE121" s="70"/>
      <c r="AF121" s="70"/>
      <c r="AG121" s="70"/>
      <c r="AH121" s="70"/>
      <c r="AI121" s="70"/>
      <c r="AJ121" s="70"/>
      <c r="AK121" s="70"/>
      <c r="AL121" s="70"/>
      <c r="AM121" s="70"/>
      <c r="AN121" s="70"/>
      <c r="AO121" s="70"/>
      <c r="AP121" s="70"/>
      <c r="AQ121" s="70"/>
      <c r="AR121" s="70"/>
      <c r="AS121" s="70"/>
      <c r="AT121" s="70"/>
      <c r="AU121" s="70"/>
      <c r="AV121" s="70"/>
      <c r="AW121" s="70"/>
      <c r="AX121" s="70"/>
      <c r="AY121" s="70"/>
      <c r="AZ121" s="70"/>
      <c r="BA121" s="70"/>
      <c r="BB121" s="70"/>
      <c r="BC121" s="70"/>
      <c r="BD121" s="70"/>
      <c r="BE121" s="70"/>
      <c r="BF121" s="70"/>
      <c r="BG121" s="70"/>
      <c r="BH121" s="70"/>
      <c r="BI121" s="70"/>
      <c r="BJ121" s="70"/>
      <c r="BK121" s="70"/>
      <c r="BL121" s="70"/>
      <c r="BM121" s="70"/>
      <c r="BN121" s="70"/>
      <c r="BO121" s="70"/>
      <c r="BP121" s="70"/>
      <c r="BQ121" s="70"/>
      <c r="BR121" s="70"/>
      <c r="BS121" s="70"/>
      <c r="BT121" s="70"/>
      <c r="BU121" s="70"/>
      <c r="BV121" s="70"/>
      <c r="BW121" s="70"/>
      <c r="BX121" s="70"/>
      <c r="BY121" s="70"/>
      <c r="BZ121" s="70"/>
      <c r="CA121" s="70"/>
      <c r="CB121" s="70"/>
      <c r="CC121" s="70"/>
      <c r="CD121" s="70"/>
      <c r="CE121" s="70"/>
      <c r="CF121" s="70"/>
      <c r="CG121" s="70"/>
      <c r="CH121" s="70"/>
      <c r="CI121" s="70"/>
      <c r="CJ121" s="70"/>
      <c r="CK121" s="70"/>
      <c r="CL121" s="70"/>
      <c r="CM121" s="70"/>
      <c r="CN121" s="70"/>
      <c r="CO121" s="70"/>
      <c r="CP121" s="70"/>
      <c r="CR121" s="180"/>
    </row>
    <row r="122" spans="1:96" x14ac:dyDescent="0.2">
      <c r="B122" s="66"/>
      <c r="C122" s="66"/>
      <c r="D122" s="66"/>
      <c r="E122" s="59"/>
      <c r="F122" s="59"/>
      <c r="G122" s="59"/>
      <c r="H122" s="59"/>
      <c r="I122" s="59"/>
      <c r="J122" s="59"/>
      <c r="K122" s="59"/>
      <c r="L122" s="68"/>
      <c r="M122" s="63"/>
      <c r="N122" s="59"/>
      <c r="O122" s="69"/>
      <c r="P122" s="70"/>
      <c r="Q122" s="70"/>
      <c r="R122" s="70"/>
      <c r="S122" s="70"/>
      <c r="T122" s="70"/>
      <c r="U122" s="70"/>
      <c r="V122" s="70"/>
      <c r="W122" s="70"/>
      <c r="X122" s="70"/>
      <c r="Y122" s="70"/>
      <c r="Z122" s="70"/>
      <c r="AA122" s="70"/>
      <c r="AB122" s="70"/>
      <c r="AC122" s="70"/>
      <c r="AD122" s="70"/>
      <c r="AE122" s="70"/>
      <c r="AF122" s="70"/>
      <c r="AG122" s="70"/>
      <c r="AH122" s="70"/>
      <c r="AI122" s="70"/>
      <c r="AJ122" s="70"/>
      <c r="AK122" s="70"/>
      <c r="AL122" s="70"/>
      <c r="AM122" s="70"/>
      <c r="AN122" s="70"/>
      <c r="AO122" s="70"/>
      <c r="AP122" s="70"/>
      <c r="AQ122" s="70"/>
      <c r="AR122" s="70"/>
      <c r="AS122" s="70"/>
      <c r="AT122" s="70"/>
      <c r="AU122" s="70"/>
      <c r="AV122" s="70"/>
      <c r="AW122" s="70"/>
      <c r="AX122" s="70"/>
      <c r="AY122" s="70"/>
      <c r="AZ122" s="70"/>
      <c r="BA122" s="70"/>
      <c r="BB122" s="70"/>
      <c r="BC122" s="70"/>
      <c r="BD122" s="70"/>
      <c r="BE122" s="70"/>
      <c r="BF122" s="70"/>
      <c r="BG122" s="70"/>
      <c r="BH122" s="70"/>
      <c r="BI122" s="70"/>
      <c r="BJ122" s="70"/>
      <c r="BK122" s="70"/>
      <c r="BL122" s="70"/>
      <c r="BM122" s="70"/>
      <c r="BN122" s="70"/>
      <c r="BO122" s="70"/>
      <c r="BP122" s="70"/>
      <c r="BQ122" s="70"/>
      <c r="BR122" s="70"/>
      <c r="BS122" s="70"/>
      <c r="BT122" s="70"/>
      <c r="BU122" s="70"/>
      <c r="BV122" s="70"/>
      <c r="BW122" s="70"/>
      <c r="BX122" s="70"/>
      <c r="BY122" s="70"/>
      <c r="BZ122" s="70"/>
      <c r="CA122" s="70"/>
      <c r="CB122" s="70"/>
      <c r="CC122" s="70"/>
      <c r="CD122" s="70"/>
      <c r="CE122" s="70"/>
      <c r="CF122" s="70"/>
      <c r="CG122" s="70"/>
      <c r="CH122" s="70"/>
      <c r="CI122" s="70"/>
      <c r="CJ122" s="70"/>
      <c r="CK122" s="70"/>
      <c r="CL122" s="70"/>
      <c r="CM122" s="70"/>
      <c r="CN122" s="70"/>
      <c r="CO122" s="70"/>
      <c r="CP122" s="70"/>
      <c r="CR122" s="180"/>
    </row>
    <row r="123" spans="1:96" x14ac:dyDescent="0.2">
      <c r="A123" s="59"/>
      <c r="B123" s="66"/>
      <c r="C123" s="66"/>
      <c r="D123" s="66"/>
      <c r="E123" s="59"/>
      <c r="F123" s="59"/>
      <c r="G123" s="59"/>
      <c r="H123" s="59"/>
      <c r="I123" s="59"/>
      <c r="J123" s="59"/>
      <c r="K123" s="59"/>
      <c r="L123" s="68"/>
      <c r="M123" s="63"/>
      <c r="N123" s="59"/>
      <c r="O123" s="69"/>
      <c r="P123" s="70"/>
      <c r="Q123" s="70"/>
      <c r="R123" s="70"/>
      <c r="S123" s="70"/>
      <c r="T123" s="70"/>
      <c r="U123" s="70"/>
      <c r="V123" s="70"/>
      <c r="W123" s="70"/>
      <c r="X123" s="70"/>
      <c r="Y123" s="70"/>
      <c r="Z123" s="70"/>
      <c r="AA123" s="70"/>
      <c r="AB123" s="70"/>
      <c r="AC123" s="70"/>
      <c r="AD123" s="70"/>
      <c r="AE123" s="70"/>
      <c r="AF123" s="70"/>
      <c r="AG123" s="70"/>
      <c r="AH123" s="70"/>
      <c r="AI123" s="70"/>
      <c r="AJ123" s="70"/>
      <c r="AK123" s="70"/>
      <c r="AL123" s="70"/>
      <c r="AM123" s="70"/>
      <c r="AN123" s="70"/>
      <c r="AO123" s="70"/>
      <c r="AP123" s="70"/>
      <c r="AQ123" s="70"/>
      <c r="AR123" s="70"/>
      <c r="AS123" s="70"/>
      <c r="AT123" s="70"/>
      <c r="AU123" s="70"/>
      <c r="AV123" s="70"/>
      <c r="AW123" s="70"/>
      <c r="AX123" s="70"/>
      <c r="AY123" s="70"/>
      <c r="AZ123" s="70"/>
      <c r="BA123" s="70"/>
      <c r="BB123" s="70"/>
      <c r="BC123" s="70"/>
      <c r="BD123" s="70"/>
      <c r="BE123" s="70"/>
      <c r="BF123" s="70"/>
      <c r="BG123" s="70"/>
      <c r="BH123" s="70"/>
      <c r="BI123" s="70"/>
      <c r="BJ123" s="70"/>
      <c r="BK123" s="70"/>
      <c r="BL123" s="70"/>
      <c r="BM123" s="70"/>
      <c r="BN123" s="70"/>
      <c r="BO123" s="70"/>
      <c r="BP123" s="70"/>
      <c r="BQ123" s="70"/>
      <c r="BR123" s="70"/>
      <c r="BS123" s="70"/>
      <c r="BT123" s="70"/>
      <c r="BU123" s="70"/>
      <c r="BV123" s="70"/>
      <c r="BW123" s="70"/>
      <c r="BX123" s="70"/>
      <c r="BY123" s="70"/>
      <c r="BZ123" s="70"/>
      <c r="CA123" s="70"/>
      <c r="CB123" s="70"/>
      <c r="CC123" s="70"/>
      <c r="CD123" s="70"/>
      <c r="CE123" s="70"/>
      <c r="CF123" s="70"/>
      <c r="CG123" s="70"/>
      <c r="CH123" s="70"/>
      <c r="CI123" s="70"/>
      <c r="CJ123" s="70"/>
      <c r="CK123" s="70"/>
      <c r="CL123" s="70"/>
      <c r="CM123" s="70"/>
      <c r="CN123" s="70"/>
      <c r="CO123" s="70"/>
      <c r="CP123" s="70"/>
      <c r="CR123" s="180"/>
    </row>
    <row r="124" spans="1:96" x14ac:dyDescent="0.2">
      <c r="B124" s="66"/>
      <c r="C124" s="66"/>
      <c r="D124" s="66"/>
      <c r="E124" s="59"/>
      <c r="F124" s="59"/>
      <c r="G124" s="59"/>
      <c r="H124" s="59"/>
      <c r="I124" s="59"/>
      <c r="J124" s="59"/>
      <c r="K124" s="59"/>
      <c r="L124" s="68"/>
      <c r="M124" s="63"/>
      <c r="N124" s="59"/>
      <c r="O124" s="69"/>
      <c r="P124" s="70"/>
      <c r="Q124" s="70"/>
      <c r="R124" s="70"/>
      <c r="S124" s="70"/>
      <c r="T124" s="70"/>
      <c r="U124" s="70"/>
      <c r="V124" s="70"/>
      <c r="W124" s="70"/>
      <c r="X124" s="70"/>
      <c r="Y124" s="70"/>
      <c r="Z124" s="70"/>
      <c r="AA124" s="70"/>
      <c r="AB124" s="70"/>
      <c r="AC124" s="70"/>
      <c r="AD124" s="70"/>
      <c r="AE124" s="70"/>
      <c r="AF124" s="70"/>
      <c r="AG124" s="70"/>
      <c r="AH124" s="70"/>
      <c r="AI124" s="70"/>
      <c r="AJ124" s="70"/>
      <c r="AK124" s="70"/>
      <c r="AL124" s="70"/>
      <c r="AM124" s="70"/>
      <c r="AN124" s="70"/>
      <c r="AO124" s="70"/>
      <c r="AP124" s="70"/>
      <c r="AQ124" s="70"/>
      <c r="AR124" s="70"/>
      <c r="AS124" s="70"/>
      <c r="AT124" s="70"/>
      <c r="AU124" s="70"/>
      <c r="AV124" s="70"/>
      <c r="AW124" s="70"/>
      <c r="AX124" s="70"/>
      <c r="AY124" s="70"/>
      <c r="AZ124" s="70"/>
      <c r="BA124" s="70"/>
      <c r="BB124" s="70"/>
      <c r="BC124" s="70"/>
      <c r="BD124" s="70"/>
      <c r="BE124" s="70"/>
      <c r="BF124" s="70"/>
      <c r="BG124" s="70"/>
      <c r="BH124" s="70"/>
      <c r="BI124" s="70"/>
      <c r="BJ124" s="70"/>
      <c r="BK124" s="70"/>
      <c r="BL124" s="70"/>
      <c r="BM124" s="70"/>
      <c r="BN124" s="70"/>
      <c r="BO124" s="70"/>
      <c r="BP124" s="70"/>
      <c r="BQ124" s="70"/>
      <c r="BR124" s="70"/>
      <c r="BS124" s="70"/>
      <c r="BT124" s="70"/>
      <c r="BU124" s="70"/>
      <c r="BV124" s="70"/>
      <c r="BW124" s="70"/>
      <c r="BX124" s="70"/>
      <c r="BY124" s="70"/>
      <c r="BZ124" s="70"/>
      <c r="CA124" s="70"/>
      <c r="CB124" s="70"/>
      <c r="CC124" s="70"/>
      <c r="CD124" s="70"/>
      <c r="CE124" s="70"/>
      <c r="CF124" s="70"/>
      <c r="CG124" s="70"/>
      <c r="CH124" s="70"/>
      <c r="CI124" s="70"/>
      <c r="CJ124" s="70"/>
      <c r="CK124" s="70"/>
      <c r="CL124" s="70"/>
      <c r="CM124" s="70"/>
      <c r="CN124" s="70"/>
      <c r="CO124" s="70"/>
      <c r="CP124" s="70"/>
      <c r="CR124" s="180"/>
    </row>
    <row r="125" spans="1:96" x14ac:dyDescent="0.2">
      <c r="A125" s="59"/>
      <c r="B125" s="66"/>
      <c r="C125" s="66"/>
      <c r="D125" s="66"/>
      <c r="E125" s="59"/>
      <c r="F125" s="59"/>
      <c r="G125" s="59"/>
      <c r="H125" s="59"/>
      <c r="I125" s="59"/>
      <c r="J125" s="59"/>
      <c r="K125" s="59"/>
      <c r="L125" s="68"/>
      <c r="M125" s="63"/>
      <c r="N125" s="59"/>
      <c r="O125" s="69"/>
      <c r="P125" s="70"/>
      <c r="Q125" s="70"/>
      <c r="R125" s="70"/>
      <c r="S125" s="70"/>
      <c r="T125" s="70"/>
      <c r="U125" s="70"/>
      <c r="V125" s="70"/>
      <c r="W125" s="70"/>
      <c r="X125" s="70"/>
      <c r="Y125" s="70"/>
      <c r="Z125" s="70"/>
      <c r="AA125" s="70"/>
      <c r="AB125" s="70"/>
      <c r="AC125" s="70"/>
      <c r="AD125" s="70"/>
      <c r="AE125" s="70"/>
      <c r="AF125" s="70"/>
      <c r="AG125" s="70"/>
      <c r="AH125" s="70"/>
      <c r="AI125" s="70"/>
      <c r="AJ125" s="70"/>
      <c r="AK125" s="70"/>
      <c r="AL125" s="70"/>
      <c r="AM125" s="70"/>
      <c r="AN125" s="70"/>
      <c r="AO125" s="70"/>
      <c r="AP125" s="70"/>
      <c r="AQ125" s="70"/>
      <c r="AR125" s="70"/>
      <c r="AS125" s="70"/>
      <c r="AT125" s="70"/>
      <c r="AU125" s="70"/>
      <c r="AV125" s="70"/>
      <c r="AW125" s="70"/>
      <c r="AX125" s="70"/>
      <c r="AY125" s="70"/>
      <c r="AZ125" s="70"/>
      <c r="BA125" s="70"/>
      <c r="BB125" s="70"/>
      <c r="BC125" s="70"/>
      <c r="BD125" s="70"/>
      <c r="BE125" s="70"/>
      <c r="BF125" s="70"/>
      <c r="BG125" s="70"/>
      <c r="BH125" s="70"/>
      <c r="BI125" s="70"/>
      <c r="BJ125" s="70"/>
      <c r="BK125" s="70"/>
      <c r="BL125" s="70"/>
      <c r="BM125" s="70"/>
      <c r="BN125" s="70"/>
      <c r="BO125" s="70"/>
      <c r="BP125" s="70"/>
      <c r="BQ125" s="70"/>
      <c r="BR125" s="70"/>
      <c r="BS125" s="70"/>
      <c r="BT125" s="70"/>
      <c r="BU125" s="70"/>
      <c r="BV125" s="70"/>
      <c r="BW125" s="70"/>
      <c r="BX125" s="70"/>
      <c r="BY125" s="70"/>
      <c r="BZ125" s="70"/>
      <c r="CA125" s="70"/>
      <c r="CB125" s="70"/>
      <c r="CC125" s="70"/>
      <c r="CD125" s="70"/>
      <c r="CE125" s="70"/>
      <c r="CF125" s="70"/>
      <c r="CG125" s="70"/>
      <c r="CH125" s="70"/>
      <c r="CI125" s="70"/>
      <c r="CJ125" s="70"/>
      <c r="CK125" s="70"/>
      <c r="CL125" s="70"/>
      <c r="CM125" s="70"/>
      <c r="CN125" s="70"/>
      <c r="CO125" s="70"/>
      <c r="CP125" s="70"/>
      <c r="CR125" s="180"/>
    </row>
    <row r="126" spans="1:96" x14ac:dyDescent="0.2">
      <c r="B126" s="66"/>
      <c r="C126" s="66"/>
      <c r="D126" s="66"/>
      <c r="E126" s="59"/>
      <c r="F126" s="59"/>
      <c r="G126" s="59"/>
      <c r="H126" s="59"/>
      <c r="I126" s="59"/>
      <c r="J126" s="59"/>
      <c r="K126" s="59"/>
      <c r="L126" s="68"/>
      <c r="M126" s="63"/>
      <c r="N126" s="59"/>
      <c r="O126" s="69"/>
      <c r="P126" s="70"/>
      <c r="Q126" s="70"/>
      <c r="R126" s="70"/>
      <c r="S126" s="70"/>
      <c r="T126" s="70"/>
      <c r="U126" s="70"/>
      <c r="V126" s="70"/>
      <c r="W126" s="70"/>
      <c r="X126" s="70"/>
      <c r="Y126" s="70"/>
      <c r="Z126" s="70"/>
      <c r="AA126" s="70"/>
      <c r="AB126" s="70"/>
      <c r="AC126" s="70"/>
      <c r="AD126" s="70"/>
      <c r="AE126" s="70"/>
      <c r="AF126" s="70"/>
      <c r="AG126" s="70"/>
      <c r="AH126" s="70"/>
      <c r="AI126" s="70"/>
      <c r="AJ126" s="70"/>
      <c r="AK126" s="70"/>
      <c r="AL126" s="70"/>
      <c r="AM126" s="70"/>
      <c r="AN126" s="70"/>
      <c r="AO126" s="70"/>
      <c r="AP126" s="70"/>
      <c r="AQ126" s="70"/>
      <c r="AR126" s="70"/>
      <c r="AS126" s="70"/>
      <c r="AT126" s="70"/>
      <c r="AU126" s="70"/>
      <c r="AV126" s="70"/>
      <c r="AW126" s="70"/>
      <c r="AX126" s="70"/>
      <c r="AY126" s="70"/>
      <c r="AZ126" s="70"/>
      <c r="BA126" s="70"/>
      <c r="BB126" s="70"/>
      <c r="BC126" s="70"/>
      <c r="BD126" s="70"/>
      <c r="BE126" s="70"/>
      <c r="BF126" s="70"/>
      <c r="BG126" s="70"/>
      <c r="BH126" s="70"/>
      <c r="BI126" s="70"/>
      <c r="BJ126" s="70"/>
      <c r="BK126" s="70"/>
      <c r="BL126" s="70"/>
      <c r="BM126" s="70"/>
      <c r="BN126" s="70"/>
      <c r="BO126" s="70"/>
      <c r="BP126" s="70"/>
      <c r="BQ126" s="70"/>
      <c r="BR126" s="70"/>
      <c r="BS126" s="70"/>
      <c r="BT126" s="70"/>
      <c r="BU126" s="70"/>
      <c r="BV126" s="70"/>
      <c r="BW126" s="70"/>
      <c r="BX126" s="70"/>
      <c r="BY126" s="70"/>
      <c r="BZ126" s="70"/>
      <c r="CA126" s="70"/>
      <c r="CB126" s="70"/>
      <c r="CC126" s="70"/>
      <c r="CD126" s="70"/>
      <c r="CE126" s="70"/>
      <c r="CF126" s="70"/>
      <c r="CG126" s="70"/>
      <c r="CH126" s="70"/>
      <c r="CI126" s="70"/>
      <c r="CJ126" s="70"/>
      <c r="CK126" s="70"/>
      <c r="CL126" s="70"/>
      <c r="CM126" s="70"/>
      <c r="CN126" s="70"/>
      <c r="CO126" s="70"/>
      <c r="CP126" s="70"/>
      <c r="CR126" s="180"/>
    </row>
    <row r="127" spans="1:96" x14ac:dyDescent="0.2">
      <c r="A127" s="59"/>
      <c r="B127" s="66"/>
      <c r="C127" s="66"/>
      <c r="D127" s="66"/>
      <c r="E127" s="59"/>
      <c r="F127" s="59"/>
      <c r="G127" s="59"/>
      <c r="H127" s="59"/>
      <c r="I127" s="59"/>
      <c r="J127" s="59"/>
      <c r="K127" s="59"/>
      <c r="L127" s="68"/>
      <c r="M127" s="63"/>
      <c r="N127" s="59"/>
      <c r="O127" s="69"/>
      <c r="P127" s="70"/>
      <c r="Q127" s="70"/>
      <c r="R127" s="70"/>
      <c r="S127" s="70"/>
      <c r="T127" s="70"/>
      <c r="U127" s="70"/>
      <c r="V127" s="70"/>
      <c r="W127" s="70"/>
      <c r="X127" s="70"/>
      <c r="Y127" s="70"/>
      <c r="Z127" s="70"/>
      <c r="AA127" s="70"/>
      <c r="AB127" s="70"/>
      <c r="AC127" s="70"/>
      <c r="AD127" s="70"/>
      <c r="AE127" s="70"/>
      <c r="AF127" s="70"/>
      <c r="AG127" s="70"/>
      <c r="AH127" s="70"/>
      <c r="AI127" s="70"/>
      <c r="AJ127" s="70"/>
      <c r="AK127" s="70"/>
      <c r="AL127" s="70"/>
      <c r="AM127" s="70"/>
      <c r="AN127" s="70"/>
      <c r="AO127" s="70"/>
      <c r="AP127" s="70"/>
      <c r="AQ127" s="70"/>
      <c r="AR127" s="70"/>
      <c r="AS127" s="70"/>
      <c r="AT127" s="70"/>
      <c r="AU127" s="70"/>
      <c r="AV127" s="70"/>
      <c r="AW127" s="70"/>
      <c r="AX127" s="70"/>
      <c r="AY127" s="70"/>
      <c r="AZ127" s="70"/>
      <c r="BA127" s="70"/>
      <c r="BB127" s="70"/>
      <c r="BC127" s="70"/>
      <c r="BD127" s="70"/>
      <c r="BE127" s="70"/>
      <c r="BF127" s="70"/>
      <c r="BG127" s="70"/>
      <c r="BH127" s="70"/>
      <c r="BI127" s="70"/>
      <c r="BJ127" s="70"/>
      <c r="BK127" s="70"/>
      <c r="BL127" s="70"/>
      <c r="BM127" s="70"/>
      <c r="BN127" s="70"/>
      <c r="BO127" s="70"/>
      <c r="BP127" s="70"/>
      <c r="BQ127" s="70"/>
      <c r="BR127" s="70"/>
      <c r="BS127" s="70"/>
      <c r="BT127" s="70"/>
      <c r="BU127" s="70"/>
      <c r="BV127" s="70"/>
      <c r="BW127" s="70"/>
      <c r="BX127" s="70"/>
      <c r="BY127" s="70"/>
      <c r="BZ127" s="70"/>
      <c r="CA127" s="70"/>
      <c r="CB127" s="70"/>
      <c r="CC127" s="70"/>
      <c r="CD127" s="70"/>
      <c r="CE127" s="70"/>
      <c r="CF127" s="70"/>
      <c r="CG127" s="70"/>
      <c r="CH127" s="70"/>
      <c r="CI127" s="70"/>
      <c r="CJ127" s="70"/>
      <c r="CK127" s="70"/>
      <c r="CL127" s="70"/>
      <c r="CM127" s="70"/>
      <c r="CN127" s="70"/>
      <c r="CO127" s="70"/>
      <c r="CP127" s="70"/>
      <c r="CR127" s="180"/>
    </row>
    <row r="128" spans="1:96" x14ac:dyDescent="0.2">
      <c r="B128" s="66"/>
      <c r="C128" s="66"/>
      <c r="D128" s="66"/>
      <c r="E128" s="59"/>
      <c r="F128" s="59"/>
      <c r="G128" s="59"/>
      <c r="H128" s="59"/>
      <c r="I128" s="59"/>
      <c r="J128" s="59"/>
      <c r="K128" s="59"/>
      <c r="L128" s="68"/>
      <c r="M128" s="63"/>
      <c r="N128" s="59"/>
      <c r="O128" s="69"/>
      <c r="P128" s="70"/>
      <c r="Q128" s="70"/>
      <c r="R128" s="70"/>
      <c r="S128" s="70"/>
      <c r="T128" s="70"/>
      <c r="U128" s="70"/>
      <c r="V128" s="70"/>
      <c r="W128" s="70"/>
      <c r="X128" s="70"/>
      <c r="Y128" s="70"/>
      <c r="Z128" s="70"/>
      <c r="AA128" s="70"/>
      <c r="AB128" s="70"/>
      <c r="AC128" s="70"/>
      <c r="AD128" s="70"/>
      <c r="AE128" s="70"/>
      <c r="AF128" s="70"/>
      <c r="AG128" s="70"/>
      <c r="AH128" s="70"/>
      <c r="AI128" s="70"/>
      <c r="AJ128" s="70"/>
      <c r="AK128" s="70"/>
      <c r="AL128" s="70"/>
      <c r="AM128" s="70"/>
      <c r="AN128" s="70"/>
      <c r="AO128" s="70"/>
      <c r="AP128" s="70"/>
      <c r="AQ128" s="70"/>
      <c r="AR128" s="70"/>
      <c r="AS128" s="70"/>
      <c r="AT128" s="70"/>
      <c r="AU128" s="70"/>
      <c r="AV128" s="70"/>
      <c r="AW128" s="70"/>
      <c r="AX128" s="70"/>
      <c r="AY128" s="70"/>
      <c r="AZ128" s="70"/>
      <c r="BA128" s="70"/>
      <c r="BB128" s="70"/>
      <c r="BC128" s="70"/>
      <c r="BD128" s="70"/>
      <c r="BE128" s="70"/>
      <c r="BF128" s="70"/>
      <c r="BG128" s="70"/>
      <c r="BH128" s="70"/>
      <c r="BI128" s="70"/>
      <c r="BJ128" s="70"/>
      <c r="BK128" s="70"/>
      <c r="BL128" s="70"/>
      <c r="BM128" s="70"/>
      <c r="BN128" s="70"/>
      <c r="BO128" s="70"/>
      <c r="BP128" s="70"/>
      <c r="BQ128" s="70"/>
      <c r="BR128" s="70"/>
      <c r="BS128" s="70"/>
      <c r="BT128" s="70"/>
      <c r="BU128" s="70"/>
      <c r="BV128" s="70"/>
      <c r="BW128" s="70"/>
      <c r="BX128" s="70"/>
      <c r="BY128" s="70"/>
      <c r="BZ128" s="70"/>
      <c r="CA128" s="70"/>
      <c r="CB128" s="70"/>
      <c r="CC128" s="70"/>
      <c r="CD128" s="70"/>
      <c r="CE128" s="70"/>
      <c r="CF128" s="70"/>
      <c r="CG128" s="70"/>
      <c r="CH128" s="70"/>
      <c r="CI128" s="70"/>
      <c r="CJ128" s="70"/>
      <c r="CK128" s="70"/>
      <c r="CL128" s="70"/>
      <c r="CM128" s="70"/>
      <c r="CN128" s="70"/>
      <c r="CO128" s="70"/>
      <c r="CP128" s="70"/>
      <c r="CR128" s="180"/>
    </row>
    <row r="129" spans="1:96" x14ac:dyDescent="0.2">
      <c r="A129" s="59"/>
      <c r="B129" s="66"/>
      <c r="C129" s="66"/>
      <c r="D129" s="66"/>
      <c r="E129" s="59"/>
      <c r="F129" s="59"/>
      <c r="G129" s="59"/>
      <c r="H129" s="59"/>
      <c r="I129" s="59"/>
      <c r="J129" s="59"/>
      <c r="K129" s="59"/>
      <c r="L129" s="68"/>
      <c r="M129" s="63"/>
      <c r="N129" s="59"/>
      <c r="O129" s="69"/>
      <c r="P129" s="70"/>
      <c r="Q129" s="70"/>
      <c r="R129" s="70"/>
      <c r="S129" s="70"/>
      <c r="T129" s="70"/>
      <c r="U129" s="70"/>
      <c r="V129" s="70"/>
      <c r="W129" s="70"/>
      <c r="X129" s="70"/>
      <c r="Y129" s="70"/>
      <c r="Z129" s="70"/>
      <c r="AA129" s="70"/>
      <c r="AB129" s="70"/>
      <c r="AC129" s="70"/>
      <c r="AD129" s="70"/>
      <c r="AE129" s="70"/>
      <c r="AF129" s="70"/>
      <c r="AG129" s="70"/>
      <c r="AH129" s="70"/>
      <c r="AI129" s="70"/>
      <c r="AJ129" s="70"/>
      <c r="AK129" s="70"/>
      <c r="AL129" s="70"/>
      <c r="AM129" s="70"/>
      <c r="AN129" s="70"/>
      <c r="AO129" s="70"/>
      <c r="AP129" s="70"/>
      <c r="AQ129" s="70"/>
      <c r="AR129" s="70"/>
      <c r="AS129" s="70"/>
      <c r="AT129" s="70"/>
      <c r="AU129" s="70"/>
      <c r="AV129" s="70"/>
      <c r="AW129" s="70"/>
      <c r="AX129" s="70"/>
      <c r="AY129" s="70"/>
      <c r="AZ129" s="70"/>
      <c r="BA129" s="70"/>
      <c r="BB129" s="70"/>
      <c r="BC129" s="70"/>
      <c r="BD129" s="70"/>
      <c r="BE129" s="70"/>
      <c r="BF129" s="70"/>
      <c r="BG129" s="70"/>
      <c r="BH129" s="70"/>
      <c r="BI129" s="70"/>
      <c r="BJ129" s="70"/>
      <c r="BK129" s="70"/>
      <c r="BL129" s="70"/>
      <c r="BM129" s="70"/>
      <c r="BN129" s="70"/>
      <c r="BO129" s="70"/>
      <c r="BP129" s="70"/>
      <c r="BQ129" s="70"/>
      <c r="BR129" s="70"/>
      <c r="BS129" s="70"/>
      <c r="BT129" s="70"/>
      <c r="BU129" s="70"/>
      <c r="BV129" s="70"/>
      <c r="BW129" s="70"/>
      <c r="BX129" s="70"/>
      <c r="BY129" s="70"/>
      <c r="BZ129" s="70"/>
      <c r="CA129" s="70"/>
      <c r="CB129" s="70"/>
      <c r="CC129" s="70"/>
      <c r="CD129" s="70"/>
      <c r="CE129" s="70"/>
      <c r="CF129" s="70"/>
      <c r="CG129" s="70"/>
      <c r="CH129" s="70"/>
      <c r="CI129" s="70"/>
      <c r="CJ129" s="70"/>
      <c r="CK129" s="70"/>
      <c r="CL129" s="70"/>
      <c r="CM129" s="70"/>
      <c r="CN129" s="70"/>
      <c r="CO129" s="70"/>
      <c r="CP129" s="70"/>
      <c r="CR129" s="180"/>
    </row>
    <row r="130" spans="1:96" x14ac:dyDescent="0.2">
      <c r="B130" s="66"/>
      <c r="C130" s="66"/>
      <c r="D130" s="66"/>
      <c r="E130" s="59"/>
      <c r="F130" s="59"/>
      <c r="G130" s="59"/>
      <c r="H130" s="59"/>
      <c r="I130" s="59"/>
      <c r="J130" s="59"/>
      <c r="K130" s="59"/>
      <c r="L130" s="68"/>
      <c r="M130" s="63"/>
      <c r="N130" s="59"/>
      <c r="O130" s="69"/>
      <c r="P130" s="70"/>
      <c r="Q130" s="70"/>
      <c r="R130" s="70"/>
      <c r="S130" s="70"/>
      <c r="T130" s="70"/>
      <c r="U130" s="70"/>
      <c r="V130" s="70"/>
      <c r="W130" s="70"/>
      <c r="X130" s="70"/>
      <c r="Y130" s="70"/>
      <c r="Z130" s="70"/>
      <c r="AA130" s="70"/>
      <c r="AB130" s="70"/>
      <c r="AC130" s="70"/>
      <c r="AD130" s="70"/>
      <c r="AE130" s="70"/>
      <c r="AF130" s="70"/>
      <c r="AG130" s="70"/>
      <c r="AH130" s="70"/>
      <c r="AI130" s="70"/>
      <c r="AJ130" s="70"/>
      <c r="AK130" s="70"/>
      <c r="AL130" s="70"/>
      <c r="AM130" s="70"/>
      <c r="AN130" s="70"/>
      <c r="AO130" s="70"/>
      <c r="AP130" s="70"/>
      <c r="AQ130" s="70"/>
      <c r="AR130" s="70"/>
      <c r="AS130" s="70"/>
      <c r="AT130" s="70"/>
      <c r="AU130" s="70"/>
      <c r="AV130" s="70"/>
      <c r="AW130" s="70"/>
      <c r="AX130" s="70"/>
      <c r="AY130" s="70"/>
      <c r="AZ130" s="70"/>
      <c r="BA130" s="70"/>
      <c r="BB130" s="70"/>
      <c r="BC130" s="70"/>
      <c r="BD130" s="70"/>
      <c r="BE130" s="70"/>
      <c r="BF130" s="70"/>
      <c r="BG130" s="70"/>
      <c r="BH130" s="70"/>
      <c r="BI130" s="70"/>
      <c r="BJ130" s="70"/>
      <c r="BK130" s="70"/>
      <c r="BL130" s="70"/>
      <c r="BM130" s="70"/>
      <c r="BN130" s="70"/>
      <c r="BO130" s="70"/>
      <c r="BP130" s="70"/>
      <c r="BQ130" s="70"/>
      <c r="BR130" s="70"/>
      <c r="BS130" s="70"/>
      <c r="BT130" s="70"/>
      <c r="BU130" s="70"/>
      <c r="BV130" s="70"/>
      <c r="BW130" s="70"/>
      <c r="BX130" s="70"/>
      <c r="BY130" s="70"/>
      <c r="BZ130" s="70"/>
      <c r="CA130" s="70"/>
      <c r="CB130" s="70"/>
      <c r="CC130" s="70"/>
      <c r="CD130" s="70"/>
      <c r="CE130" s="70"/>
      <c r="CF130" s="70"/>
      <c r="CG130" s="70"/>
      <c r="CH130" s="70"/>
      <c r="CI130" s="70"/>
      <c r="CJ130" s="70"/>
      <c r="CK130" s="70"/>
      <c r="CL130" s="70"/>
      <c r="CM130" s="70"/>
      <c r="CN130" s="70"/>
      <c r="CO130" s="70"/>
      <c r="CP130" s="70"/>
      <c r="CR130" s="180"/>
    </row>
    <row r="131" spans="1:96" x14ac:dyDescent="0.2">
      <c r="A131" s="59"/>
      <c r="B131" s="66"/>
      <c r="C131" s="66"/>
      <c r="D131" s="66"/>
      <c r="E131" s="59"/>
      <c r="F131" s="59"/>
      <c r="G131" s="59"/>
      <c r="H131" s="59"/>
      <c r="I131" s="59"/>
      <c r="J131" s="59"/>
      <c r="K131" s="59"/>
      <c r="L131" s="68"/>
      <c r="M131" s="63"/>
      <c r="N131" s="59"/>
      <c r="O131" s="69"/>
      <c r="P131" s="70"/>
      <c r="Q131" s="70"/>
      <c r="R131" s="70"/>
      <c r="S131" s="70"/>
      <c r="T131" s="70"/>
      <c r="U131" s="70"/>
      <c r="V131" s="70"/>
      <c r="W131" s="70"/>
      <c r="X131" s="70"/>
      <c r="Y131" s="70"/>
      <c r="Z131" s="70"/>
      <c r="AA131" s="70"/>
      <c r="AB131" s="70"/>
      <c r="AC131" s="70"/>
      <c r="AD131" s="70"/>
      <c r="AE131" s="70"/>
      <c r="AF131" s="70"/>
      <c r="AG131" s="70"/>
      <c r="AH131" s="70"/>
      <c r="AI131" s="70"/>
      <c r="AJ131" s="70"/>
      <c r="AK131" s="70"/>
      <c r="AL131" s="70"/>
      <c r="AM131" s="70"/>
      <c r="AN131" s="70"/>
      <c r="AO131" s="70"/>
      <c r="AP131" s="70"/>
      <c r="AQ131" s="70"/>
      <c r="AR131" s="70"/>
      <c r="AS131" s="70"/>
      <c r="AT131" s="70"/>
      <c r="AU131" s="70"/>
      <c r="AV131" s="70"/>
      <c r="AW131" s="70"/>
      <c r="AX131" s="70"/>
      <c r="AY131" s="70"/>
      <c r="AZ131" s="70"/>
      <c r="BA131" s="70"/>
      <c r="BB131" s="70"/>
      <c r="BC131" s="70"/>
      <c r="BD131" s="70"/>
      <c r="BE131" s="70"/>
      <c r="BF131" s="70"/>
      <c r="BG131" s="70"/>
      <c r="BH131" s="70"/>
      <c r="BI131" s="70"/>
      <c r="BJ131" s="70"/>
      <c r="BK131" s="70"/>
      <c r="BL131" s="70"/>
      <c r="BM131" s="70"/>
      <c r="BN131" s="70"/>
      <c r="BO131" s="70"/>
      <c r="BP131" s="70"/>
      <c r="BQ131" s="70"/>
      <c r="BR131" s="70"/>
      <c r="BS131" s="70"/>
      <c r="BT131" s="70"/>
      <c r="BU131" s="70"/>
      <c r="BV131" s="70"/>
      <c r="BW131" s="70"/>
      <c r="BX131" s="70"/>
      <c r="BY131" s="70"/>
      <c r="BZ131" s="70"/>
      <c r="CA131" s="70"/>
      <c r="CB131" s="70"/>
      <c r="CC131" s="70"/>
      <c r="CD131" s="70"/>
      <c r="CE131" s="70"/>
      <c r="CF131" s="70"/>
      <c r="CG131" s="70"/>
      <c r="CH131" s="70"/>
      <c r="CI131" s="70"/>
      <c r="CJ131" s="70"/>
      <c r="CK131" s="70"/>
      <c r="CL131" s="70"/>
      <c r="CM131" s="70"/>
      <c r="CN131" s="70"/>
      <c r="CO131" s="70"/>
      <c r="CP131" s="70"/>
      <c r="CR131" s="180"/>
    </row>
    <row r="132" spans="1:96" x14ac:dyDescent="0.2">
      <c r="B132" s="66"/>
      <c r="C132" s="66"/>
      <c r="D132" s="66"/>
      <c r="E132" s="59"/>
      <c r="F132" s="59"/>
      <c r="G132" s="59"/>
      <c r="H132" s="59"/>
      <c r="I132" s="59"/>
      <c r="J132" s="59"/>
      <c r="K132" s="59"/>
      <c r="L132" s="68"/>
      <c r="M132" s="63"/>
      <c r="N132" s="59"/>
      <c r="O132" s="69"/>
      <c r="P132" s="70"/>
      <c r="Q132" s="70"/>
      <c r="R132" s="70"/>
      <c r="S132" s="70"/>
      <c r="T132" s="70"/>
      <c r="U132" s="70"/>
      <c r="V132" s="70"/>
      <c r="W132" s="70"/>
      <c r="X132" s="70"/>
      <c r="Y132" s="70"/>
      <c r="Z132" s="70"/>
      <c r="AA132" s="70"/>
      <c r="AB132" s="70"/>
      <c r="AC132" s="70"/>
      <c r="AD132" s="70"/>
      <c r="AE132" s="70"/>
      <c r="AF132" s="70"/>
      <c r="AG132" s="70"/>
      <c r="AH132" s="70"/>
      <c r="AI132" s="70"/>
      <c r="AJ132" s="70"/>
      <c r="AK132" s="70"/>
      <c r="AL132" s="70"/>
      <c r="AM132" s="70"/>
      <c r="AN132" s="70"/>
      <c r="AO132" s="70"/>
      <c r="AP132" s="70"/>
      <c r="AQ132" s="70"/>
      <c r="AR132" s="70"/>
      <c r="AS132" s="70"/>
      <c r="AT132" s="70"/>
      <c r="AU132" s="70"/>
      <c r="AV132" s="70"/>
      <c r="AW132" s="70"/>
      <c r="AX132" s="70"/>
      <c r="AY132" s="70"/>
      <c r="AZ132" s="70"/>
      <c r="BA132" s="70"/>
      <c r="BB132" s="70"/>
      <c r="BC132" s="70"/>
      <c r="BD132" s="70"/>
      <c r="BE132" s="70"/>
      <c r="BF132" s="70"/>
      <c r="BG132" s="70"/>
      <c r="BH132" s="70"/>
      <c r="BI132" s="70"/>
      <c r="BJ132" s="70"/>
      <c r="BK132" s="70"/>
      <c r="BL132" s="70"/>
      <c r="BM132" s="70"/>
      <c r="BN132" s="70"/>
      <c r="BO132" s="70"/>
      <c r="BP132" s="70"/>
      <c r="BQ132" s="70"/>
      <c r="BR132" s="70"/>
      <c r="BS132" s="70"/>
      <c r="BT132" s="70"/>
      <c r="BU132" s="70"/>
      <c r="BV132" s="70"/>
      <c r="BW132" s="70"/>
      <c r="BX132" s="70"/>
      <c r="BY132" s="70"/>
      <c r="BZ132" s="70"/>
      <c r="CA132" s="70"/>
      <c r="CB132" s="70"/>
      <c r="CC132" s="70"/>
      <c r="CD132" s="70"/>
      <c r="CE132" s="70"/>
      <c r="CF132" s="70"/>
      <c r="CG132" s="70"/>
      <c r="CH132" s="70"/>
      <c r="CI132" s="70"/>
      <c r="CJ132" s="70"/>
      <c r="CK132" s="70"/>
      <c r="CL132" s="70"/>
      <c r="CM132" s="70"/>
      <c r="CN132" s="70"/>
      <c r="CO132" s="70"/>
      <c r="CP132" s="70"/>
      <c r="CR132" s="180"/>
    </row>
    <row r="133" spans="1:96" x14ac:dyDescent="0.2">
      <c r="A133" s="59"/>
      <c r="B133" s="66"/>
      <c r="C133" s="66"/>
      <c r="D133" s="66"/>
      <c r="E133" s="59"/>
      <c r="F133" s="59"/>
      <c r="G133" s="59"/>
      <c r="H133" s="59"/>
      <c r="I133" s="59"/>
      <c r="J133" s="59"/>
      <c r="K133" s="59"/>
      <c r="L133" s="68"/>
      <c r="M133" s="63"/>
      <c r="N133" s="59"/>
      <c r="O133" s="69"/>
      <c r="P133" s="70"/>
      <c r="Q133" s="70"/>
      <c r="R133" s="70"/>
      <c r="S133" s="70"/>
      <c r="T133" s="70"/>
      <c r="U133" s="70"/>
      <c r="V133" s="70"/>
      <c r="W133" s="70"/>
      <c r="X133" s="70"/>
      <c r="Y133" s="70"/>
      <c r="Z133" s="70"/>
      <c r="AA133" s="70"/>
      <c r="AB133" s="70"/>
      <c r="AC133" s="70"/>
      <c r="AD133" s="70"/>
      <c r="AE133" s="70"/>
      <c r="AF133" s="70"/>
      <c r="AG133" s="70"/>
      <c r="AH133" s="70"/>
      <c r="AI133" s="70"/>
      <c r="AJ133" s="70"/>
      <c r="AK133" s="70"/>
      <c r="AL133" s="70"/>
      <c r="AM133" s="70"/>
      <c r="AN133" s="70"/>
      <c r="AO133" s="70"/>
      <c r="AP133" s="70"/>
      <c r="AQ133" s="70"/>
      <c r="AR133" s="70"/>
      <c r="AS133" s="70"/>
      <c r="AT133" s="70"/>
      <c r="AU133" s="70"/>
      <c r="AV133" s="70"/>
      <c r="AW133" s="70"/>
      <c r="AX133" s="70"/>
      <c r="AY133" s="70"/>
      <c r="AZ133" s="70"/>
      <c r="BA133" s="70"/>
      <c r="BB133" s="70"/>
      <c r="BC133" s="70"/>
      <c r="BD133" s="70"/>
      <c r="BE133" s="70"/>
      <c r="BF133" s="70"/>
      <c r="BG133" s="70"/>
      <c r="BH133" s="70"/>
      <c r="BI133" s="70"/>
      <c r="BJ133" s="70"/>
      <c r="BK133" s="70"/>
      <c r="BL133" s="70"/>
      <c r="BM133" s="70"/>
      <c r="BN133" s="70"/>
      <c r="BO133" s="70"/>
      <c r="BP133" s="70"/>
      <c r="BQ133" s="70"/>
      <c r="BR133" s="70"/>
      <c r="BS133" s="70"/>
      <c r="BT133" s="70"/>
      <c r="BU133" s="70"/>
      <c r="BV133" s="70"/>
      <c r="BW133" s="70"/>
      <c r="BX133" s="70"/>
      <c r="BY133" s="70"/>
      <c r="BZ133" s="70"/>
      <c r="CA133" s="70"/>
      <c r="CB133" s="70"/>
      <c r="CC133" s="70"/>
      <c r="CD133" s="70"/>
      <c r="CE133" s="70"/>
      <c r="CF133" s="70"/>
      <c r="CG133" s="70"/>
      <c r="CH133" s="70"/>
      <c r="CI133" s="70"/>
      <c r="CJ133" s="70"/>
      <c r="CK133" s="70"/>
      <c r="CL133" s="70"/>
      <c r="CM133" s="70"/>
      <c r="CN133" s="70"/>
      <c r="CO133" s="70"/>
      <c r="CP133" s="70"/>
      <c r="CR133" s="180"/>
    </row>
    <row r="134" spans="1:96" x14ac:dyDescent="0.2">
      <c r="B134" s="66"/>
      <c r="C134" s="66"/>
      <c r="D134" s="66"/>
      <c r="E134" s="59"/>
      <c r="F134" s="59"/>
      <c r="G134" s="59"/>
      <c r="H134" s="59"/>
      <c r="I134" s="59"/>
      <c r="J134" s="59"/>
      <c r="K134" s="59"/>
      <c r="L134" s="68"/>
      <c r="M134" s="63"/>
      <c r="N134" s="59"/>
      <c r="O134" s="69"/>
      <c r="P134" s="70"/>
      <c r="Q134" s="70"/>
      <c r="R134" s="70"/>
      <c r="S134" s="70"/>
      <c r="T134" s="70"/>
      <c r="U134" s="70"/>
      <c r="V134" s="70"/>
      <c r="W134" s="70"/>
      <c r="X134" s="70"/>
      <c r="Y134" s="70"/>
      <c r="Z134" s="70"/>
      <c r="AA134" s="70"/>
      <c r="AB134" s="70"/>
      <c r="AC134" s="70"/>
      <c r="AD134" s="70"/>
      <c r="AE134" s="70"/>
      <c r="AF134" s="70"/>
      <c r="AG134" s="70"/>
      <c r="AH134" s="70"/>
      <c r="AI134" s="70"/>
      <c r="AJ134" s="70"/>
      <c r="AK134" s="70"/>
      <c r="AL134" s="70"/>
      <c r="AM134" s="70"/>
      <c r="AN134" s="70"/>
      <c r="AO134" s="70"/>
      <c r="AP134" s="70"/>
      <c r="AQ134" s="70"/>
      <c r="AR134" s="70"/>
      <c r="AS134" s="70"/>
      <c r="AT134" s="70"/>
      <c r="AU134" s="70"/>
      <c r="AV134" s="70"/>
      <c r="AW134" s="70"/>
      <c r="AX134" s="70"/>
      <c r="AY134" s="70"/>
      <c r="AZ134" s="70"/>
      <c r="BA134" s="70"/>
      <c r="BB134" s="70"/>
      <c r="BC134" s="70"/>
      <c r="BD134" s="70"/>
      <c r="BE134" s="70"/>
      <c r="BF134" s="70"/>
      <c r="BG134" s="70"/>
      <c r="BH134" s="70"/>
      <c r="BI134" s="70"/>
      <c r="BJ134" s="70"/>
      <c r="BK134" s="70"/>
      <c r="BL134" s="70"/>
      <c r="BM134" s="70"/>
      <c r="BN134" s="70"/>
      <c r="BO134" s="70"/>
      <c r="BP134" s="70"/>
      <c r="BQ134" s="70"/>
      <c r="BR134" s="70"/>
      <c r="BS134" s="70"/>
      <c r="BT134" s="70"/>
      <c r="BU134" s="70"/>
      <c r="BV134" s="70"/>
      <c r="BW134" s="70"/>
      <c r="BX134" s="70"/>
      <c r="BY134" s="70"/>
      <c r="BZ134" s="70"/>
      <c r="CA134" s="70"/>
      <c r="CB134" s="70"/>
      <c r="CC134" s="70"/>
      <c r="CD134" s="70"/>
      <c r="CE134" s="70"/>
      <c r="CF134" s="70"/>
      <c r="CG134" s="70"/>
      <c r="CH134" s="70"/>
      <c r="CI134" s="70"/>
      <c r="CJ134" s="70"/>
      <c r="CK134" s="70"/>
      <c r="CL134" s="70"/>
      <c r="CM134" s="70"/>
      <c r="CN134" s="70"/>
      <c r="CO134" s="70"/>
      <c r="CP134" s="70"/>
      <c r="CR134" s="180"/>
    </row>
    <row r="135" spans="1:96" x14ac:dyDescent="0.2">
      <c r="A135" s="59"/>
      <c r="B135" s="66"/>
      <c r="C135" s="66"/>
      <c r="D135" s="66"/>
      <c r="E135" s="59"/>
      <c r="F135" s="59"/>
      <c r="G135" s="59"/>
      <c r="H135" s="59"/>
      <c r="I135" s="59"/>
      <c r="J135" s="59"/>
      <c r="K135" s="59"/>
      <c r="L135" s="68"/>
      <c r="M135" s="63"/>
      <c r="N135" s="59"/>
      <c r="O135" s="69"/>
      <c r="P135" s="70"/>
      <c r="Q135" s="70"/>
      <c r="R135" s="70"/>
      <c r="S135" s="70"/>
      <c r="T135" s="70"/>
      <c r="U135" s="70"/>
      <c r="V135" s="70"/>
      <c r="W135" s="70"/>
      <c r="X135" s="70"/>
      <c r="Y135" s="70"/>
      <c r="Z135" s="70"/>
      <c r="AA135" s="70"/>
      <c r="AB135" s="70"/>
      <c r="AC135" s="70"/>
      <c r="AD135" s="70"/>
      <c r="AE135" s="70"/>
      <c r="AF135" s="70"/>
      <c r="AG135" s="70"/>
      <c r="AH135" s="70"/>
      <c r="AI135" s="70"/>
      <c r="AJ135" s="70"/>
      <c r="AK135" s="70"/>
      <c r="AL135" s="70"/>
      <c r="AM135" s="70"/>
      <c r="AN135" s="70"/>
      <c r="AO135" s="70"/>
      <c r="AP135" s="70"/>
      <c r="AQ135" s="70"/>
      <c r="AR135" s="70"/>
      <c r="AS135" s="70"/>
      <c r="AT135" s="70"/>
      <c r="AU135" s="70"/>
      <c r="AV135" s="70"/>
      <c r="AW135" s="70"/>
      <c r="AX135" s="70"/>
      <c r="AY135" s="70"/>
      <c r="AZ135" s="70"/>
      <c r="BA135" s="70"/>
      <c r="BB135" s="70"/>
      <c r="BC135" s="70"/>
      <c r="BD135" s="70"/>
      <c r="BE135" s="70"/>
      <c r="BF135" s="70"/>
      <c r="BG135" s="70"/>
      <c r="BH135" s="70"/>
      <c r="BI135" s="70"/>
      <c r="BJ135" s="70"/>
      <c r="BK135" s="70"/>
      <c r="BL135" s="70"/>
      <c r="BM135" s="70"/>
      <c r="BN135" s="70"/>
      <c r="BO135" s="70"/>
      <c r="BP135" s="70"/>
      <c r="BQ135" s="70"/>
      <c r="BR135" s="70"/>
      <c r="BS135" s="70"/>
      <c r="BT135" s="70"/>
      <c r="BU135" s="70"/>
      <c r="BV135" s="70"/>
      <c r="BW135" s="70"/>
      <c r="BX135" s="70"/>
      <c r="BY135" s="70"/>
      <c r="BZ135" s="70"/>
      <c r="CA135" s="70"/>
      <c r="CB135" s="70"/>
      <c r="CC135" s="70"/>
      <c r="CD135" s="70"/>
      <c r="CE135" s="70"/>
      <c r="CF135" s="70"/>
      <c r="CG135" s="70"/>
      <c r="CH135" s="70"/>
      <c r="CI135" s="70"/>
      <c r="CJ135" s="70"/>
      <c r="CK135" s="70"/>
      <c r="CL135" s="70"/>
      <c r="CM135" s="70"/>
      <c r="CN135" s="70"/>
      <c r="CO135" s="70"/>
      <c r="CP135" s="70"/>
      <c r="CR135" s="180"/>
    </row>
    <row r="136" spans="1:96" x14ac:dyDescent="0.2">
      <c r="B136" s="66"/>
      <c r="C136" s="66"/>
      <c r="D136" s="66"/>
      <c r="E136" s="59"/>
      <c r="F136" s="59"/>
      <c r="G136" s="59"/>
      <c r="H136" s="59"/>
      <c r="I136" s="59"/>
      <c r="J136" s="59"/>
      <c r="K136" s="59"/>
      <c r="L136" s="68"/>
      <c r="M136" s="63"/>
      <c r="N136" s="59"/>
      <c r="O136" s="69"/>
      <c r="P136" s="70"/>
      <c r="Q136" s="70"/>
      <c r="R136" s="70"/>
      <c r="S136" s="70"/>
      <c r="T136" s="70"/>
      <c r="U136" s="70"/>
      <c r="V136" s="70"/>
      <c r="W136" s="70"/>
      <c r="X136" s="70"/>
      <c r="Y136" s="70"/>
      <c r="Z136" s="70"/>
      <c r="AA136" s="70"/>
      <c r="AB136" s="70"/>
      <c r="AC136" s="70"/>
      <c r="AD136" s="70"/>
      <c r="AE136" s="70"/>
      <c r="AF136" s="70"/>
      <c r="AG136" s="70"/>
      <c r="AH136" s="70"/>
      <c r="AI136" s="70"/>
      <c r="AJ136" s="70"/>
      <c r="AK136" s="70"/>
      <c r="AL136" s="70"/>
      <c r="AM136" s="70"/>
      <c r="AN136" s="70"/>
      <c r="AO136" s="70"/>
      <c r="AP136" s="70"/>
      <c r="AQ136" s="70"/>
      <c r="AR136" s="70"/>
      <c r="AS136" s="70"/>
      <c r="AT136" s="70"/>
      <c r="AU136" s="70"/>
      <c r="AV136" s="70"/>
      <c r="AW136" s="70"/>
      <c r="AX136" s="70"/>
      <c r="AY136" s="70"/>
      <c r="AZ136" s="70"/>
      <c r="BA136" s="70"/>
      <c r="BB136" s="70"/>
      <c r="BC136" s="70"/>
      <c r="BD136" s="70"/>
      <c r="BE136" s="70"/>
      <c r="BF136" s="70"/>
      <c r="BG136" s="70"/>
      <c r="BH136" s="70"/>
      <c r="BI136" s="70"/>
      <c r="BJ136" s="70"/>
      <c r="BK136" s="70"/>
      <c r="BL136" s="70"/>
      <c r="BM136" s="70"/>
      <c r="BN136" s="70"/>
      <c r="BO136" s="70"/>
      <c r="BP136" s="70"/>
      <c r="BQ136" s="70"/>
      <c r="BR136" s="70"/>
      <c r="BS136" s="70"/>
      <c r="BT136" s="70"/>
      <c r="BU136" s="70"/>
      <c r="BV136" s="70"/>
      <c r="BW136" s="70"/>
      <c r="BX136" s="70"/>
      <c r="BY136" s="70"/>
      <c r="BZ136" s="70"/>
      <c r="CA136" s="70"/>
      <c r="CB136" s="70"/>
      <c r="CC136" s="70"/>
      <c r="CD136" s="70"/>
      <c r="CE136" s="70"/>
      <c r="CF136" s="70"/>
      <c r="CG136" s="70"/>
      <c r="CH136" s="70"/>
      <c r="CI136" s="70"/>
      <c r="CJ136" s="70"/>
      <c r="CK136" s="70"/>
      <c r="CL136" s="70"/>
      <c r="CM136" s="70"/>
      <c r="CN136" s="70"/>
      <c r="CO136" s="70"/>
      <c r="CP136" s="70"/>
      <c r="CR136" s="180"/>
    </row>
    <row r="137" spans="1:96" x14ac:dyDescent="0.2">
      <c r="A137" s="72"/>
      <c r="B137" s="98"/>
      <c r="C137" s="98"/>
      <c r="D137" s="98"/>
      <c r="E137" s="72"/>
      <c r="F137" s="72"/>
      <c r="G137" s="72"/>
      <c r="H137" s="72"/>
      <c r="I137" s="72"/>
      <c r="J137" s="72"/>
      <c r="K137" s="72"/>
      <c r="L137" s="73"/>
      <c r="M137" s="74"/>
      <c r="N137" s="72"/>
      <c r="O137" s="99"/>
      <c r="P137" s="100"/>
      <c r="Q137" s="100"/>
      <c r="R137" s="100"/>
      <c r="S137" s="100"/>
      <c r="T137" s="100"/>
      <c r="U137" s="100"/>
      <c r="V137" s="100"/>
      <c r="W137" s="100"/>
      <c r="X137" s="100"/>
      <c r="Y137" s="100"/>
      <c r="Z137" s="100"/>
      <c r="AA137" s="100"/>
      <c r="AB137" s="100"/>
      <c r="AC137" s="100"/>
      <c r="AD137" s="100"/>
      <c r="AE137" s="100"/>
      <c r="AF137" s="100"/>
      <c r="AG137" s="100"/>
      <c r="AH137" s="100"/>
      <c r="AI137" s="100"/>
      <c r="AJ137" s="100"/>
      <c r="AK137" s="100"/>
      <c r="AL137" s="100"/>
      <c r="AM137" s="100"/>
      <c r="AN137" s="100"/>
      <c r="AO137" s="100"/>
      <c r="AP137" s="100"/>
      <c r="AQ137" s="100"/>
      <c r="AR137" s="100"/>
      <c r="AS137" s="100"/>
      <c r="AT137" s="100"/>
      <c r="AU137" s="100"/>
      <c r="AV137" s="100"/>
      <c r="AW137" s="100"/>
      <c r="AX137" s="100"/>
      <c r="AY137" s="100"/>
      <c r="AZ137" s="100"/>
      <c r="BA137" s="100"/>
      <c r="BB137" s="100"/>
      <c r="BC137" s="100"/>
      <c r="BD137" s="100"/>
      <c r="BE137" s="100"/>
      <c r="BF137" s="100"/>
      <c r="BG137" s="100"/>
      <c r="BH137" s="100"/>
      <c r="BI137" s="100"/>
      <c r="BJ137" s="100"/>
      <c r="BK137" s="100"/>
      <c r="BL137" s="100"/>
      <c r="BM137" s="100"/>
      <c r="BN137" s="100"/>
      <c r="BO137" s="100"/>
      <c r="BP137" s="100"/>
      <c r="BQ137" s="100"/>
      <c r="BR137" s="100"/>
      <c r="BS137" s="100"/>
      <c r="BT137" s="100"/>
      <c r="BU137" s="100"/>
      <c r="BV137" s="100"/>
      <c r="BW137" s="100"/>
      <c r="BX137" s="100"/>
      <c r="BY137" s="100"/>
      <c r="BZ137" s="100"/>
      <c r="CA137" s="100"/>
      <c r="CB137" s="100"/>
      <c r="CC137" s="100"/>
      <c r="CD137" s="100"/>
      <c r="CE137" s="100"/>
      <c r="CF137" s="100"/>
      <c r="CG137" s="100"/>
      <c r="CH137" s="100"/>
      <c r="CI137" s="100"/>
      <c r="CJ137" s="100"/>
      <c r="CK137" s="100"/>
      <c r="CL137" s="100"/>
      <c r="CM137" s="100"/>
      <c r="CN137" s="100"/>
      <c r="CO137" s="100"/>
      <c r="CP137" s="100"/>
      <c r="CR137" s="181"/>
    </row>
  </sheetData>
  <sheetProtection selectLockedCells="1" selectUnlockedCells="1"/>
  <mergeCells count="1">
    <mergeCell ref="S1:Y1"/>
  </mergeCells>
  <phoneticPr fontId="1"/>
  <conditionalFormatting sqref="N967:N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8:N137 N10:N6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4 N9:N72 N77:N966">
    <cfRule type="colorScale" priority="8">
      <colorScale>
        <cfvo type="min"/>
        <cfvo type="max"/>
        <color rgb="FFFF7128"/>
        <color rgb="FFFFEF9C"/>
      </colorScale>
    </cfRule>
  </conditionalFormatting>
  <conditionalFormatting sqref="N5:N8">
    <cfRule type="colorScale" priority="5">
      <colorScale>
        <cfvo type="min"/>
        <cfvo type="max"/>
        <color rgb="FFFF7128"/>
        <color rgb="FFFFEF9C"/>
      </colorScale>
    </cfRule>
  </conditionalFormatting>
  <conditionalFormatting sqref="N75:N76 N73">
    <cfRule type="colorScale" priority="4">
      <colorScale>
        <cfvo type="min"/>
        <cfvo type="max"/>
        <color rgb="FFFF7128"/>
        <color rgb="FFFFEF9C"/>
      </colorScale>
    </cfRule>
  </conditionalFormatting>
  <conditionalFormatting sqref="N74">
    <cfRule type="colorScale" priority="3">
      <colorScale>
        <cfvo type="min"/>
        <cfvo type="max"/>
        <color rgb="FFFF7128"/>
        <color rgb="FFFFEF9C"/>
      </colorScale>
    </cfRule>
  </conditionalFormatting>
  <conditionalFormatting sqref="CR8">
    <cfRule type="colorScale" priority="2">
      <colorScale>
        <cfvo type="min"/>
        <cfvo type="max"/>
        <color rgb="FFFF7128"/>
        <color rgb="FFFFEF9C"/>
      </colorScale>
    </cfRule>
  </conditionalFormatting>
  <conditionalFormatting sqref="CR76">
    <cfRule type="colorScale" priority="1">
      <colorScale>
        <cfvo type="min"/>
        <cfvo type="max"/>
        <color rgb="FFFF7128"/>
        <color rgb="FFFFEF9C"/>
      </colorScale>
    </cfRule>
  </conditionalFormatting>
  <dataValidations count="3">
    <dataValidation type="list" allowBlank="1" showInputMessage="1" showErrorMessage="1" sqref="B10:B69 B78:B137" xr:uid="{3AF00BB1-610B-4D27-A9DF-914BCABFA721}">
      <formula1>"着,発,主要"</formula1>
    </dataValidation>
    <dataValidation type="list" allowBlank="1" showInputMessage="1" showErrorMessage="1" sqref="C10:C69 C78:C137" xr:uid="{D0CE297D-5CEC-41FF-BC87-EB450BD2A3C5}">
      <formula1>"乗車不可,予約必要"</formula1>
    </dataValidation>
    <dataValidation type="list" allowBlank="1" showInputMessage="1" showErrorMessage="1" sqref="D10:D69 D78:D137" xr:uid="{C34E9E51-231F-4010-9718-2E999D303EF0}">
      <formula1>"降車不可,予約必要"</formula1>
    </dataValidation>
  </dataValidations>
  <hyperlinks>
    <hyperlink ref="O71" location="往路" display="往路へ" xr:uid="{11EAFF8E-68B1-4B1D-B7DC-B05ED4945652}"/>
    <hyperlink ref="O3" location="復路" display="復路へ" xr:uid="{8FF9B663-263D-493D-9D09-55EB98B12821}"/>
    <hyperlink ref="A1" location="メニュー!A1" display="メニューへ" xr:uid="{797BB56F-C296-4A70-AD36-FA47CD2BD43C}"/>
    <hyperlink ref="A71" location="メニュー!A1" display="メニューへ" xr:uid="{26C4B4BD-3401-4933-8F07-F4A75E1299F0}"/>
  </hyperlinks>
  <pageMargins left="0.11811023622047245" right="0.11811023622047245" top="0.15748031496062992" bottom="0.15748031496062992" header="0.31496062992125984" footer="0.31496062992125984"/>
  <pageSetup paperSize="8" scale="69" fitToHeight="2" orientation="landscape" r:id="rId1"/>
  <rowBreaks count="1" manualBreakCount="1">
    <brk id="70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tn_ouro_newsheet">
              <controlPr defaultSize="0" print="0" autoFill="0" autoPict="0" macro="[0]!btn_newsheet_Click">
                <anchor moveWithCells="1" sizeWithCells="1">
                  <from>
                    <xdr:col>2</xdr:col>
                    <xdr:colOff>19050</xdr:colOff>
                    <xdr:row>0</xdr:row>
                    <xdr:rowOff>0</xdr:rowOff>
                  </from>
                  <to>
                    <xdr:col>6</xdr:col>
                    <xdr:colOff>57150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tn_ouro_chgtime">
              <controlPr defaultSize="0" print="0" autoFill="0" autoPict="0" macro="[0]!btn_chgtime_Click">
                <anchor moveWithCells="1" sizeWithCells="1">
                  <from>
                    <xdr:col>6</xdr:col>
                    <xdr:colOff>133350</xdr:colOff>
                    <xdr:row>0</xdr:row>
                    <xdr:rowOff>0</xdr:rowOff>
                  </from>
                  <to>
                    <xdr:col>11</xdr:col>
                    <xdr:colOff>133350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tn_ouro_keitoset">
              <controlPr defaultSize="0" print="0" autoFill="0" autoPict="0" macro="[0]!btn_KeitoSet_Click">
                <anchor moveWithCells="1" sizeWithCells="1">
                  <from>
                    <xdr:col>11</xdr:col>
                    <xdr:colOff>222250</xdr:colOff>
                    <xdr:row>0</xdr:row>
                    <xdr:rowOff>0</xdr:rowOff>
                  </from>
                  <to>
                    <xdr:col>13</xdr:col>
                    <xdr:colOff>184150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0" r:id="rId7" name="btn_ouro_jump_ikisaki">
              <controlPr defaultSize="0" print="0" autoFill="0" autoPict="0" macro="[0]!btn_ouro_jump_ikisaki_Click">
                <anchor moveWithCells="1" sizeWithCells="1">
                  <from>
                    <xdr:col>11</xdr:col>
                    <xdr:colOff>222250</xdr:colOff>
                    <xdr:row>0</xdr:row>
                    <xdr:rowOff>203200</xdr:rowOff>
                  </from>
                  <to>
                    <xdr:col>13</xdr:col>
                    <xdr:colOff>184150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1" r:id="rId8" name="btn_fuku_newsheet">
              <controlPr defaultSize="0" print="0" autoFill="0" autoPict="0" macro="[0]!btn_newsheet_Click">
                <anchor moveWithCells="1" sizeWithCells="1">
                  <from>
                    <xdr:col>2</xdr:col>
                    <xdr:colOff>38100</xdr:colOff>
                    <xdr:row>69</xdr:row>
                    <xdr:rowOff>88900</xdr:rowOff>
                  </from>
                  <to>
                    <xdr:col>6</xdr:col>
                    <xdr:colOff>76200</xdr:colOff>
                    <xdr:row>70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2" r:id="rId9" name="btn_fukuchgtime">
              <controlPr defaultSize="0" print="0" autoFill="0" autoPict="0" macro="[0]!btn_chgtime_Click">
                <anchor moveWithCells="1" sizeWithCells="1">
                  <from>
                    <xdr:col>6</xdr:col>
                    <xdr:colOff>152400</xdr:colOff>
                    <xdr:row>69</xdr:row>
                    <xdr:rowOff>88900</xdr:rowOff>
                  </from>
                  <to>
                    <xdr:col>11</xdr:col>
                    <xdr:colOff>152400</xdr:colOff>
                    <xdr:row>70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3" r:id="rId10" name="btn_fuku_chgtime">
              <controlPr defaultSize="0" print="0" autoFill="0" autoPict="0" macro="[0]!btn_KeitoSet_Click">
                <anchor moveWithCells="1" sizeWithCells="1">
                  <from>
                    <xdr:col>11</xdr:col>
                    <xdr:colOff>241300</xdr:colOff>
                    <xdr:row>69</xdr:row>
                    <xdr:rowOff>88900</xdr:rowOff>
                  </from>
                  <to>
                    <xdr:col>13</xdr:col>
                    <xdr:colOff>203200</xdr:colOff>
                    <xdr:row>70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4" r:id="rId11" name="btn_fuku_jump_ikisaki">
              <controlPr defaultSize="0" print="0" autoFill="0" autoPict="0" macro="[0]!btn_fuku_jump_ikisaki_Click">
                <anchor moveWithCells="1" sizeWithCells="1">
                  <from>
                    <xdr:col>11</xdr:col>
                    <xdr:colOff>241300</xdr:colOff>
                    <xdr:row>70</xdr:row>
                    <xdr:rowOff>114300</xdr:rowOff>
                  </from>
                  <to>
                    <xdr:col>13</xdr:col>
                    <xdr:colOff>203200</xdr:colOff>
                    <xdr:row>70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5" r:id="rId12" name="btn_ouro_jump_teiiryujo">
              <controlPr defaultSize="0" print="0" autoFill="0" autoPict="0" macro="[0]!btn_ouro_jump_teiryujo_Click">
                <anchor moveWithCells="1" sizeWithCells="1">
                  <from>
                    <xdr:col>94</xdr:col>
                    <xdr:colOff>660400</xdr:colOff>
                    <xdr:row>0</xdr:row>
                    <xdr:rowOff>190500</xdr:rowOff>
                  </from>
                  <to>
                    <xdr:col>96</xdr:col>
                    <xdr:colOff>152400</xdr:colOff>
                    <xdr:row>1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6" r:id="rId13" name="btn_fuku_jump_teiiryujo">
              <controlPr defaultSize="0" print="0" autoFill="0" autoPict="0" macro="[0]!btn_fuku_jump_teiryujo_Click">
                <anchor moveWithCells="1" sizeWithCells="1">
                  <from>
                    <xdr:col>94</xdr:col>
                    <xdr:colOff>666750</xdr:colOff>
                    <xdr:row>70</xdr:row>
                    <xdr:rowOff>57150</xdr:rowOff>
                  </from>
                  <to>
                    <xdr:col>96</xdr:col>
                    <xdr:colOff>165100</xdr:colOff>
                    <xdr:row>70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810AE73-39BD-4653-89D6-DC6AFB8C5B51}">
          <x14:formula1>
            <xm:f>'05運行日'!$L$2:$L$38</xm:f>
          </x14:formula1>
          <xm:sqref>O9:CP9 O77:CP77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64ED8-9D6A-4741-A630-44E12297ABA3}">
  <sheetPr codeName="Sheet13"/>
  <dimension ref="A1:DR137"/>
  <sheetViews>
    <sheetView showGridLines="0" tabSelected="1" zoomScale="90" zoomScaleNormal="90" workbookViewId="0">
      <pane xSplit="2" topLeftCell="C1" activePane="topRight" state="frozen"/>
      <selection activeCell="F6" sqref="F6"/>
      <selection pane="topRight" activeCell="U17" sqref="U17"/>
    </sheetView>
  </sheetViews>
  <sheetFormatPr defaultColWidth="9" defaultRowHeight="13" x14ac:dyDescent="0.2"/>
  <cols>
    <col min="1" max="1" width="23" style="26" customWidth="1"/>
    <col min="2" max="2" width="5.08984375" style="96" customWidth="1"/>
    <col min="3" max="3" width="4.6328125" style="96" customWidth="1"/>
    <col min="4" max="4" width="5" style="96" customWidth="1"/>
    <col min="5" max="5" width="3.6328125" style="26" hidden="1" customWidth="1"/>
    <col min="6" max="8" width="5.08984375" style="26" bestFit="1" customWidth="1"/>
    <col min="9" max="9" width="5.08984375" style="26" customWidth="1"/>
    <col min="10" max="11" width="2" style="26" hidden="1" customWidth="1"/>
    <col min="12" max="12" width="5.7265625" customWidth="1"/>
    <col min="13" max="13" width="6.08984375" bestFit="1" customWidth="1"/>
    <col min="14" max="14" width="6.6328125" style="26" customWidth="1"/>
    <col min="15" max="94" width="6.90625" style="26" customWidth="1"/>
    <col min="95" max="96" width="9" style="26"/>
    <col min="97" max="122" width="14.6328125" style="183" customWidth="1"/>
    <col min="123" max="16384" width="9" style="26"/>
  </cols>
  <sheetData>
    <row r="1" spans="1:122" ht="16.5" x14ac:dyDescent="0.2">
      <c r="A1" s="19" t="s">
        <v>44</v>
      </c>
      <c r="B1" s="20"/>
      <c r="C1" s="20"/>
      <c r="D1" s="20"/>
      <c r="E1" s="21"/>
      <c r="F1" s="21"/>
      <c r="G1" s="21"/>
      <c r="H1" s="21"/>
      <c r="I1" s="21"/>
      <c r="J1" s="21"/>
      <c r="K1" s="21"/>
      <c r="L1" s="22"/>
      <c r="M1" s="22"/>
      <c r="N1" s="21"/>
      <c r="O1" s="23" t="s">
        <v>45</v>
      </c>
      <c r="P1" s="24">
        <v>102</v>
      </c>
      <c r="Q1" s="21"/>
      <c r="R1" s="21" t="s">
        <v>46</v>
      </c>
      <c r="S1" s="205" t="s">
        <v>1794</v>
      </c>
      <c r="T1" s="206"/>
      <c r="U1" s="206"/>
      <c r="V1" s="206"/>
      <c r="W1" s="206"/>
      <c r="X1" s="206"/>
      <c r="Y1" s="207"/>
      <c r="Z1" s="21"/>
      <c r="AA1" s="25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21"/>
      <c r="BC1" s="21"/>
      <c r="BD1" s="21"/>
      <c r="BE1" s="21"/>
      <c r="BF1" s="21"/>
      <c r="BG1" s="21"/>
      <c r="BH1" s="21"/>
      <c r="BI1" s="21"/>
      <c r="BJ1" s="21"/>
      <c r="BK1" s="21"/>
      <c r="BL1" s="21"/>
      <c r="BM1" s="21"/>
      <c r="BN1" s="21"/>
      <c r="BO1" s="21"/>
      <c r="BP1" s="21"/>
      <c r="BQ1" s="21"/>
      <c r="BR1" s="21"/>
      <c r="BS1" s="21"/>
      <c r="BT1" s="21"/>
      <c r="BU1" s="21"/>
      <c r="BV1" s="21"/>
      <c r="BW1" s="21"/>
      <c r="BX1" s="21"/>
      <c r="BY1" s="21"/>
      <c r="BZ1" s="21"/>
      <c r="CA1" s="21"/>
      <c r="CB1" s="21"/>
      <c r="CC1" s="21"/>
      <c r="CD1" s="21"/>
      <c r="CE1" s="21"/>
      <c r="CF1" s="21"/>
      <c r="CG1" s="21"/>
      <c r="CH1" s="21"/>
      <c r="CI1" s="21"/>
      <c r="CJ1" s="21"/>
      <c r="CK1" s="21"/>
      <c r="CL1" s="21"/>
      <c r="CM1" s="21"/>
      <c r="CN1" s="21"/>
      <c r="CO1" s="21"/>
      <c r="CP1" s="21"/>
    </row>
    <row r="2" spans="1:122" x14ac:dyDescent="0.2">
      <c r="A2" s="27" t="s">
        <v>47</v>
      </c>
      <c r="B2" s="28"/>
      <c r="C2" s="28"/>
      <c r="D2" s="28"/>
      <c r="E2" s="29"/>
      <c r="F2" s="21"/>
      <c r="G2" s="21"/>
      <c r="H2" s="21"/>
      <c r="I2" s="21"/>
      <c r="J2" s="21"/>
      <c r="K2" s="21"/>
      <c r="L2" s="30"/>
      <c r="M2" s="30"/>
      <c r="N2" s="29"/>
      <c r="O2" s="29"/>
      <c r="P2" s="29"/>
      <c r="Q2" s="21"/>
      <c r="R2" s="29"/>
      <c r="S2" s="21"/>
      <c r="T2" s="21"/>
      <c r="U2" s="21"/>
      <c r="V2" s="21"/>
      <c r="W2" s="31" t="s">
        <v>48</v>
      </c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  <c r="BO2" s="21"/>
      <c r="BP2" s="21"/>
      <c r="BQ2" s="21"/>
      <c r="BR2" s="21"/>
      <c r="BS2" s="21"/>
      <c r="BT2" s="21"/>
      <c r="BU2" s="21"/>
      <c r="BV2" s="21"/>
      <c r="BW2" s="21"/>
      <c r="BX2" s="21"/>
      <c r="BY2" s="21"/>
      <c r="BZ2" s="21"/>
      <c r="CA2" s="21"/>
      <c r="CB2" s="21"/>
      <c r="CC2" s="21"/>
      <c r="CD2" s="21"/>
      <c r="CE2" s="21"/>
      <c r="CF2" s="21"/>
      <c r="CG2" s="21"/>
      <c r="CH2" s="21"/>
      <c r="CI2" s="21"/>
      <c r="CJ2" s="21"/>
      <c r="CK2" s="21"/>
      <c r="CL2" s="21"/>
      <c r="CM2" s="21"/>
      <c r="CN2" s="21"/>
      <c r="CO2" s="21"/>
      <c r="CP2" s="21"/>
    </row>
    <row r="3" spans="1:122" x14ac:dyDescent="0.2">
      <c r="A3" s="32" t="s">
        <v>49</v>
      </c>
      <c r="B3" s="20"/>
      <c r="C3" s="20"/>
      <c r="D3" s="20"/>
      <c r="E3" s="21"/>
      <c r="F3" s="21"/>
      <c r="G3" s="21"/>
      <c r="H3" s="21"/>
      <c r="I3" s="21"/>
      <c r="J3" s="21"/>
      <c r="K3" s="21"/>
      <c r="L3" s="22"/>
      <c r="M3" s="22"/>
      <c r="N3" s="33"/>
      <c r="O3" s="34" t="s">
        <v>50</v>
      </c>
      <c r="P3" s="21"/>
      <c r="Q3" s="21"/>
      <c r="R3" s="21"/>
      <c r="S3" s="21"/>
      <c r="T3" s="21"/>
      <c r="U3" s="21"/>
      <c r="V3" s="21"/>
      <c r="W3" s="35" t="s">
        <v>51</v>
      </c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1"/>
      <c r="BJ3" s="21"/>
      <c r="BK3" s="21"/>
      <c r="BL3" s="21"/>
      <c r="BM3" s="21"/>
      <c r="BN3" s="21"/>
      <c r="BO3" s="21"/>
      <c r="BP3" s="21"/>
      <c r="BQ3" s="21"/>
      <c r="BR3" s="21"/>
      <c r="BS3" s="21"/>
      <c r="BT3" s="21"/>
      <c r="BU3" s="21"/>
      <c r="BV3" s="21"/>
      <c r="BW3" s="21"/>
      <c r="BX3" s="21"/>
      <c r="BY3" s="21"/>
      <c r="BZ3" s="21"/>
      <c r="CA3" s="21"/>
      <c r="CB3" s="21"/>
      <c r="CC3" s="21"/>
      <c r="CD3" s="21"/>
      <c r="CE3" s="21"/>
      <c r="CF3" s="21"/>
      <c r="CG3" s="21"/>
      <c r="CH3" s="21"/>
      <c r="CI3" s="21"/>
      <c r="CJ3" s="21"/>
      <c r="CK3" s="21"/>
      <c r="CL3" s="21"/>
      <c r="CM3" s="21"/>
      <c r="CN3" s="21"/>
      <c r="CO3" s="21"/>
      <c r="CP3" s="21"/>
    </row>
    <row r="4" spans="1:122" x14ac:dyDescent="0.2">
      <c r="A4" s="36"/>
      <c r="B4" s="37"/>
      <c r="C4" s="37"/>
      <c r="D4" s="37"/>
      <c r="E4" s="38"/>
      <c r="F4" s="38"/>
      <c r="G4" s="38"/>
      <c r="H4" s="38"/>
      <c r="I4" s="38"/>
      <c r="J4" s="38"/>
      <c r="K4" s="38"/>
      <c r="L4" s="39"/>
      <c r="M4" s="39"/>
      <c r="N4" s="40"/>
      <c r="O4" s="41">
        <v>1</v>
      </c>
      <c r="P4" s="42">
        <v>2</v>
      </c>
      <c r="Q4" s="41">
        <v>3</v>
      </c>
      <c r="R4" s="42">
        <v>4</v>
      </c>
      <c r="S4" s="41">
        <v>5</v>
      </c>
      <c r="T4" s="42">
        <v>6</v>
      </c>
      <c r="U4" s="41">
        <v>7</v>
      </c>
      <c r="V4" s="42">
        <v>8</v>
      </c>
      <c r="W4" s="41">
        <v>9</v>
      </c>
      <c r="X4" s="42">
        <v>10</v>
      </c>
      <c r="Y4" s="41">
        <v>11</v>
      </c>
      <c r="Z4" s="42">
        <v>12</v>
      </c>
      <c r="AA4" s="41">
        <v>13</v>
      </c>
      <c r="AB4" s="42">
        <v>14</v>
      </c>
      <c r="AC4" s="41">
        <v>15</v>
      </c>
      <c r="AD4" s="42">
        <v>16</v>
      </c>
      <c r="AE4" s="41">
        <v>17</v>
      </c>
      <c r="AF4" s="42">
        <v>18</v>
      </c>
      <c r="AG4" s="41">
        <v>19</v>
      </c>
      <c r="AH4" s="42">
        <v>20</v>
      </c>
      <c r="AI4" s="41">
        <v>21</v>
      </c>
      <c r="AJ4" s="42">
        <v>22</v>
      </c>
      <c r="AK4" s="41">
        <v>23</v>
      </c>
      <c r="AL4" s="42">
        <v>24</v>
      </c>
      <c r="AM4" s="41">
        <v>25</v>
      </c>
      <c r="AN4" s="42">
        <v>26</v>
      </c>
      <c r="AO4" s="41">
        <v>27</v>
      </c>
      <c r="AP4" s="42">
        <v>28</v>
      </c>
      <c r="AQ4" s="41">
        <v>29</v>
      </c>
      <c r="AR4" s="42">
        <v>30</v>
      </c>
      <c r="AS4" s="41">
        <v>31</v>
      </c>
      <c r="AT4" s="42">
        <v>32</v>
      </c>
      <c r="AU4" s="41">
        <v>33</v>
      </c>
      <c r="AV4" s="42">
        <v>34</v>
      </c>
      <c r="AW4" s="41">
        <v>35</v>
      </c>
      <c r="AX4" s="42">
        <v>36</v>
      </c>
      <c r="AY4" s="41">
        <v>37</v>
      </c>
      <c r="AZ4" s="42">
        <v>38</v>
      </c>
      <c r="BA4" s="41">
        <v>39</v>
      </c>
      <c r="BB4" s="42">
        <v>40</v>
      </c>
      <c r="BC4" s="41">
        <v>41</v>
      </c>
      <c r="BD4" s="42">
        <v>42</v>
      </c>
      <c r="BE4" s="41">
        <v>43</v>
      </c>
      <c r="BF4" s="42">
        <v>44</v>
      </c>
      <c r="BG4" s="41">
        <v>45</v>
      </c>
      <c r="BH4" s="42">
        <v>46</v>
      </c>
      <c r="BI4" s="41">
        <v>47</v>
      </c>
      <c r="BJ4" s="42">
        <v>48</v>
      </c>
      <c r="BK4" s="41">
        <v>49</v>
      </c>
      <c r="BL4" s="42">
        <v>50</v>
      </c>
      <c r="BM4" s="41">
        <v>51</v>
      </c>
      <c r="BN4" s="42">
        <v>52</v>
      </c>
      <c r="BO4" s="41">
        <v>53</v>
      </c>
      <c r="BP4" s="42">
        <v>54</v>
      </c>
      <c r="BQ4" s="41">
        <v>55</v>
      </c>
      <c r="BR4" s="42">
        <v>56</v>
      </c>
      <c r="BS4" s="41">
        <v>57</v>
      </c>
      <c r="BT4" s="42">
        <v>58</v>
      </c>
      <c r="BU4" s="41">
        <v>59</v>
      </c>
      <c r="BV4" s="42">
        <v>60</v>
      </c>
      <c r="BW4" s="41">
        <v>61</v>
      </c>
      <c r="BX4" s="42">
        <v>62</v>
      </c>
      <c r="BY4" s="41">
        <v>63</v>
      </c>
      <c r="BZ4" s="42">
        <v>64</v>
      </c>
      <c r="CA4" s="41">
        <v>65</v>
      </c>
      <c r="CB4" s="42">
        <v>66</v>
      </c>
      <c r="CC4" s="41">
        <v>67</v>
      </c>
      <c r="CD4" s="42">
        <v>68</v>
      </c>
      <c r="CE4" s="41">
        <v>69</v>
      </c>
      <c r="CF4" s="42">
        <v>70</v>
      </c>
      <c r="CG4" s="41">
        <v>71</v>
      </c>
      <c r="CH4" s="42">
        <v>72</v>
      </c>
      <c r="CI4" s="41">
        <v>73</v>
      </c>
      <c r="CJ4" s="42">
        <v>74</v>
      </c>
      <c r="CK4" s="41">
        <v>75</v>
      </c>
      <c r="CL4" s="42">
        <v>76</v>
      </c>
      <c r="CM4" s="41">
        <v>77</v>
      </c>
      <c r="CN4" s="42">
        <v>78</v>
      </c>
      <c r="CO4" s="41">
        <v>79</v>
      </c>
      <c r="CP4" s="42">
        <v>80</v>
      </c>
      <c r="CR4" s="175" t="s">
        <v>168</v>
      </c>
      <c r="CS4" s="184" t="s">
        <v>169</v>
      </c>
      <c r="CT4" s="184" t="s">
        <v>170</v>
      </c>
      <c r="CU4" s="185" t="s">
        <v>169</v>
      </c>
      <c r="CV4" s="185" t="s">
        <v>170</v>
      </c>
      <c r="CW4" s="184" t="s">
        <v>169</v>
      </c>
      <c r="CX4" s="184" t="s">
        <v>170</v>
      </c>
      <c r="CY4" s="185" t="s">
        <v>169</v>
      </c>
      <c r="CZ4" s="185" t="s">
        <v>170</v>
      </c>
      <c r="DA4" s="184" t="s">
        <v>169</v>
      </c>
      <c r="DB4" s="184" t="s">
        <v>170</v>
      </c>
      <c r="DC4" s="185" t="s">
        <v>169</v>
      </c>
      <c r="DD4" s="185" t="s">
        <v>170</v>
      </c>
      <c r="DE4" s="184" t="s">
        <v>169</v>
      </c>
      <c r="DF4" s="184" t="s">
        <v>170</v>
      </c>
      <c r="DG4" s="185" t="s">
        <v>169</v>
      </c>
      <c r="DH4" s="185" t="s">
        <v>170</v>
      </c>
      <c r="DI4" s="184" t="s">
        <v>169</v>
      </c>
      <c r="DJ4" s="184" t="s">
        <v>170</v>
      </c>
      <c r="DK4" s="185" t="s">
        <v>169</v>
      </c>
      <c r="DL4" s="185" t="s">
        <v>170</v>
      </c>
      <c r="DM4" s="184" t="s">
        <v>169</v>
      </c>
      <c r="DN4" s="184" t="s">
        <v>170</v>
      </c>
      <c r="DO4" s="185" t="s">
        <v>169</v>
      </c>
      <c r="DP4" s="185" t="s">
        <v>170</v>
      </c>
      <c r="DQ4" s="184" t="s">
        <v>169</v>
      </c>
      <c r="DR4" s="184" t="s">
        <v>170</v>
      </c>
    </row>
    <row r="5" spans="1:122" x14ac:dyDescent="0.2">
      <c r="A5" s="43"/>
      <c r="B5" s="44"/>
      <c r="C5" s="44"/>
      <c r="D5" s="44"/>
      <c r="E5" s="45"/>
      <c r="F5" s="45"/>
      <c r="G5" s="45"/>
      <c r="H5" s="45"/>
      <c r="I5" s="45"/>
      <c r="J5" s="45"/>
      <c r="K5" s="45"/>
      <c r="L5" s="46"/>
      <c r="M5" s="46"/>
      <c r="N5" s="104" t="s">
        <v>80</v>
      </c>
      <c r="O5" s="102" t="str">
        <f>IF(ISNA(VLOOKUP(INT(O8),'04系統'!$B$2:$B$999,1,FALSE)),"X系統ID","")&amp;IF(ISNA(VLOOKUP(O9,'05運行日'!$L$2:$L$40,1,FALSE)),"X運行日","")</f>
        <v/>
      </c>
      <c r="P5" s="103" t="str">
        <f>IF(ISNA(VLOOKUP(INT(P8),'04系統'!$B$2:$B$999,1,FALSE)),"X系統ID","")&amp;IF(ISNA(VLOOKUP(P9,'05運行日'!$L$2:$L$40,1,FALSE)),"X運行日","")</f>
        <v/>
      </c>
      <c r="Q5" s="102" t="str">
        <f>IF(ISNA(VLOOKUP(INT(Q8),'04系統'!$B$2:$B$999,1,FALSE)),"X系統ID","")&amp;IF(ISNA(VLOOKUP(Q9,'05運行日'!$L$2:$L$40,1,FALSE)),"X運行日","")</f>
        <v/>
      </c>
      <c r="R5" s="103"/>
      <c r="S5" s="102"/>
      <c r="T5" s="103"/>
      <c r="U5" s="102"/>
      <c r="V5" s="103"/>
      <c r="W5" s="102"/>
      <c r="X5" s="103"/>
      <c r="Y5" s="102"/>
      <c r="Z5" s="103"/>
      <c r="AA5" s="102"/>
      <c r="AB5" s="103"/>
      <c r="AC5" s="102"/>
      <c r="AD5" s="103"/>
      <c r="AE5" s="102"/>
      <c r="AF5" s="103"/>
      <c r="AG5" s="102"/>
      <c r="AH5" s="103"/>
      <c r="AI5" s="102"/>
      <c r="AJ5" s="103"/>
      <c r="AK5" s="102"/>
      <c r="AL5" s="103"/>
      <c r="AM5" s="102"/>
      <c r="AN5" s="103"/>
      <c r="AO5" s="102"/>
      <c r="AP5" s="103"/>
      <c r="AQ5" s="102"/>
      <c r="AR5" s="102"/>
      <c r="AS5" s="102"/>
      <c r="AT5" s="102"/>
      <c r="AU5" s="102"/>
      <c r="AV5" s="102"/>
      <c r="AW5" s="102"/>
      <c r="AX5" s="102"/>
      <c r="AY5" s="102"/>
      <c r="AZ5" s="102"/>
      <c r="BA5" s="102"/>
      <c r="BB5" s="103"/>
      <c r="BC5" s="102"/>
      <c r="BD5" s="102"/>
      <c r="BE5" s="102"/>
      <c r="BF5" s="102"/>
      <c r="BG5" s="102"/>
      <c r="BH5" s="102"/>
      <c r="BI5" s="102"/>
      <c r="BJ5" s="102"/>
      <c r="BK5" s="102"/>
      <c r="BL5" s="102"/>
      <c r="BM5" s="102"/>
      <c r="BN5" s="102"/>
      <c r="BO5" s="102"/>
      <c r="BP5" s="102"/>
      <c r="BQ5" s="102"/>
      <c r="BR5" s="102"/>
      <c r="BS5" s="102"/>
      <c r="BT5" s="102"/>
      <c r="BU5" s="102"/>
      <c r="BV5" s="102"/>
      <c r="BW5" s="102"/>
      <c r="BX5" s="102"/>
      <c r="BY5" s="102"/>
      <c r="BZ5" s="102"/>
      <c r="CA5" s="102"/>
      <c r="CB5" s="102"/>
      <c r="CC5" s="102"/>
      <c r="CD5" s="102"/>
      <c r="CE5" s="102"/>
      <c r="CF5" s="102"/>
      <c r="CG5" s="102"/>
      <c r="CH5" s="103"/>
      <c r="CI5" s="102"/>
      <c r="CJ5" s="103"/>
      <c r="CK5" s="102"/>
      <c r="CL5" s="103"/>
      <c r="CM5" s="102"/>
      <c r="CN5" s="103"/>
      <c r="CO5" s="102"/>
      <c r="CP5" s="103"/>
    </row>
    <row r="6" spans="1:122" x14ac:dyDescent="0.2">
      <c r="A6" s="43"/>
      <c r="B6" s="44"/>
      <c r="C6" s="44"/>
      <c r="D6" s="44"/>
      <c r="E6" s="45"/>
      <c r="F6" s="45"/>
      <c r="G6" s="45"/>
      <c r="H6" s="45"/>
      <c r="I6" s="45"/>
      <c r="J6" s="45"/>
      <c r="K6" s="45"/>
      <c r="L6" s="46"/>
      <c r="M6" s="46"/>
      <c r="N6" s="104" t="s">
        <v>131</v>
      </c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47"/>
      <c r="BB6" s="47"/>
      <c r="BC6" s="47"/>
      <c r="BD6" s="47"/>
      <c r="BE6" s="47"/>
      <c r="BF6" s="47"/>
      <c r="BG6" s="47"/>
      <c r="BH6" s="47"/>
      <c r="BI6" s="47"/>
      <c r="BJ6" s="47"/>
      <c r="BK6" s="47"/>
      <c r="BL6" s="47"/>
      <c r="BM6" s="47"/>
      <c r="BN6" s="47"/>
      <c r="BO6" s="47"/>
      <c r="BP6" s="47"/>
      <c r="BQ6" s="47"/>
      <c r="BR6" s="47"/>
      <c r="BS6" s="47"/>
      <c r="BT6" s="47"/>
      <c r="BU6" s="47"/>
      <c r="BV6" s="47"/>
      <c r="BW6" s="47"/>
      <c r="BX6" s="47"/>
      <c r="BY6" s="47"/>
      <c r="BZ6" s="47"/>
      <c r="CA6" s="47"/>
      <c r="CB6" s="47"/>
      <c r="CC6" s="47"/>
      <c r="CD6" s="47"/>
      <c r="CE6" s="47"/>
      <c r="CF6" s="47"/>
      <c r="CG6" s="47"/>
      <c r="CH6" s="47"/>
      <c r="CI6" s="47"/>
      <c r="CJ6" s="47"/>
      <c r="CK6" s="47"/>
      <c r="CL6" s="47"/>
      <c r="CM6" s="47"/>
      <c r="CN6" s="47"/>
      <c r="CO6" s="47"/>
      <c r="CP6" s="47"/>
    </row>
    <row r="7" spans="1:122" x14ac:dyDescent="0.2">
      <c r="A7" s="43"/>
      <c r="B7" s="44"/>
      <c r="C7" s="44"/>
      <c r="D7" s="44"/>
      <c r="E7" s="45"/>
      <c r="F7" s="45"/>
      <c r="G7" s="45"/>
      <c r="H7" s="45"/>
      <c r="I7" s="45"/>
      <c r="J7" s="45"/>
      <c r="K7" s="45"/>
      <c r="L7" s="46"/>
      <c r="M7" s="46"/>
      <c r="N7" s="50" t="s">
        <v>52</v>
      </c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47"/>
      <c r="AK7" s="47"/>
      <c r="AL7" s="47"/>
      <c r="AM7" s="47"/>
      <c r="AN7" s="47"/>
      <c r="AO7" s="47"/>
      <c r="AP7" s="47"/>
      <c r="AQ7" s="47"/>
      <c r="AR7" s="47"/>
      <c r="AS7" s="47"/>
      <c r="AT7" s="47"/>
      <c r="AU7" s="47"/>
      <c r="AV7" s="47"/>
      <c r="AW7" s="47"/>
      <c r="AX7" s="47"/>
      <c r="AY7" s="47"/>
      <c r="AZ7" s="47"/>
      <c r="BA7" s="47"/>
      <c r="BB7" s="47"/>
      <c r="BC7" s="47"/>
      <c r="BD7" s="47"/>
      <c r="BE7" s="47"/>
      <c r="BF7" s="47"/>
      <c r="BG7" s="47"/>
      <c r="BH7" s="47"/>
      <c r="BI7" s="47"/>
      <c r="BJ7" s="47"/>
      <c r="BK7" s="47"/>
      <c r="BL7" s="47"/>
      <c r="BM7" s="47"/>
      <c r="BN7" s="47"/>
      <c r="BO7" s="47"/>
      <c r="BP7" s="47"/>
      <c r="BQ7" s="47"/>
      <c r="BR7" s="47"/>
      <c r="BS7" s="47"/>
      <c r="BT7" s="47"/>
      <c r="BU7" s="47"/>
      <c r="BV7" s="47"/>
      <c r="BW7" s="47"/>
      <c r="BX7" s="47"/>
      <c r="BY7" s="47"/>
      <c r="BZ7" s="47"/>
      <c r="CA7" s="47"/>
      <c r="CB7" s="47"/>
      <c r="CC7" s="47"/>
      <c r="CD7" s="47"/>
      <c r="CE7" s="47"/>
      <c r="CF7" s="47"/>
      <c r="CG7" s="47"/>
      <c r="CH7" s="47"/>
      <c r="CI7" s="47"/>
      <c r="CJ7" s="47"/>
      <c r="CK7" s="47"/>
      <c r="CL7" s="47"/>
      <c r="CM7" s="47"/>
      <c r="CN7" s="47"/>
      <c r="CO7" s="47"/>
      <c r="CP7" s="47"/>
    </row>
    <row r="8" spans="1:122" x14ac:dyDescent="0.2">
      <c r="A8" s="48"/>
      <c r="B8" s="49"/>
      <c r="C8" s="49"/>
      <c r="D8" s="49"/>
      <c r="E8" s="50"/>
      <c r="F8" s="50"/>
      <c r="G8" s="50"/>
      <c r="H8" s="50"/>
      <c r="I8" s="50"/>
      <c r="J8" s="50"/>
      <c r="K8" s="50"/>
      <c r="L8" s="51"/>
      <c r="M8" s="51"/>
      <c r="N8" s="50" t="s">
        <v>53</v>
      </c>
      <c r="O8" s="52" t="s">
        <v>2029</v>
      </c>
      <c r="P8" s="53" t="s">
        <v>2030</v>
      </c>
      <c r="Q8" s="53" t="s">
        <v>2030</v>
      </c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/>
      <c r="BA8" s="53"/>
      <c r="BB8" s="53"/>
      <c r="BC8" s="53"/>
      <c r="BD8" s="53"/>
      <c r="BE8" s="53"/>
      <c r="BF8" s="53"/>
      <c r="BG8" s="53"/>
      <c r="BH8" s="53"/>
      <c r="BI8" s="53"/>
      <c r="BJ8" s="53"/>
      <c r="BK8" s="53"/>
      <c r="BL8" s="53"/>
      <c r="BM8" s="53"/>
      <c r="BN8" s="53"/>
      <c r="BO8" s="53"/>
      <c r="BP8" s="53"/>
      <c r="BQ8" s="53"/>
      <c r="BR8" s="53"/>
      <c r="BS8" s="53"/>
      <c r="BT8" s="53"/>
      <c r="BU8" s="53"/>
      <c r="BV8" s="53"/>
      <c r="BW8" s="53"/>
      <c r="BX8" s="53"/>
      <c r="BY8" s="53"/>
      <c r="BZ8" s="53"/>
      <c r="CA8" s="53"/>
      <c r="CB8" s="53"/>
      <c r="CC8" s="53"/>
      <c r="CD8" s="53"/>
      <c r="CE8" s="53"/>
      <c r="CF8" s="53"/>
      <c r="CG8" s="53"/>
      <c r="CH8" s="53"/>
      <c r="CI8" s="53"/>
      <c r="CJ8" s="53"/>
      <c r="CK8" s="53"/>
      <c r="CL8" s="53"/>
      <c r="CM8" s="53"/>
      <c r="CN8" s="53"/>
      <c r="CO8" s="53"/>
      <c r="CP8" s="53"/>
      <c r="CR8" s="172" t="s">
        <v>171</v>
      </c>
      <c r="CS8" s="186"/>
      <c r="CT8" s="186"/>
      <c r="CU8" s="186"/>
      <c r="CV8" s="186"/>
      <c r="CW8" s="186"/>
      <c r="CX8" s="186"/>
      <c r="CY8" s="186"/>
      <c r="CZ8" s="186"/>
      <c r="DA8" s="186"/>
      <c r="DB8" s="186"/>
      <c r="DC8" s="186"/>
      <c r="DD8" s="186"/>
      <c r="DE8" s="186"/>
      <c r="DF8" s="186"/>
      <c r="DG8" s="186"/>
      <c r="DH8" s="186"/>
      <c r="DI8" s="186"/>
      <c r="DJ8" s="186"/>
      <c r="DK8" s="186"/>
      <c r="DL8" s="186"/>
      <c r="DM8" s="186"/>
      <c r="DN8" s="186"/>
      <c r="DO8" s="186"/>
      <c r="DP8" s="186"/>
      <c r="DQ8" s="186"/>
      <c r="DR8" s="186"/>
    </row>
    <row r="9" spans="1:122" ht="39" customHeight="1" x14ac:dyDescent="0.2">
      <c r="A9" s="54" t="s">
        <v>54</v>
      </c>
      <c r="B9" s="54" t="s">
        <v>55</v>
      </c>
      <c r="C9" s="54" t="s">
        <v>56</v>
      </c>
      <c r="D9" s="54" t="s">
        <v>57</v>
      </c>
      <c r="E9" s="54" t="s">
        <v>58</v>
      </c>
      <c r="F9" s="55" t="s">
        <v>59</v>
      </c>
      <c r="G9" s="55" t="s">
        <v>59</v>
      </c>
      <c r="H9" s="55" t="s">
        <v>59</v>
      </c>
      <c r="I9" s="55" t="s">
        <v>59</v>
      </c>
      <c r="J9" s="55" t="s">
        <v>59</v>
      </c>
      <c r="K9" s="55" t="s">
        <v>59</v>
      </c>
      <c r="L9" s="56" t="s">
        <v>2</v>
      </c>
      <c r="M9" s="56" t="s">
        <v>60</v>
      </c>
      <c r="N9" s="57" t="s">
        <v>61</v>
      </c>
      <c r="O9" s="58" t="s">
        <v>1789</v>
      </c>
      <c r="P9" s="58" t="s">
        <v>2033</v>
      </c>
      <c r="Q9" s="58" t="s">
        <v>2033</v>
      </c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  <c r="AO9" s="58"/>
      <c r="AP9" s="58"/>
      <c r="AQ9" s="58"/>
      <c r="AR9" s="58"/>
      <c r="AS9" s="58"/>
      <c r="AT9" s="58"/>
      <c r="AU9" s="58"/>
      <c r="AV9" s="58"/>
      <c r="AW9" s="58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8"/>
      <c r="BL9" s="58"/>
      <c r="BM9" s="58"/>
      <c r="BN9" s="58"/>
      <c r="BO9" s="58"/>
      <c r="BP9" s="58"/>
      <c r="BQ9" s="58"/>
      <c r="BR9" s="58"/>
      <c r="BS9" s="58"/>
      <c r="BT9" s="58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8"/>
      <c r="CP9" s="58"/>
    </row>
    <row r="10" spans="1:122" x14ac:dyDescent="0.2">
      <c r="A10" s="59" t="s">
        <v>733</v>
      </c>
      <c r="B10" s="60"/>
      <c r="C10" s="60"/>
      <c r="D10" s="60"/>
      <c r="E10" s="61"/>
      <c r="F10" s="114"/>
      <c r="G10" s="114"/>
      <c r="H10" s="114"/>
      <c r="I10" s="114"/>
      <c r="J10" s="114"/>
      <c r="K10" s="114"/>
      <c r="L10" s="62">
        <f>IF(N10="","XXX",VLOOKUP(M10*10+N10,'06停留所'!$B$2:$B$9999,1,FALSE))</f>
        <v>2121</v>
      </c>
      <c r="M10" s="63">
        <f>INT(VLOOKUPLEFT(A10,'06停留所'!$B$2:$C$9999,'06停留所'!$C$2:$C$9999,1)/10)</f>
        <v>212</v>
      </c>
      <c r="N10" s="208">
        <v>1</v>
      </c>
      <c r="O10" s="64" t="s">
        <v>1799</v>
      </c>
      <c r="P10" s="65" t="s">
        <v>1837</v>
      </c>
      <c r="Q10" s="65" t="s">
        <v>1881</v>
      </c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65"/>
      <c r="AZ10" s="65"/>
      <c r="BA10" s="65"/>
      <c r="BB10" s="65"/>
      <c r="BC10" s="65"/>
      <c r="BD10" s="65"/>
      <c r="BE10" s="65"/>
      <c r="BF10" s="65"/>
      <c r="BG10" s="65"/>
      <c r="BH10" s="65"/>
      <c r="BI10" s="65"/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65"/>
      <c r="BV10" s="65"/>
      <c r="BW10" s="65"/>
      <c r="BX10" s="65"/>
      <c r="BY10" s="65"/>
      <c r="BZ10" s="65"/>
      <c r="CA10" s="65"/>
      <c r="CB10" s="65"/>
      <c r="CC10" s="65"/>
      <c r="CD10" s="65"/>
      <c r="CE10" s="65"/>
      <c r="CF10" s="65"/>
      <c r="CG10" s="65"/>
      <c r="CH10" s="65"/>
      <c r="CI10" s="65"/>
      <c r="CJ10" s="65"/>
      <c r="CK10" s="65"/>
      <c r="CL10" s="65"/>
      <c r="CM10" s="65"/>
      <c r="CN10" s="65"/>
      <c r="CO10" s="65"/>
      <c r="CP10" s="65"/>
      <c r="CR10" s="176" t="s">
        <v>172</v>
      </c>
    </row>
    <row r="11" spans="1:122" x14ac:dyDescent="0.2">
      <c r="A11" s="59" t="s">
        <v>736</v>
      </c>
      <c r="B11" s="66"/>
      <c r="C11" s="66"/>
      <c r="D11" s="66"/>
      <c r="E11" s="59"/>
      <c r="F11" s="59"/>
      <c r="G11" s="59"/>
      <c r="H11" s="59"/>
      <c r="I11" s="59"/>
      <c r="J11" s="59"/>
      <c r="K11" s="67"/>
      <c r="L11" s="68">
        <f>IF(N11="","XXX",VLOOKUP(M11*10+N11,'06停留所'!$B$2:$B$9999,1,FALSE))</f>
        <v>2132</v>
      </c>
      <c r="M11" s="68">
        <f>INT(VLOOKUPLEFT(A11,'06停留所'!$B$2:$C$9999,'06停留所'!$C$2:$C$9999,1)/10)</f>
        <v>213</v>
      </c>
      <c r="N11" s="209">
        <v>2</v>
      </c>
      <c r="O11" s="69" t="s">
        <v>1800</v>
      </c>
      <c r="P11" s="70" t="s">
        <v>1838</v>
      </c>
      <c r="Q11" s="70" t="s">
        <v>1882</v>
      </c>
      <c r="R11" s="70"/>
      <c r="S11" s="70"/>
      <c r="T11" s="70"/>
      <c r="U11" s="70"/>
      <c r="V11" s="70"/>
      <c r="W11" s="70"/>
      <c r="X11" s="70"/>
      <c r="Y11" s="70"/>
      <c r="Z11" s="70"/>
      <c r="AA11" s="70"/>
      <c r="AB11" s="70"/>
      <c r="AC11" s="70"/>
      <c r="AD11" s="70"/>
      <c r="AE11" s="70"/>
      <c r="AF11" s="70"/>
      <c r="AG11" s="70"/>
      <c r="AH11" s="70"/>
      <c r="AI11" s="70"/>
      <c r="AJ11" s="70"/>
      <c r="AK11" s="70"/>
      <c r="AL11" s="70"/>
      <c r="AM11" s="70"/>
      <c r="AN11" s="70"/>
      <c r="AO11" s="70"/>
      <c r="AP11" s="70"/>
      <c r="AQ11" s="70"/>
      <c r="AR11" s="70"/>
      <c r="AS11" s="70"/>
      <c r="AT11" s="70"/>
      <c r="AU11" s="70"/>
      <c r="AV11" s="70"/>
      <c r="AW11" s="70"/>
      <c r="AX11" s="70"/>
      <c r="AY11" s="70"/>
      <c r="AZ11" s="70"/>
      <c r="BA11" s="70"/>
      <c r="BB11" s="70"/>
      <c r="BC11" s="70"/>
      <c r="BD11" s="70"/>
      <c r="BE11" s="70"/>
      <c r="BF11" s="70"/>
      <c r="BG11" s="70"/>
      <c r="BH11" s="70"/>
      <c r="BI11" s="70"/>
      <c r="BJ11" s="70"/>
      <c r="BK11" s="70"/>
      <c r="BL11" s="70"/>
      <c r="BM11" s="70"/>
      <c r="BN11" s="70"/>
      <c r="BO11" s="70"/>
      <c r="BP11" s="70"/>
      <c r="BQ11" s="70"/>
      <c r="BR11" s="70"/>
      <c r="BS11" s="70"/>
      <c r="BT11" s="70"/>
      <c r="BU11" s="70"/>
      <c r="BV11" s="70"/>
      <c r="BW11" s="70"/>
      <c r="BX11" s="70"/>
      <c r="BY11" s="70"/>
      <c r="BZ11" s="70"/>
      <c r="CA11" s="70"/>
      <c r="CB11" s="70"/>
      <c r="CC11" s="70"/>
      <c r="CD11" s="70"/>
      <c r="CE11" s="70"/>
      <c r="CF11" s="70"/>
      <c r="CG11" s="70"/>
      <c r="CH11" s="70"/>
      <c r="CI11" s="70"/>
      <c r="CJ11" s="70"/>
      <c r="CK11" s="70"/>
      <c r="CL11" s="70"/>
      <c r="CM11" s="70"/>
      <c r="CN11" s="70"/>
      <c r="CO11" s="70"/>
      <c r="CP11" s="70"/>
      <c r="CR11" s="173"/>
    </row>
    <row r="12" spans="1:122" x14ac:dyDescent="0.2">
      <c r="A12" s="59" t="s">
        <v>739</v>
      </c>
      <c r="B12" s="66"/>
      <c r="C12" s="66"/>
      <c r="D12" s="66"/>
      <c r="E12" s="59"/>
      <c r="F12" s="59"/>
      <c r="G12" s="59"/>
      <c r="H12" s="59"/>
      <c r="I12" s="59"/>
      <c r="J12" s="59"/>
      <c r="K12" s="71"/>
      <c r="L12" s="68">
        <f>IF(N12="","XXX",VLOOKUP(M12*10+N12,'06停留所'!$B$2:$B$9999,1,FALSE))</f>
        <v>2142</v>
      </c>
      <c r="M12" s="68">
        <f>INT(VLOOKUPLEFT(A12,'06停留所'!$B$2:$C$9999,'06停留所'!$C$2:$C$9999,1)/10)</f>
        <v>214</v>
      </c>
      <c r="N12" s="209">
        <v>2</v>
      </c>
      <c r="O12" s="69" t="s">
        <v>1801</v>
      </c>
      <c r="P12" s="70" t="s">
        <v>1839</v>
      </c>
      <c r="Q12" s="70" t="s">
        <v>1883</v>
      </c>
      <c r="R12" s="70"/>
      <c r="S12" s="70"/>
      <c r="T12" s="70"/>
      <c r="U12" s="70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70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  <c r="BO12" s="70"/>
      <c r="BP12" s="70"/>
      <c r="BQ12" s="70"/>
      <c r="BR12" s="70"/>
      <c r="BS12" s="70"/>
      <c r="BT12" s="70"/>
      <c r="BU12" s="70"/>
      <c r="BV12" s="70"/>
      <c r="BW12" s="70"/>
      <c r="BX12" s="70"/>
      <c r="BY12" s="70"/>
      <c r="BZ12" s="70"/>
      <c r="CA12" s="70"/>
      <c r="CB12" s="70"/>
      <c r="CC12" s="70"/>
      <c r="CD12" s="70"/>
      <c r="CE12" s="70"/>
      <c r="CF12" s="70"/>
      <c r="CG12" s="70"/>
      <c r="CH12" s="70"/>
      <c r="CI12" s="70"/>
      <c r="CJ12" s="70"/>
      <c r="CK12" s="70"/>
      <c r="CL12" s="70"/>
      <c r="CM12" s="70"/>
      <c r="CN12" s="70"/>
      <c r="CO12" s="70"/>
      <c r="CP12" s="70"/>
      <c r="CR12" s="173"/>
    </row>
    <row r="13" spans="1:122" x14ac:dyDescent="0.2">
      <c r="A13" s="67" t="s">
        <v>1798</v>
      </c>
      <c r="B13" s="213" t="s">
        <v>1796</v>
      </c>
      <c r="C13" s="213"/>
      <c r="D13" s="213"/>
      <c r="E13" s="67"/>
      <c r="F13" s="67"/>
      <c r="G13" s="67"/>
      <c r="H13" s="67"/>
      <c r="I13" s="67"/>
      <c r="J13" s="67"/>
      <c r="K13" s="67"/>
      <c r="L13" s="68">
        <f>IF(N13="","XXX",VLOOKUP(M13*10+N13,'06停留所'!$B$2:$B$9999,1,FALSE))</f>
        <v>2151</v>
      </c>
      <c r="M13" s="68">
        <f>INT(VLOOKUPLEFT(A13,'06停留所'!$B$2:$C$9999,'06停留所'!$C$2:$C$9999,1)/10)</f>
        <v>215</v>
      </c>
      <c r="N13" s="209">
        <v>1</v>
      </c>
      <c r="O13" s="214" t="s">
        <v>1802</v>
      </c>
      <c r="P13" s="215" t="s">
        <v>1840</v>
      </c>
      <c r="Q13" s="215" t="s">
        <v>1884</v>
      </c>
      <c r="R13" s="215"/>
      <c r="S13" s="215"/>
      <c r="T13" s="215"/>
      <c r="U13" s="215"/>
      <c r="V13" s="215"/>
      <c r="W13" s="215"/>
      <c r="X13" s="215"/>
      <c r="Y13" s="215"/>
      <c r="Z13" s="215"/>
      <c r="AA13" s="215"/>
      <c r="AB13" s="215"/>
      <c r="AC13" s="215"/>
      <c r="AD13" s="215"/>
      <c r="AE13" s="215"/>
      <c r="AF13" s="215"/>
      <c r="AG13" s="215"/>
      <c r="AH13" s="215"/>
      <c r="AI13" s="215"/>
      <c r="AJ13" s="215"/>
      <c r="AK13" s="215"/>
      <c r="AL13" s="215"/>
      <c r="AM13" s="215"/>
      <c r="AN13" s="215"/>
      <c r="AO13" s="215"/>
      <c r="AP13" s="215"/>
      <c r="AQ13" s="215"/>
      <c r="AR13" s="215"/>
      <c r="AS13" s="215"/>
      <c r="AT13" s="215"/>
      <c r="AU13" s="215"/>
      <c r="AV13" s="215"/>
      <c r="AW13" s="215"/>
      <c r="AX13" s="215"/>
      <c r="AY13" s="215"/>
      <c r="AZ13" s="215"/>
      <c r="BA13" s="215"/>
      <c r="BB13" s="215"/>
      <c r="BC13" s="215"/>
      <c r="BD13" s="215"/>
      <c r="BE13" s="215"/>
      <c r="BF13" s="215"/>
      <c r="BG13" s="215"/>
      <c r="BH13" s="215"/>
      <c r="BI13" s="215"/>
      <c r="BJ13" s="215"/>
      <c r="BK13" s="215"/>
      <c r="BL13" s="215"/>
      <c r="BM13" s="215"/>
      <c r="BN13" s="215"/>
      <c r="BO13" s="215"/>
      <c r="BP13" s="215"/>
      <c r="BQ13" s="215"/>
      <c r="BR13" s="215"/>
      <c r="BS13" s="215"/>
      <c r="BT13" s="215"/>
      <c r="BU13" s="215"/>
      <c r="BV13" s="215"/>
      <c r="BW13" s="215"/>
      <c r="BX13" s="215"/>
      <c r="BY13" s="215"/>
      <c r="BZ13" s="215"/>
      <c r="CA13" s="215"/>
      <c r="CB13" s="215"/>
      <c r="CC13" s="215"/>
      <c r="CD13" s="215"/>
      <c r="CE13" s="215"/>
      <c r="CF13" s="215"/>
      <c r="CG13" s="215"/>
      <c r="CH13" s="215"/>
      <c r="CI13" s="215"/>
      <c r="CJ13" s="215"/>
      <c r="CK13" s="215"/>
      <c r="CL13" s="215"/>
      <c r="CM13" s="215"/>
      <c r="CN13" s="215"/>
      <c r="CO13" s="215"/>
      <c r="CP13" s="215"/>
      <c r="CQ13" s="216"/>
      <c r="CR13" s="173"/>
    </row>
    <row r="14" spans="1:122" x14ac:dyDescent="0.2">
      <c r="A14" s="71" t="s">
        <v>1798</v>
      </c>
      <c r="B14" s="217" t="s">
        <v>1795</v>
      </c>
      <c r="C14" s="217"/>
      <c r="D14" s="217"/>
      <c r="E14" s="71"/>
      <c r="F14" s="218"/>
      <c r="G14" s="218"/>
      <c r="H14" s="218"/>
      <c r="I14" s="218"/>
      <c r="J14" s="218"/>
      <c r="K14" s="218"/>
      <c r="L14" s="68">
        <f>IF(N14="","XXX",VLOOKUP(M14*10+N14,'06停留所'!$B$2:$B$9999,1,FALSE))</f>
        <v>2151</v>
      </c>
      <c r="M14" s="68">
        <f>INT(VLOOKUPLEFT(A14,'06停留所'!$B$2:$C$9999,'06停留所'!$C$2:$C$9999,1)/10)</f>
        <v>215</v>
      </c>
      <c r="N14" s="209">
        <v>1</v>
      </c>
      <c r="O14" s="219" t="s">
        <v>1803</v>
      </c>
      <c r="P14" s="220" t="s">
        <v>1841</v>
      </c>
      <c r="Q14" s="220" t="s">
        <v>1885</v>
      </c>
      <c r="R14" s="220"/>
      <c r="S14" s="220"/>
      <c r="T14" s="220"/>
      <c r="U14" s="220"/>
      <c r="V14" s="220"/>
      <c r="W14" s="220"/>
      <c r="X14" s="220"/>
      <c r="Y14" s="220"/>
      <c r="Z14" s="220"/>
      <c r="AA14" s="220"/>
      <c r="AB14" s="220"/>
      <c r="AC14" s="220"/>
      <c r="AD14" s="220"/>
      <c r="AE14" s="220"/>
      <c r="AF14" s="220"/>
      <c r="AG14" s="220"/>
      <c r="AH14" s="220"/>
      <c r="AI14" s="220"/>
      <c r="AJ14" s="220"/>
      <c r="AK14" s="220"/>
      <c r="AL14" s="220"/>
      <c r="AM14" s="220"/>
      <c r="AN14" s="220"/>
      <c r="AO14" s="220"/>
      <c r="AP14" s="220"/>
      <c r="AQ14" s="220"/>
      <c r="AR14" s="220"/>
      <c r="AS14" s="220"/>
      <c r="AT14" s="220"/>
      <c r="AU14" s="220"/>
      <c r="AV14" s="220"/>
      <c r="AW14" s="220"/>
      <c r="AX14" s="220"/>
      <c r="AY14" s="220"/>
      <c r="AZ14" s="220"/>
      <c r="BA14" s="220"/>
      <c r="BB14" s="220"/>
      <c r="BC14" s="220"/>
      <c r="BD14" s="220"/>
      <c r="BE14" s="220"/>
      <c r="BF14" s="220"/>
      <c r="BG14" s="220"/>
      <c r="BH14" s="220"/>
      <c r="BI14" s="220"/>
      <c r="BJ14" s="220"/>
      <c r="BK14" s="220"/>
      <c r="BL14" s="220"/>
      <c r="BM14" s="220"/>
      <c r="BN14" s="220"/>
      <c r="BO14" s="220"/>
      <c r="BP14" s="220"/>
      <c r="BQ14" s="220"/>
      <c r="BR14" s="220"/>
      <c r="BS14" s="220"/>
      <c r="BT14" s="220"/>
      <c r="BU14" s="220"/>
      <c r="BV14" s="220"/>
      <c r="BW14" s="220"/>
      <c r="BX14" s="220"/>
      <c r="BY14" s="220"/>
      <c r="BZ14" s="220"/>
      <c r="CA14" s="220"/>
      <c r="CB14" s="220"/>
      <c r="CC14" s="220"/>
      <c r="CD14" s="220"/>
      <c r="CE14" s="220"/>
      <c r="CF14" s="220"/>
      <c r="CG14" s="220"/>
      <c r="CH14" s="220"/>
      <c r="CI14" s="220"/>
      <c r="CJ14" s="220"/>
      <c r="CK14" s="220"/>
      <c r="CL14" s="220"/>
      <c r="CM14" s="220"/>
      <c r="CN14" s="220"/>
      <c r="CO14" s="220"/>
      <c r="CP14" s="220"/>
      <c r="CQ14" s="221"/>
      <c r="CR14" s="173"/>
    </row>
    <row r="15" spans="1:122" x14ac:dyDescent="0.2">
      <c r="A15" s="59" t="s">
        <v>739</v>
      </c>
      <c r="B15" s="66"/>
      <c r="C15" s="66"/>
      <c r="D15" s="66"/>
      <c r="E15" s="59"/>
      <c r="F15" s="59"/>
      <c r="G15" s="59"/>
      <c r="H15" s="59"/>
      <c r="I15" s="59"/>
      <c r="J15" s="59"/>
      <c r="K15" s="59"/>
      <c r="L15" s="68">
        <f>IF(N15="","XXX",VLOOKUP(M15*10+N15,'06停留所'!$B$2:$B$9999,1,FALSE))</f>
        <v>2142</v>
      </c>
      <c r="M15" s="68">
        <f>INT(VLOOKUPLEFT(A15,'06停留所'!$B$2:$C$9999,'06停留所'!$C$2:$C$9999,1)/10)</f>
        <v>214</v>
      </c>
      <c r="N15" s="209">
        <v>2</v>
      </c>
      <c r="O15" s="69" t="s">
        <v>1804</v>
      </c>
      <c r="P15" s="70" t="s">
        <v>1842</v>
      </c>
      <c r="Q15" s="70" t="s">
        <v>1886</v>
      </c>
      <c r="R15" s="70"/>
      <c r="S15" s="70"/>
      <c r="T15" s="70"/>
      <c r="U15" s="70"/>
      <c r="V15" s="70"/>
      <c r="W15" s="70"/>
      <c r="X15" s="70"/>
      <c r="Y15" s="70"/>
      <c r="Z15" s="70"/>
      <c r="AA15" s="70"/>
      <c r="AB15" s="70"/>
      <c r="AC15" s="70"/>
      <c r="AD15" s="70"/>
      <c r="AE15" s="70"/>
      <c r="AF15" s="70"/>
      <c r="AG15" s="70"/>
      <c r="AH15" s="70"/>
      <c r="AI15" s="70"/>
      <c r="AJ15" s="70"/>
      <c r="AK15" s="70"/>
      <c r="AL15" s="70"/>
      <c r="AM15" s="70"/>
      <c r="AN15" s="70"/>
      <c r="AO15" s="70"/>
      <c r="AP15" s="70"/>
      <c r="AQ15" s="70"/>
      <c r="AR15" s="70"/>
      <c r="AS15" s="70"/>
      <c r="AT15" s="70"/>
      <c r="AU15" s="70"/>
      <c r="AV15" s="70"/>
      <c r="AW15" s="70"/>
      <c r="AX15" s="70"/>
      <c r="AY15" s="70"/>
      <c r="AZ15" s="70"/>
      <c r="BA15" s="70"/>
      <c r="BB15" s="70"/>
      <c r="BC15" s="70"/>
      <c r="BD15" s="70"/>
      <c r="BE15" s="70"/>
      <c r="BF15" s="70"/>
      <c r="BG15" s="70"/>
      <c r="BH15" s="70"/>
      <c r="BI15" s="70"/>
      <c r="BJ15" s="70"/>
      <c r="BK15" s="70"/>
      <c r="BL15" s="70"/>
      <c r="BM15" s="70"/>
      <c r="BN15" s="70"/>
      <c r="BO15" s="70"/>
      <c r="BP15" s="70"/>
      <c r="BQ15" s="70"/>
      <c r="BR15" s="70"/>
      <c r="BS15" s="70"/>
      <c r="BT15" s="70"/>
      <c r="BU15" s="70"/>
      <c r="BV15" s="70"/>
      <c r="BW15" s="70"/>
      <c r="BX15" s="70"/>
      <c r="BY15" s="70"/>
      <c r="BZ15" s="70"/>
      <c r="CA15" s="70"/>
      <c r="CB15" s="70"/>
      <c r="CC15" s="70"/>
      <c r="CD15" s="70"/>
      <c r="CE15" s="70"/>
      <c r="CF15" s="70"/>
      <c r="CG15" s="70"/>
      <c r="CH15" s="70"/>
      <c r="CI15" s="70"/>
      <c r="CJ15" s="70"/>
      <c r="CK15" s="70"/>
      <c r="CL15" s="70"/>
      <c r="CM15" s="70"/>
      <c r="CN15" s="70"/>
      <c r="CO15" s="70"/>
      <c r="CP15" s="70"/>
      <c r="CR15" s="173"/>
    </row>
    <row r="16" spans="1:122" x14ac:dyDescent="0.2">
      <c r="A16" s="59" t="s">
        <v>736</v>
      </c>
      <c r="B16" s="66"/>
      <c r="C16" s="66"/>
      <c r="D16" s="66"/>
      <c r="E16" s="59"/>
      <c r="F16" s="59"/>
      <c r="G16" s="59"/>
      <c r="H16" s="59"/>
      <c r="I16" s="59"/>
      <c r="J16" s="59"/>
      <c r="K16" s="59"/>
      <c r="L16" s="68">
        <f>IF(N16="","XXX",VLOOKUP(M16*10+N16,'06停留所'!$B$2:$B$9999,1,FALSE))</f>
        <v>2132</v>
      </c>
      <c r="M16" s="68">
        <f>INT(VLOOKUPLEFT(A16,'06停留所'!$B$2:$C$9999,'06停留所'!$C$2:$C$9999,1)/10)</f>
        <v>213</v>
      </c>
      <c r="N16" s="209">
        <v>2</v>
      </c>
      <c r="O16" s="69" t="s">
        <v>1805</v>
      </c>
      <c r="P16" s="70" t="s">
        <v>1843</v>
      </c>
      <c r="Q16" s="70" t="s">
        <v>1887</v>
      </c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70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  <c r="BN16" s="70"/>
      <c r="BO16" s="70"/>
      <c r="BP16" s="70"/>
      <c r="BQ16" s="70"/>
      <c r="BR16" s="70"/>
      <c r="BS16" s="70"/>
      <c r="BT16" s="70"/>
      <c r="BU16" s="70"/>
      <c r="BV16" s="70"/>
      <c r="BW16" s="70"/>
      <c r="BX16" s="70"/>
      <c r="BY16" s="70"/>
      <c r="BZ16" s="70"/>
      <c r="CA16" s="70"/>
      <c r="CB16" s="70"/>
      <c r="CC16" s="70"/>
      <c r="CD16" s="70"/>
      <c r="CE16" s="70"/>
      <c r="CF16" s="70"/>
      <c r="CG16" s="70"/>
      <c r="CH16" s="70"/>
      <c r="CI16" s="70"/>
      <c r="CJ16" s="70"/>
      <c r="CK16" s="70"/>
      <c r="CL16" s="70"/>
      <c r="CM16" s="70"/>
      <c r="CN16" s="70"/>
      <c r="CO16" s="70"/>
      <c r="CP16" s="70"/>
      <c r="CR16" s="173"/>
    </row>
    <row r="17" spans="1:96" x14ac:dyDescent="0.2">
      <c r="A17" s="59" t="s">
        <v>745</v>
      </c>
      <c r="B17" s="66"/>
      <c r="C17" s="66"/>
      <c r="D17" s="66"/>
      <c r="E17" s="59"/>
      <c r="F17" s="59"/>
      <c r="G17" s="59"/>
      <c r="H17" s="59"/>
      <c r="I17" s="59"/>
      <c r="J17" s="59"/>
      <c r="K17" s="59"/>
      <c r="L17" s="68">
        <f>IF(N17="","XXX",VLOOKUP(M17*10+N17,'06停留所'!$B$2:$B$9999,1,FALSE))</f>
        <v>2161</v>
      </c>
      <c r="M17" s="63">
        <f>INT(VLOOKUPLEFT(A17,'06停留所'!$B$2:$C$9999,'06停留所'!$C$2:$C$9999,1)/10)</f>
        <v>216</v>
      </c>
      <c r="N17" s="209">
        <v>1</v>
      </c>
      <c r="O17" s="69" t="s">
        <v>1806</v>
      </c>
      <c r="P17" s="70" t="s">
        <v>1844</v>
      </c>
      <c r="Q17" s="70" t="s">
        <v>1888</v>
      </c>
      <c r="R17" s="70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70"/>
      <c r="AD17" s="70"/>
      <c r="AE17" s="70"/>
      <c r="AF17" s="70"/>
      <c r="AG17" s="70"/>
      <c r="AH17" s="70"/>
      <c r="AI17" s="70"/>
      <c r="AJ17" s="70"/>
      <c r="AK17" s="70"/>
      <c r="AL17" s="70"/>
      <c r="AM17" s="70"/>
      <c r="AN17" s="70"/>
      <c r="AO17" s="70"/>
      <c r="AP17" s="70"/>
      <c r="AQ17" s="70"/>
      <c r="AR17" s="70"/>
      <c r="AS17" s="70"/>
      <c r="AT17" s="70"/>
      <c r="AU17" s="70"/>
      <c r="AV17" s="70"/>
      <c r="AW17" s="70"/>
      <c r="AX17" s="70"/>
      <c r="AY17" s="70"/>
      <c r="AZ17" s="70"/>
      <c r="BA17" s="70"/>
      <c r="BB17" s="70"/>
      <c r="BC17" s="70"/>
      <c r="BD17" s="70"/>
      <c r="BE17" s="70"/>
      <c r="BF17" s="70"/>
      <c r="BG17" s="70"/>
      <c r="BH17" s="70"/>
      <c r="BI17" s="70"/>
      <c r="BJ17" s="70"/>
      <c r="BK17" s="70"/>
      <c r="BL17" s="70"/>
      <c r="BM17" s="70"/>
      <c r="BN17" s="70"/>
      <c r="BO17" s="70"/>
      <c r="BP17" s="70"/>
      <c r="BQ17" s="70"/>
      <c r="BR17" s="70"/>
      <c r="BS17" s="70"/>
      <c r="BT17" s="70"/>
      <c r="BU17" s="70"/>
      <c r="BV17" s="70"/>
      <c r="BW17" s="70"/>
      <c r="BX17" s="70"/>
      <c r="BY17" s="70"/>
      <c r="BZ17" s="70"/>
      <c r="CA17" s="70"/>
      <c r="CB17" s="70"/>
      <c r="CC17" s="70"/>
      <c r="CD17" s="70"/>
      <c r="CE17" s="70"/>
      <c r="CF17" s="70"/>
      <c r="CG17" s="70"/>
      <c r="CH17" s="70"/>
      <c r="CI17" s="70"/>
      <c r="CJ17" s="70"/>
      <c r="CK17" s="70"/>
      <c r="CL17" s="70"/>
      <c r="CM17" s="70"/>
      <c r="CN17" s="70"/>
      <c r="CO17" s="70"/>
      <c r="CP17" s="70"/>
      <c r="CR17" s="173"/>
    </row>
    <row r="18" spans="1:96" x14ac:dyDescent="0.2">
      <c r="A18" s="59" t="s">
        <v>747</v>
      </c>
      <c r="B18" s="66"/>
      <c r="C18" s="66"/>
      <c r="D18" s="66"/>
      <c r="E18" s="59"/>
      <c r="F18" s="59"/>
      <c r="G18" s="59"/>
      <c r="H18" s="59"/>
      <c r="I18" s="59"/>
      <c r="J18" s="59"/>
      <c r="K18" s="59"/>
      <c r="L18" s="68">
        <f>IF(N18="","XXX",VLOOKUP(M18*10+N18,'06停留所'!$B$2:$B$9999,1,FALSE))</f>
        <v>2171</v>
      </c>
      <c r="M18" s="63">
        <f>INT(VLOOKUPLEFT(A18,'06停留所'!$B$2:$C$9999,'06停留所'!$C$2:$C$9999,1)/10)</f>
        <v>217</v>
      </c>
      <c r="N18" s="209">
        <v>1</v>
      </c>
      <c r="O18" s="69" t="s">
        <v>1807</v>
      </c>
      <c r="P18" s="70" t="s">
        <v>1845</v>
      </c>
      <c r="Q18" s="70" t="s">
        <v>1889</v>
      </c>
      <c r="R18" s="70"/>
      <c r="S18" s="70"/>
      <c r="T18" s="70"/>
      <c r="U18" s="70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70"/>
      <c r="BF18" s="70"/>
      <c r="BG18" s="70"/>
      <c r="BH18" s="70"/>
      <c r="BI18" s="70"/>
      <c r="BJ18" s="70"/>
      <c r="BK18" s="70"/>
      <c r="BL18" s="70"/>
      <c r="BM18" s="70"/>
      <c r="BN18" s="70"/>
      <c r="BO18" s="70"/>
      <c r="BP18" s="70"/>
      <c r="BQ18" s="70"/>
      <c r="BR18" s="70"/>
      <c r="BS18" s="70"/>
      <c r="BT18" s="70"/>
      <c r="BU18" s="70"/>
      <c r="BV18" s="70"/>
      <c r="BW18" s="70"/>
      <c r="BX18" s="70"/>
      <c r="BY18" s="70"/>
      <c r="BZ18" s="70"/>
      <c r="CA18" s="70"/>
      <c r="CB18" s="70"/>
      <c r="CC18" s="70"/>
      <c r="CD18" s="70"/>
      <c r="CE18" s="70"/>
      <c r="CF18" s="70"/>
      <c r="CG18" s="70"/>
      <c r="CH18" s="70"/>
      <c r="CI18" s="70"/>
      <c r="CJ18" s="70"/>
      <c r="CK18" s="70"/>
      <c r="CL18" s="70"/>
      <c r="CM18" s="70"/>
      <c r="CN18" s="70"/>
      <c r="CO18" s="70"/>
      <c r="CP18" s="70"/>
      <c r="CR18" s="173"/>
    </row>
    <row r="19" spans="1:96" x14ac:dyDescent="0.2">
      <c r="A19" s="59" t="s">
        <v>750</v>
      </c>
      <c r="B19" s="66"/>
      <c r="C19" s="66"/>
      <c r="D19" s="66"/>
      <c r="E19" s="59"/>
      <c r="F19" s="59"/>
      <c r="G19" s="59"/>
      <c r="H19" s="59"/>
      <c r="I19" s="59"/>
      <c r="J19" s="59"/>
      <c r="K19" s="59"/>
      <c r="L19" s="68">
        <f>IF(N19="","XXX",VLOOKUP(M19*10+N19,'06停留所'!$B$2:$B$9999,1,FALSE))</f>
        <v>2181</v>
      </c>
      <c r="M19" s="63">
        <f>INT(VLOOKUPLEFT(A19,'06停留所'!$B$2:$C$9999,'06停留所'!$C$2:$C$9999,1)/10)</f>
        <v>218</v>
      </c>
      <c r="N19" s="209">
        <v>1</v>
      </c>
      <c r="O19" s="69" t="s">
        <v>1808</v>
      </c>
      <c r="P19" s="70" t="s">
        <v>1846</v>
      </c>
      <c r="Q19" s="70" t="s">
        <v>1890</v>
      </c>
      <c r="R19" s="70"/>
      <c r="S19" s="70"/>
      <c r="T19" s="70"/>
      <c r="U19" s="70"/>
      <c r="V19" s="70"/>
      <c r="W19" s="70"/>
      <c r="X19" s="70"/>
      <c r="Y19" s="70"/>
      <c r="Z19" s="70"/>
      <c r="AA19" s="70"/>
      <c r="AB19" s="70"/>
      <c r="AC19" s="70"/>
      <c r="AD19" s="70"/>
      <c r="AE19" s="70"/>
      <c r="AF19" s="70"/>
      <c r="AG19" s="70"/>
      <c r="AH19" s="70"/>
      <c r="AI19" s="70"/>
      <c r="AJ19" s="70"/>
      <c r="AK19" s="70"/>
      <c r="AL19" s="70"/>
      <c r="AM19" s="70"/>
      <c r="AN19" s="70"/>
      <c r="AO19" s="70"/>
      <c r="AP19" s="70"/>
      <c r="AQ19" s="70"/>
      <c r="AR19" s="70"/>
      <c r="AS19" s="70"/>
      <c r="AT19" s="70"/>
      <c r="AU19" s="70"/>
      <c r="AV19" s="70"/>
      <c r="AW19" s="70"/>
      <c r="AX19" s="70"/>
      <c r="AY19" s="70"/>
      <c r="AZ19" s="70"/>
      <c r="BA19" s="70"/>
      <c r="BB19" s="70"/>
      <c r="BC19" s="70"/>
      <c r="BD19" s="70"/>
      <c r="BE19" s="70"/>
      <c r="BF19" s="70"/>
      <c r="BG19" s="70"/>
      <c r="BH19" s="70"/>
      <c r="BI19" s="70"/>
      <c r="BJ19" s="70"/>
      <c r="BK19" s="70"/>
      <c r="BL19" s="70"/>
      <c r="BM19" s="70"/>
      <c r="BN19" s="70"/>
      <c r="BO19" s="70"/>
      <c r="BP19" s="70"/>
      <c r="BQ19" s="70"/>
      <c r="BR19" s="70"/>
      <c r="BS19" s="70"/>
      <c r="BT19" s="70"/>
      <c r="BU19" s="70"/>
      <c r="BV19" s="70"/>
      <c r="BW19" s="70"/>
      <c r="BX19" s="70"/>
      <c r="BY19" s="70"/>
      <c r="BZ19" s="70"/>
      <c r="CA19" s="70"/>
      <c r="CB19" s="70"/>
      <c r="CC19" s="70"/>
      <c r="CD19" s="70"/>
      <c r="CE19" s="70"/>
      <c r="CF19" s="70"/>
      <c r="CG19" s="70"/>
      <c r="CH19" s="70"/>
      <c r="CI19" s="70"/>
      <c r="CJ19" s="70"/>
      <c r="CK19" s="70"/>
      <c r="CL19" s="70"/>
      <c r="CM19" s="70"/>
      <c r="CN19" s="70"/>
      <c r="CO19" s="70"/>
      <c r="CP19" s="70"/>
      <c r="CR19" s="173"/>
    </row>
    <row r="20" spans="1:96" x14ac:dyDescent="0.2">
      <c r="A20" s="59" t="s">
        <v>753</v>
      </c>
      <c r="B20" s="66"/>
      <c r="C20" s="66"/>
      <c r="D20" s="66"/>
      <c r="E20" s="59"/>
      <c r="F20" s="59"/>
      <c r="G20" s="59"/>
      <c r="H20" s="59"/>
      <c r="I20" s="59"/>
      <c r="J20" s="59"/>
      <c r="K20" s="59"/>
      <c r="L20" s="68">
        <f>IF(N20="","XXX",VLOOKUP(M20*10+N20,'06停留所'!$B$2:$B$9999,1,FALSE))</f>
        <v>2191</v>
      </c>
      <c r="M20" s="63">
        <f>INT(VLOOKUPLEFT(A20,'06停留所'!$B$2:$C$9999,'06停留所'!$C$2:$C$9999,1)/10)</f>
        <v>219</v>
      </c>
      <c r="N20" s="209">
        <v>1</v>
      </c>
      <c r="O20" s="69" t="s">
        <v>1809</v>
      </c>
      <c r="P20" s="70" t="s">
        <v>1847</v>
      </c>
      <c r="Q20" s="70" t="s">
        <v>1891</v>
      </c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70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70"/>
      <c r="BF20" s="70"/>
      <c r="BG20" s="70"/>
      <c r="BH20" s="70"/>
      <c r="BI20" s="70"/>
      <c r="BJ20" s="70"/>
      <c r="BK20" s="70"/>
      <c r="BL20" s="70"/>
      <c r="BM20" s="70"/>
      <c r="BN20" s="70"/>
      <c r="BO20" s="70"/>
      <c r="BP20" s="70"/>
      <c r="BQ20" s="70"/>
      <c r="BR20" s="70"/>
      <c r="BS20" s="70"/>
      <c r="BT20" s="70"/>
      <c r="BU20" s="70"/>
      <c r="BV20" s="70"/>
      <c r="BW20" s="70"/>
      <c r="BX20" s="70"/>
      <c r="BY20" s="70"/>
      <c r="BZ20" s="70"/>
      <c r="CA20" s="70"/>
      <c r="CB20" s="70"/>
      <c r="CC20" s="70"/>
      <c r="CD20" s="70"/>
      <c r="CE20" s="70"/>
      <c r="CF20" s="70"/>
      <c r="CG20" s="70"/>
      <c r="CH20" s="70"/>
      <c r="CI20" s="70"/>
      <c r="CJ20" s="70"/>
      <c r="CK20" s="70"/>
      <c r="CL20" s="70"/>
      <c r="CM20" s="70"/>
      <c r="CN20" s="70"/>
      <c r="CO20" s="70"/>
      <c r="CP20" s="70"/>
      <c r="CR20" s="173"/>
    </row>
    <row r="21" spans="1:96" x14ac:dyDescent="0.2">
      <c r="A21" s="59" t="s">
        <v>756</v>
      </c>
      <c r="B21" s="66"/>
      <c r="C21" s="66"/>
      <c r="D21" s="66"/>
      <c r="E21" s="59"/>
      <c r="F21" s="59"/>
      <c r="G21" s="59"/>
      <c r="H21" s="59"/>
      <c r="I21" s="59"/>
      <c r="J21" s="59"/>
      <c r="K21" s="59"/>
      <c r="L21" s="68">
        <f>IF(N21="","XXX",VLOOKUP(M21*10+N21,'06停留所'!$B$2:$B$9999,1,FALSE))</f>
        <v>2201</v>
      </c>
      <c r="M21" s="63">
        <f>INT(VLOOKUPLEFT(A21,'06停留所'!$B$2:$C$9999,'06停留所'!$C$2:$C$9999,1)/10)</f>
        <v>220</v>
      </c>
      <c r="N21" s="209">
        <v>1</v>
      </c>
      <c r="O21" s="69" t="s">
        <v>1810</v>
      </c>
      <c r="P21" s="70" t="s">
        <v>1848</v>
      </c>
      <c r="Q21" s="70" t="s">
        <v>1892</v>
      </c>
      <c r="R21" s="70"/>
      <c r="S21" s="70"/>
      <c r="T21" s="70"/>
      <c r="U21" s="70"/>
      <c r="V21" s="70"/>
      <c r="W21" s="70"/>
      <c r="X21" s="70"/>
      <c r="Y21" s="70"/>
      <c r="Z21" s="70"/>
      <c r="AA21" s="70"/>
      <c r="AB21" s="70"/>
      <c r="AC21" s="70"/>
      <c r="AD21" s="70"/>
      <c r="AE21" s="70"/>
      <c r="AF21" s="70"/>
      <c r="AG21" s="70"/>
      <c r="AH21" s="70"/>
      <c r="AI21" s="70"/>
      <c r="AJ21" s="70"/>
      <c r="AK21" s="70"/>
      <c r="AL21" s="70"/>
      <c r="AM21" s="70"/>
      <c r="AN21" s="70"/>
      <c r="AO21" s="70"/>
      <c r="AP21" s="70"/>
      <c r="AQ21" s="70"/>
      <c r="AR21" s="70"/>
      <c r="AS21" s="70"/>
      <c r="AT21" s="70"/>
      <c r="AU21" s="70"/>
      <c r="AV21" s="70"/>
      <c r="AW21" s="70"/>
      <c r="AX21" s="70"/>
      <c r="AY21" s="70"/>
      <c r="AZ21" s="70"/>
      <c r="BA21" s="70"/>
      <c r="BB21" s="70"/>
      <c r="BC21" s="70"/>
      <c r="BD21" s="70"/>
      <c r="BE21" s="70"/>
      <c r="BF21" s="70"/>
      <c r="BG21" s="70"/>
      <c r="BH21" s="70"/>
      <c r="BI21" s="70"/>
      <c r="BJ21" s="70"/>
      <c r="BK21" s="70"/>
      <c r="BL21" s="70"/>
      <c r="BM21" s="70"/>
      <c r="BN21" s="70"/>
      <c r="BO21" s="70"/>
      <c r="BP21" s="70"/>
      <c r="BQ21" s="70"/>
      <c r="BR21" s="70"/>
      <c r="BS21" s="70"/>
      <c r="BT21" s="70"/>
      <c r="BU21" s="70"/>
      <c r="BV21" s="70"/>
      <c r="BW21" s="70"/>
      <c r="BX21" s="70"/>
      <c r="BY21" s="70"/>
      <c r="BZ21" s="70"/>
      <c r="CA21" s="70"/>
      <c r="CB21" s="70"/>
      <c r="CC21" s="70"/>
      <c r="CD21" s="70"/>
      <c r="CE21" s="70"/>
      <c r="CF21" s="70"/>
      <c r="CG21" s="70"/>
      <c r="CH21" s="70"/>
      <c r="CI21" s="70"/>
      <c r="CJ21" s="70"/>
      <c r="CK21" s="70"/>
      <c r="CL21" s="70"/>
      <c r="CM21" s="70"/>
      <c r="CN21" s="70"/>
      <c r="CO21" s="70"/>
      <c r="CP21" s="70"/>
      <c r="CR21" s="173"/>
    </row>
    <row r="22" spans="1:96" x14ac:dyDescent="0.2">
      <c r="A22" s="59" t="s">
        <v>759</v>
      </c>
      <c r="B22" s="66"/>
      <c r="C22" s="66"/>
      <c r="D22" s="66"/>
      <c r="E22" s="59"/>
      <c r="F22" s="59"/>
      <c r="G22" s="59"/>
      <c r="H22" s="59"/>
      <c r="I22" s="59"/>
      <c r="J22" s="59"/>
      <c r="K22" s="59"/>
      <c r="L22" s="68">
        <f>IF(N22="","XXX",VLOOKUP(M22*10+N22,'06停留所'!$B$2:$B$9999,1,FALSE))</f>
        <v>2211</v>
      </c>
      <c r="M22" s="63">
        <f>INT(VLOOKUPLEFT(A22,'06停留所'!$B$2:$C$9999,'06停留所'!$C$2:$C$9999,1)/10)</f>
        <v>221</v>
      </c>
      <c r="N22" s="209">
        <v>1</v>
      </c>
      <c r="O22" s="69" t="s">
        <v>1811</v>
      </c>
      <c r="P22" s="70" t="s">
        <v>1849</v>
      </c>
      <c r="Q22" s="70" t="s">
        <v>1893</v>
      </c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  <c r="BN22" s="70"/>
      <c r="BO22" s="70"/>
      <c r="BP22" s="70"/>
      <c r="BQ22" s="70"/>
      <c r="BR22" s="70"/>
      <c r="BS22" s="70"/>
      <c r="BT22" s="70"/>
      <c r="BU22" s="70"/>
      <c r="BV22" s="70"/>
      <c r="BW22" s="70"/>
      <c r="BX22" s="70"/>
      <c r="BY22" s="70"/>
      <c r="BZ22" s="70"/>
      <c r="CA22" s="70"/>
      <c r="CB22" s="70"/>
      <c r="CC22" s="70"/>
      <c r="CD22" s="70"/>
      <c r="CE22" s="70"/>
      <c r="CF22" s="70"/>
      <c r="CG22" s="70"/>
      <c r="CH22" s="70"/>
      <c r="CI22" s="70"/>
      <c r="CJ22" s="70"/>
      <c r="CK22" s="70"/>
      <c r="CL22" s="70"/>
      <c r="CM22" s="70"/>
      <c r="CN22" s="70"/>
      <c r="CO22" s="70"/>
      <c r="CP22" s="70"/>
      <c r="CR22" s="173"/>
    </row>
    <row r="23" spans="1:96" x14ac:dyDescent="0.2">
      <c r="A23" s="59" t="s">
        <v>762</v>
      </c>
      <c r="B23" s="66"/>
      <c r="C23" s="66"/>
      <c r="D23" s="66"/>
      <c r="E23" s="59"/>
      <c r="F23" s="59"/>
      <c r="G23" s="59"/>
      <c r="H23" s="59"/>
      <c r="I23" s="59"/>
      <c r="J23" s="59"/>
      <c r="K23" s="59"/>
      <c r="L23" s="68">
        <f>IF(N23="","XXX",VLOOKUP(M23*10+N23,'06停留所'!$B$2:$B$9999,1,FALSE))</f>
        <v>2221</v>
      </c>
      <c r="M23" s="63">
        <f>INT(VLOOKUPLEFT(A23,'06停留所'!$B$2:$C$9999,'06停留所'!$C$2:$C$9999,1)/10)</f>
        <v>222</v>
      </c>
      <c r="N23" s="209">
        <v>1</v>
      </c>
      <c r="O23" s="69" t="s">
        <v>1812</v>
      </c>
      <c r="P23" s="70" t="s">
        <v>1850</v>
      </c>
      <c r="Q23" s="70" t="s">
        <v>1894</v>
      </c>
      <c r="R23" s="70"/>
      <c r="S23" s="70"/>
      <c r="T23" s="70"/>
      <c r="U23" s="70"/>
      <c r="V23" s="70"/>
      <c r="W23" s="70"/>
      <c r="X23" s="70"/>
      <c r="Y23" s="70"/>
      <c r="Z23" s="70"/>
      <c r="AA23" s="70"/>
      <c r="AB23" s="70"/>
      <c r="AC23" s="70"/>
      <c r="AD23" s="70"/>
      <c r="AE23" s="70"/>
      <c r="AF23" s="70"/>
      <c r="AG23" s="70"/>
      <c r="AH23" s="70"/>
      <c r="AI23" s="70"/>
      <c r="AJ23" s="70"/>
      <c r="AK23" s="70"/>
      <c r="AL23" s="70"/>
      <c r="AM23" s="70"/>
      <c r="AN23" s="70"/>
      <c r="AO23" s="70"/>
      <c r="AP23" s="70"/>
      <c r="AQ23" s="70"/>
      <c r="AR23" s="70"/>
      <c r="AS23" s="70"/>
      <c r="AT23" s="70"/>
      <c r="AU23" s="70"/>
      <c r="AV23" s="70"/>
      <c r="AW23" s="70"/>
      <c r="AX23" s="70"/>
      <c r="AY23" s="70"/>
      <c r="AZ23" s="70"/>
      <c r="BA23" s="70"/>
      <c r="BB23" s="70"/>
      <c r="BC23" s="70"/>
      <c r="BD23" s="70"/>
      <c r="BE23" s="70"/>
      <c r="BF23" s="70"/>
      <c r="BG23" s="70"/>
      <c r="BH23" s="70"/>
      <c r="BI23" s="70"/>
      <c r="BJ23" s="70"/>
      <c r="BK23" s="70"/>
      <c r="BL23" s="70"/>
      <c r="BM23" s="70"/>
      <c r="BN23" s="70"/>
      <c r="BO23" s="70"/>
      <c r="BP23" s="70"/>
      <c r="BQ23" s="70"/>
      <c r="BR23" s="70"/>
      <c r="BS23" s="70"/>
      <c r="BT23" s="70"/>
      <c r="BU23" s="70"/>
      <c r="BV23" s="70"/>
      <c r="BW23" s="70"/>
      <c r="BX23" s="70"/>
      <c r="BY23" s="70"/>
      <c r="BZ23" s="70"/>
      <c r="CA23" s="70"/>
      <c r="CB23" s="70"/>
      <c r="CC23" s="70"/>
      <c r="CD23" s="70"/>
      <c r="CE23" s="70"/>
      <c r="CF23" s="70"/>
      <c r="CG23" s="70"/>
      <c r="CH23" s="70"/>
      <c r="CI23" s="70"/>
      <c r="CJ23" s="70"/>
      <c r="CK23" s="70"/>
      <c r="CL23" s="70"/>
      <c r="CM23" s="70"/>
      <c r="CN23" s="70"/>
      <c r="CO23" s="70"/>
      <c r="CP23" s="70"/>
      <c r="CR23" s="173"/>
    </row>
    <row r="24" spans="1:96" x14ac:dyDescent="0.2">
      <c r="A24" s="59" t="s">
        <v>765</v>
      </c>
      <c r="B24" s="66"/>
      <c r="C24" s="66"/>
      <c r="D24" s="66"/>
      <c r="E24" s="59"/>
      <c r="F24" s="59"/>
      <c r="G24" s="59"/>
      <c r="H24" s="59"/>
      <c r="I24" s="59"/>
      <c r="J24" s="59"/>
      <c r="K24" s="59"/>
      <c r="L24" s="68">
        <f>IF(N24="","XXX",VLOOKUP(M24*10+N24,'06停留所'!$B$2:$B$9999,1,FALSE))</f>
        <v>2231</v>
      </c>
      <c r="M24" s="63">
        <f>INT(VLOOKUPLEFT(A24,'06停留所'!$B$2:$C$9999,'06停留所'!$C$2:$C$9999,1)/10)</f>
        <v>223</v>
      </c>
      <c r="N24" s="209">
        <v>1</v>
      </c>
      <c r="O24" s="69" t="s">
        <v>1813</v>
      </c>
      <c r="P24" s="70" t="s">
        <v>1851</v>
      </c>
      <c r="Q24" s="70" t="s">
        <v>1895</v>
      </c>
      <c r="R24" s="70"/>
      <c r="S24" s="70"/>
      <c r="T24" s="70"/>
      <c r="U24" s="70"/>
      <c r="V24" s="70"/>
      <c r="W24" s="70"/>
      <c r="X24" s="70"/>
      <c r="Y24" s="70"/>
      <c r="Z24" s="70"/>
      <c r="AA24" s="70"/>
      <c r="AB24" s="70"/>
      <c r="AC24" s="70"/>
      <c r="AD24" s="70"/>
      <c r="AE24" s="70"/>
      <c r="AF24" s="70"/>
      <c r="AG24" s="70"/>
      <c r="AH24" s="70"/>
      <c r="AI24" s="70"/>
      <c r="AJ24" s="70"/>
      <c r="AK24" s="70"/>
      <c r="AL24" s="70"/>
      <c r="AM24" s="70"/>
      <c r="AN24" s="70"/>
      <c r="AO24" s="70"/>
      <c r="AP24" s="70"/>
      <c r="AQ24" s="70"/>
      <c r="AR24" s="70"/>
      <c r="AS24" s="70"/>
      <c r="AT24" s="70"/>
      <c r="AU24" s="70"/>
      <c r="AV24" s="70"/>
      <c r="AW24" s="70"/>
      <c r="AX24" s="70"/>
      <c r="AY24" s="70"/>
      <c r="AZ24" s="70"/>
      <c r="BA24" s="70"/>
      <c r="BB24" s="70"/>
      <c r="BC24" s="70"/>
      <c r="BD24" s="70"/>
      <c r="BE24" s="70"/>
      <c r="BF24" s="70"/>
      <c r="BG24" s="70"/>
      <c r="BH24" s="70"/>
      <c r="BI24" s="70"/>
      <c r="BJ24" s="70"/>
      <c r="BK24" s="70"/>
      <c r="BL24" s="70"/>
      <c r="BM24" s="70"/>
      <c r="BN24" s="70"/>
      <c r="BO24" s="70"/>
      <c r="BP24" s="70"/>
      <c r="BQ24" s="70"/>
      <c r="BR24" s="70"/>
      <c r="BS24" s="70"/>
      <c r="BT24" s="70"/>
      <c r="BU24" s="70"/>
      <c r="BV24" s="70"/>
      <c r="BW24" s="70"/>
      <c r="BX24" s="70"/>
      <c r="BY24" s="70"/>
      <c r="BZ24" s="70"/>
      <c r="CA24" s="70"/>
      <c r="CB24" s="70"/>
      <c r="CC24" s="70"/>
      <c r="CD24" s="70"/>
      <c r="CE24" s="70"/>
      <c r="CF24" s="70"/>
      <c r="CG24" s="70"/>
      <c r="CH24" s="70"/>
      <c r="CI24" s="70"/>
      <c r="CJ24" s="70"/>
      <c r="CK24" s="70"/>
      <c r="CL24" s="70"/>
      <c r="CM24" s="70"/>
      <c r="CN24" s="70"/>
      <c r="CO24" s="70"/>
      <c r="CP24" s="70"/>
      <c r="CR24" s="173"/>
    </row>
    <row r="25" spans="1:96" x14ac:dyDescent="0.2">
      <c r="A25" s="59" t="s">
        <v>768</v>
      </c>
      <c r="B25" s="66"/>
      <c r="C25" s="66"/>
      <c r="D25" s="66"/>
      <c r="E25" s="59"/>
      <c r="F25" s="59"/>
      <c r="G25" s="59"/>
      <c r="H25" s="59"/>
      <c r="I25" s="59"/>
      <c r="J25" s="59"/>
      <c r="K25" s="59"/>
      <c r="L25" s="68">
        <f>IF(N25="","XXX",VLOOKUP(M25*10+N25,'06停留所'!$B$2:$B$9999,1,FALSE))</f>
        <v>2241</v>
      </c>
      <c r="M25" s="63">
        <f>INT(VLOOKUPLEFT(A25,'06停留所'!$B$2:$C$9999,'06停留所'!$C$2:$C$9999,1)/10)</f>
        <v>224</v>
      </c>
      <c r="N25" s="209">
        <v>1</v>
      </c>
      <c r="O25" s="69" t="s">
        <v>1814</v>
      </c>
      <c r="P25" s="70" t="s">
        <v>1852</v>
      </c>
      <c r="Q25" s="70" t="s">
        <v>1896</v>
      </c>
      <c r="R25" s="70"/>
      <c r="S25" s="70"/>
      <c r="T25" s="70"/>
      <c r="U25" s="70"/>
      <c r="V25" s="70"/>
      <c r="W25" s="70"/>
      <c r="X25" s="70"/>
      <c r="Y25" s="70"/>
      <c r="Z25" s="70"/>
      <c r="AA25" s="70"/>
      <c r="AB25" s="70"/>
      <c r="AC25" s="70"/>
      <c r="AD25" s="70"/>
      <c r="AE25" s="70"/>
      <c r="AF25" s="70"/>
      <c r="AG25" s="70"/>
      <c r="AH25" s="70"/>
      <c r="AI25" s="70"/>
      <c r="AJ25" s="70"/>
      <c r="AK25" s="70"/>
      <c r="AL25" s="70"/>
      <c r="AM25" s="70"/>
      <c r="AN25" s="70"/>
      <c r="AO25" s="70"/>
      <c r="AP25" s="70"/>
      <c r="AQ25" s="70"/>
      <c r="AR25" s="70"/>
      <c r="AS25" s="70"/>
      <c r="AT25" s="70"/>
      <c r="AU25" s="70"/>
      <c r="AV25" s="70"/>
      <c r="AW25" s="70"/>
      <c r="AX25" s="70"/>
      <c r="AY25" s="70"/>
      <c r="AZ25" s="70"/>
      <c r="BA25" s="70"/>
      <c r="BB25" s="70"/>
      <c r="BC25" s="70"/>
      <c r="BD25" s="70"/>
      <c r="BE25" s="70"/>
      <c r="BF25" s="70"/>
      <c r="BG25" s="70"/>
      <c r="BH25" s="70"/>
      <c r="BI25" s="70"/>
      <c r="BJ25" s="70"/>
      <c r="BK25" s="70"/>
      <c r="BL25" s="70"/>
      <c r="BM25" s="70"/>
      <c r="BN25" s="70"/>
      <c r="BO25" s="70"/>
      <c r="BP25" s="70"/>
      <c r="BQ25" s="70"/>
      <c r="BR25" s="70"/>
      <c r="BS25" s="70"/>
      <c r="BT25" s="70"/>
      <c r="BU25" s="70"/>
      <c r="BV25" s="70"/>
      <c r="BW25" s="70"/>
      <c r="BX25" s="70"/>
      <c r="BY25" s="70"/>
      <c r="BZ25" s="70"/>
      <c r="CA25" s="70"/>
      <c r="CB25" s="70"/>
      <c r="CC25" s="70"/>
      <c r="CD25" s="70"/>
      <c r="CE25" s="70"/>
      <c r="CF25" s="70"/>
      <c r="CG25" s="70"/>
      <c r="CH25" s="70"/>
      <c r="CI25" s="70"/>
      <c r="CJ25" s="70"/>
      <c r="CK25" s="70"/>
      <c r="CL25" s="70"/>
      <c r="CM25" s="70"/>
      <c r="CN25" s="70"/>
      <c r="CO25" s="70"/>
      <c r="CP25" s="70"/>
      <c r="CR25" s="173"/>
    </row>
    <row r="26" spans="1:96" x14ac:dyDescent="0.2">
      <c r="A26" s="59" t="s">
        <v>771</v>
      </c>
      <c r="B26" s="66"/>
      <c r="C26" s="66"/>
      <c r="D26" s="66"/>
      <c r="E26" s="59"/>
      <c r="F26" s="59"/>
      <c r="G26" s="59"/>
      <c r="H26" s="59"/>
      <c r="I26" s="59"/>
      <c r="J26" s="59"/>
      <c r="K26" s="59"/>
      <c r="L26" s="68">
        <f>IF(N26="","XXX",VLOOKUP(M26*10+N26,'06停留所'!$B$2:$B$9999,1,FALSE))</f>
        <v>2251</v>
      </c>
      <c r="M26" s="63">
        <f>INT(VLOOKUPLEFT(A26,'06停留所'!$B$2:$C$9999,'06停留所'!$C$2:$C$9999,1)/10)</f>
        <v>225</v>
      </c>
      <c r="N26" s="209">
        <v>1</v>
      </c>
      <c r="O26" s="69" t="s">
        <v>1815</v>
      </c>
      <c r="P26" s="70" t="s">
        <v>1853</v>
      </c>
      <c r="Q26" s="70" t="s">
        <v>1897</v>
      </c>
      <c r="R26" s="70"/>
      <c r="S26" s="70"/>
      <c r="T26" s="70"/>
      <c r="U26" s="70"/>
      <c r="V26" s="70"/>
      <c r="W26" s="70"/>
      <c r="X26" s="70"/>
      <c r="Y26" s="70"/>
      <c r="Z26" s="70"/>
      <c r="AA26" s="70"/>
      <c r="AB26" s="70"/>
      <c r="AC26" s="70"/>
      <c r="AD26" s="70"/>
      <c r="AE26" s="70"/>
      <c r="AF26" s="70"/>
      <c r="AG26" s="70"/>
      <c r="AH26" s="70"/>
      <c r="AI26" s="70"/>
      <c r="AJ26" s="70"/>
      <c r="AK26" s="70"/>
      <c r="AL26" s="70"/>
      <c r="AM26" s="70"/>
      <c r="AN26" s="70"/>
      <c r="AO26" s="70"/>
      <c r="AP26" s="70"/>
      <c r="AQ26" s="70"/>
      <c r="AR26" s="70"/>
      <c r="AS26" s="70"/>
      <c r="AT26" s="70"/>
      <c r="AU26" s="70"/>
      <c r="AV26" s="70"/>
      <c r="AW26" s="70"/>
      <c r="AX26" s="70"/>
      <c r="AY26" s="70"/>
      <c r="AZ26" s="70"/>
      <c r="BA26" s="70"/>
      <c r="BB26" s="70"/>
      <c r="BC26" s="70"/>
      <c r="BD26" s="70"/>
      <c r="BE26" s="70"/>
      <c r="BF26" s="70"/>
      <c r="BG26" s="70"/>
      <c r="BH26" s="70"/>
      <c r="BI26" s="70"/>
      <c r="BJ26" s="70"/>
      <c r="BK26" s="70"/>
      <c r="BL26" s="70"/>
      <c r="BM26" s="70"/>
      <c r="BN26" s="70"/>
      <c r="BO26" s="70"/>
      <c r="BP26" s="70"/>
      <c r="BQ26" s="70"/>
      <c r="BR26" s="70"/>
      <c r="BS26" s="70"/>
      <c r="BT26" s="70"/>
      <c r="BU26" s="70"/>
      <c r="BV26" s="70"/>
      <c r="BW26" s="70"/>
      <c r="BX26" s="70"/>
      <c r="BY26" s="70"/>
      <c r="BZ26" s="70"/>
      <c r="CA26" s="70"/>
      <c r="CB26" s="70"/>
      <c r="CC26" s="70"/>
      <c r="CD26" s="70"/>
      <c r="CE26" s="70"/>
      <c r="CF26" s="70"/>
      <c r="CG26" s="70"/>
      <c r="CH26" s="70"/>
      <c r="CI26" s="70"/>
      <c r="CJ26" s="70"/>
      <c r="CK26" s="70"/>
      <c r="CL26" s="70"/>
      <c r="CM26" s="70"/>
      <c r="CN26" s="70"/>
      <c r="CO26" s="70"/>
      <c r="CP26" s="70"/>
      <c r="CR26" s="173"/>
    </row>
    <row r="27" spans="1:96" x14ac:dyDescent="0.2">
      <c r="A27" s="59" t="s">
        <v>774</v>
      </c>
      <c r="B27" s="66"/>
      <c r="C27" s="66"/>
      <c r="D27" s="66"/>
      <c r="E27" s="59"/>
      <c r="F27" s="59"/>
      <c r="G27" s="59"/>
      <c r="H27" s="59"/>
      <c r="I27" s="59"/>
      <c r="J27" s="59"/>
      <c r="K27" s="59"/>
      <c r="L27" s="68">
        <f>IF(N27="","XXX",VLOOKUP(M27*10+N27,'06停留所'!$B$2:$B$9999,1,FALSE))</f>
        <v>2261</v>
      </c>
      <c r="M27" s="63">
        <f>INT(VLOOKUPLEFT(A27,'06停留所'!$B$2:$C$9999,'06停留所'!$C$2:$C$9999,1)/10)</f>
        <v>226</v>
      </c>
      <c r="N27" s="209">
        <v>1</v>
      </c>
      <c r="O27" s="69" t="s">
        <v>1816</v>
      </c>
      <c r="P27" s="70" t="s">
        <v>1854</v>
      </c>
      <c r="Q27" s="70" t="s">
        <v>1898</v>
      </c>
      <c r="R27" s="70"/>
      <c r="S27" s="70"/>
      <c r="T27" s="70"/>
      <c r="U27" s="70"/>
      <c r="V27" s="70"/>
      <c r="W27" s="70"/>
      <c r="X27" s="70"/>
      <c r="Y27" s="70"/>
      <c r="Z27" s="70"/>
      <c r="AA27" s="70"/>
      <c r="AB27" s="70"/>
      <c r="AC27" s="70"/>
      <c r="AD27" s="70"/>
      <c r="AE27" s="70"/>
      <c r="AF27" s="70"/>
      <c r="AG27" s="70"/>
      <c r="AH27" s="70"/>
      <c r="AI27" s="70"/>
      <c r="AJ27" s="70"/>
      <c r="AK27" s="70"/>
      <c r="AL27" s="70"/>
      <c r="AM27" s="70"/>
      <c r="AN27" s="70"/>
      <c r="AO27" s="70"/>
      <c r="AP27" s="70"/>
      <c r="AQ27" s="70"/>
      <c r="AR27" s="70"/>
      <c r="AS27" s="70"/>
      <c r="AT27" s="70"/>
      <c r="AU27" s="70"/>
      <c r="AV27" s="70"/>
      <c r="AW27" s="70"/>
      <c r="AX27" s="70"/>
      <c r="AY27" s="70"/>
      <c r="AZ27" s="70"/>
      <c r="BA27" s="70"/>
      <c r="BB27" s="70"/>
      <c r="BC27" s="70"/>
      <c r="BD27" s="70"/>
      <c r="BE27" s="70"/>
      <c r="BF27" s="70"/>
      <c r="BG27" s="70"/>
      <c r="BH27" s="70"/>
      <c r="BI27" s="70"/>
      <c r="BJ27" s="70"/>
      <c r="BK27" s="70"/>
      <c r="BL27" s="70"/>
      <c r="BM27" s="70"/>
      <c r="BN27" s="70"/>
      <c r="BO27" s="70"/>
      <c r="BP27" s="70"/>
      <c r="BQ27" s="70"/>
      <c r="BR27" s="70"/>
      <c r="BS27" s="70"/>
      <c r="BT27" s="70"/>
      <c r="BU27" s="70"/>
      <c r="BV27" s="70"/>
      <c r="BW27" s="70"/>
      <c r="BX27" s="70"/>
      <c r="BY27" s="70"/>
      <c r="BZ27" s="70"/>
      <c r="CA27" s="70"/>
      <c r="CB27" s="70"/>
      <c r="CC27" s="70"/>
      <c r="CD27" s="70"/>
      <c r="CE27" s="70"/>
      <c r="CF27" s="70"/>
      <c r="CG27" s="70"/>
      <c r="CH27" s="70"/>
      <c r="CI27" s="70"/>
      <c r="CJ27" s="70"/>
      <c r="CK27" s="70"/>
      <c r="CL27" s="70"/>
      <c r="CM27" s="70"/>
      <c r="CN27" s="70"/>
      <c r="CO27" s="70"/>
      <c r="CP27" s="70"/>
      <c r="CR27" s="173"/>
    </row>
    <row r="28" spans="1:96" x14ac:dyDescent="0.2">
      <c r="A28" s="59" t="s">
        <v>777</v>
      </c>
      <c r="B28" s="66"/>
      <c r="C28" s="66"/>
      <c r="D28" s="66"/>
      <c r="E28" s="59"/>
      <c r="F28" s="59"/>
      <c r="G28" s="59"/>
      <c r="H28" s="59"/>
      <c r="I28" s="59"/>
      <c r="J28" s="59"/>
      <c r="K28" s="59"/>
      <c r="L28" s="68">
        <f>IF(N28="","XXX",VLOOKUP(M28*10+N28,'06停留所'!$B$2:$B$9999,1,FALSE))</f>
        <v>2271</v>
      </c>
      <c r="M28" s="63">
        <f>INT(VLOOKUPLEFT(A28,'06停留所'!$B$2:$C$9999,'06停留所'!$C$2:$C$9999,1)/10)</f>
        <v>227</v>
      </c>
      <c r="N28" s="209">
        <v>1</v>
      </c>
      <c r="O28" s="69" t="s">
        <v>1817</v>
      </c>
      <c r="P28" s="70" t="s">
        <v>1855</v>
      </c>
      <c r="Q28" s="70" t="s">
        <v>1899</v>
      </c>
      <c r="R28" s="70"/>
      <c r="S28" s="70"/>
      <c r="T28" s="70"/>
      <c r="U28" s="70"/>
      <c r="V28" s="70"/>
      <c r="W28" s="70"/>
      <c r="X28" s="70"/>
      <c r="Y28" s="70"/>
      <c r="Z28" s="70"/>
      <c r="AA28" s="70"/>
      <c r="AB28" s="70"/>
      <c r="AC28" s="70"/>
      <c r="AD28" s="70"/>
      <c r="AE28" s="70"/>
      <c r="AF28" s="70"/>
      <c r="AG28" s="70"/>
      <c r="AH28" s="70"/>
      <c r="AI28" s="70"/>
      <c r="AJ28" s="70"/>
      <c r="AK28" s="70"/>
      <c r="AL28" s="70"/>
      <c r="AM28" s="70"/>
      <c r="AN28" s="70"/>
      <c r="AO28" s="70"/>
      <c r="AP28" s="70"/>
      <c r="AQ28" s="70"/>
      <c r="AR28" s="70"/>
      <c r="AS28" s="70"/>
      <c r="AT28" s="70"/>
      <c r="AU28" s="70"/>
      <c r="AV28" s="70"/>
      <c r="AW28" s="70"/>
      <c r="AX28" s="70"/>
      <c r="AY28" s="70"/>
      <c r="AZ28" s="70"/>
      <c r="BA28" s="70"/>
      <c r="BB28" s="70"/>
      <c r="BC28" s="70"/>
      <c r="BD28" s="70"/>
      <c r="BE28" s="70"/>
      <c r="BF28" s="70"/>
      <c r="BG28" s="70"/>
      <c r="BH28" s="70"/>
      <c r="BI28" s="70"/>
      <c r="BJ28" s="70"/>
      <c r="BK28" s="70"/>
      <c r="BL28" s="70"/>
      <c r="BM28" s="70"/>
      <c r="BN28" s="70"/>
      <c r="BO28" s="70"/>
      <c r="BP28" s="70"/>
      <c r="BQ28" s="70"/>
      <c r="BR28" s="70"/>
      <c r="BS28" s="70"/>
      <c r="BT28" s="70"/>
      <c r="BU28" s="70"/>
      <c r="BV28" s="70"/>
      <c r="BW28" s="70"/>
      <c r="BX28" s="70"/>
      <c r="BY28" s="70"/>
      <c r="BZ28" s="70"/>
      <c r="CA28" s="70"/>
      <c r="CB28" s="70"/>
      <c r="CC28" s="70"/>
      <c r="CD28" s="70"/>
      <c r="CE28" s="70"/>
      <c r="CF28" s="70"/>
      <c r="CG28" s="70"/>
      <c r="CH28" s="70"/>
      <c r="CI28" s="70"/>
      <c r="CJ28" s="70"/>
      <c r="CK28" s="70"/>
      <c r="CL28" s="70"/>
      <c r="CM28" s="70"/>
      <c r="CN28" s="70"/>
      <c r="CO28" s="70"/>
      <c r="CP28" s="70"/>
      <c r="CR28" s="173"/>
    </row>
    <row r="29" spans="1:96" x14ac:dyDescent="0.2">
      <c r="A29" s="59" t="s">
        <v>780</v>
      </c>
      <c r="B29" s="66"/>
      <c r="C29" s="66"/>
      <c r="D29" s="66"/>
      <c r="E29" s="59"/>
      <c r="F29" s="59"/>
      <c r="G29" s="59"/>
      <c r="H29" s="59"/>
      <c r="I29" s="59"/>
      <c r="J29" s="59"/>
      <c r="K29" s="59"/>
      <c r="L29" s="68">
        <f>IF(N29="","XXX",VLOOKUP(M29*10+N29,'06停留所'!$B$2:$B$9999,1,FALSE))</f>
        <v>2281</v>
      </c>
      <c r="M29" s="63">
        <f>INT(VLOOKUPLEFT(A29,'06停留所'!$B$2:$C$9999,'06停留所'!$C$2:$C$9999,1)/10)</f>
        <v>228</v>
      </c>
      <c r="N29" s="209">
        <v>1</v>
      </c>
      <c r="O29" s="69" t="s">
        <v>1818</v>
      </c>
      <c r="P29" s="70" t="s">
        <v>1856</v>
      </c>
      <c r="Q29" s="70" t="s">
        <v>1900</v>
      </c>
      <c r="R29" s="70"/>
      <c r="S29" s="70"/>
      <c r="T29" s="70"/>
      <c r="U29" s="70"/>
      <c r="V29" s="70"/>
      <c r="W29" s="70"/>
      <c r="X29" s="70"/>
      <c r="Y29" s="70"/>
      <c r="Z29" s="70"/>
      <c r="AA29" s="70"/>
      <c r="AB29" s="70"/>
      <c r="AC29" s="70"/>
      <c r="AD29" s="70"/>
      <c r="AE29" s="70"/>
      <c r="AF29" s="70"/>
      <c r="AG29" s="70"/>
      <c r="AH29" s="70"/>
      <c r="AI29" s="70"/>
      <c r="AJ29" s="70"/>
      <c r="AK29" s="70"/>
      <c r="AL29" s="70"/>
      <c r="AM29" s="70"/>
      <c r="AN29" s="70"/>
      <c r="AO29" s="70"/>
      <c r="AP29" s="70"/>
      <c r="AQ29" s="70"/>
      <c r="AR29" s="70"/>
      <c r="AS29" s="70"/>
      <c r="AT29" s="70"/>
      <c r="AU29" s="70"/>
      <c r="AV29" s="70"/>
      <c r="AW29" s="70"/>
      <c r="AX29" s="70"/>
      <c r="AY29" s="70"/>
      <c r="AZ29" s="70"/>
      <c r="BA29" s="70"/>
      <c r="BB29" s="70"/>
      <c r="BC29" s="70"/>
      <c r="BD29" s="70"/>
      <c r="BE29" s="70"/>
      <c r="BF29" s="70"/>
      <c r="BG29" s="70"/>
      <c r="BH29" s="70"/>
      <c r="BI29" s="70"/>
      <c r="BJ29" s="70"/>
      <c r="BK29" s="70"/>
      <c r="BL29" s="70"/>
      <c r="BM29" s="70"/>
      <c r="BN29" s="70"/>
      <c r="BO29" s="70"/>
      <c r="BP29" s="70"/>
      <c r="BQ29" s="70"/>
      <c r="BR29" s="70"/>
      <c r="BS29" s="70"/>
      <c r="BT29" s="70"/>
      <c r="BU29" s="70"/>
      <c r="BV29" s="70"/>
      <c r="BW29" s="70"/>
      <c r="BX29" s="70"/>
      <c r="BY29" s="70"/>
      <c r="BZ29" s="70"/>
      <c r="CA29" s="70"/>
      <c r="CB29" s="70"/>
      <c r="CC29" s="70"/>
      <c r="CD29" s="70"/>
      <c r="CE29" s="70"/>
      <c r="CF29" s="70"/>
      <c r="CG29" s="70"/>
      <c r="CH29" s="70"/>
      <c r="CI29" s="70"/>
      <c r="CJ29" s="70"/>
      <c r="CK29" s="70"/>
      <c r="CL29" s="70"/>
      <c r="CM29" s="70"/>
      <c r="CN29" s="70"/>
      <c r="CO29" s="70"/>
      <c r="CP29" s="70"/>
      <c r="CR29" s="173"/>
    </row>
    <row r="30" spans="1:96" x14ac:dyDescent="0.2">
      <c r="A30" s="59" t="s">
        <v>783</v>
      </c>
      <c r="B30" s="66"/>
      <c r="C30" s="66"/>
      <c r="D30" s="66"/>
      <c r="E30" s="59"/>
      <c r="F30" s="59"/>
      <c r="G30" s="59"/>
      <c r="H30" s="59"/>
      <c r="I30" s="59"/>
      <c r="J30" s="59"/>
      <c r="K30" s="59"/>
      <c r="L30" s="68">
        <f>IF(N30="","XXX",VLOOKUP(M30*10+N30,'06停留所'!$B$2:$B$9999,1,FALSE))</f>
        <v>2291</v>
      </c>
      <c r="M30" s="63">
        <f>INT(VLOOKUPLEFT(A30,'06停留所'!$B$2:$C$9999,'06停留所'!$C$2:$C$9999,1)/10)</f>
        <v>229</v>
      </c>
      <c r="N30" s="209">
        <v>1</v>
      </c>
      <c r="O30" s="69" t="s">
        <v>1819</v>
      </c>
      <c r="P30" s="70" t="s">
        <v>1857</v>
      </c>
      <c r="Q30" s="70" t="s">
        <v>1901</v>
      </c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0"/>
      <c r="AC30" s="70"/>
      <c r="AD30" s="70"/>
      <c r="AE30" s="70"/>
      <c r="AF30" s="70"/>
      <c r="AG30" s="70"/>
      <c r="AH30" s="70"/>
      <c r="AI30" s="70"/>
      <c r="AJ30" s="70"/>
      <c r="AK30" s="70"/>
      <c r="AL30" s="70"/>
      <c r="AM30" s="70"/>
      <c r="AN30" s="70"/>
      <c r="AO30" s="70"/>
      <c r="AP30" s="70"/>
      <c r="AQ30" s="70"/>
      <c r="AR30" s="70"/>
      <c r="AS30" s="70"/>
      <c r="AT30" s="70"/>
      <c r="AU30" s="70"/>
      <c r="AV30" s="70"/>
      <c r="AW30" s="70"/>
      <c r="AX30" s="70"/>
      <c r="AY30" s="70"/>
      <c r="AZ30" s="70"/>
      <c r="BA30" s="70"/>
      <c r="BB30" s="70"/>
      <c r="BC30" s="70"/>
      <c r="BD30" s="70"/>
      <c r="BE30" s="70"/>
      <c r="BF30" s="70"/>
      <c r="BG30" s="70"/>
      <c r="BH30" s="70"/>
      <c r="BI30" s="70"/>
      <c r="BJ30" s="70"/>
      <c r="BK30" s="70"/>
      <c r="BL30" s="70"/>
      <c r="BM30" s="70"/>
      <c r="BN30" s="70"/>
      <c r="BO30" s="70"/>
      <c r="BP30" s="70"/>
      <c r="BQ30" s="70"/>
      <c r="BR30" s="70"/>
      <c r="BS30" s="70"/>
      <c r="BT30" s="70"/>
      <c r="BU30" s="70"/>
      <c r="BV30" s="70"/>
      <c r="BW30" s="70"/>
      <c r="BX30" s="70"/>
      <c r="BY30" s="70"/>
      <c r="BZ30" s="70"/>
      <c r="CA30" s="70"/>
      <c r="CB30" s="70"/>
      <c r="CC30" s="70"/>
      <c r="CD30" s="70"/>
      <c r="CE30" s="70"/>
      <c r="CF30" s="70"/>
      <c r="CG30" s="70"/>
      <c r="CH30" s="70"/>
      <c r="CI30" s="70"/>
      <c r="CJ30" s="70"/>
      <c r="CK30" s="70"/>
      <c r="CL30" s="70"/>
      <c r="CM30" s="70"/>
      <c r="CN30" s="70"/>
      <c r="CO30" s="70"/>
      <c r="CP30" s="70"/>
      <c r="CR30" s="173"/>
    </row>
    <row r="31" spans="1:96" x14ac:dyDescent="0.2">
      <c r="A31" s="59" t="s">
        <v>599</v>
      </c>
      <c r="B31" s="66"/>
      <c r="C31" s="66"/>
      <c r="D31" s="66"/>
      <c r="E31" s="59"/>
      <c r="F31" s="59"/>
      <c r="G31" s="59"/>
      <c r="H31" s="59"/>
      <c r="I31" s="59"/>
      <c r="J31" s="59"/>
      <c r="K31" s="59"/>
      <c r="L31" s="68">
        <f>IF(N31="","XXX",VLOOKUP(M31*10+N31,'06停留所'!$B$2:$B$9999,1,FALSE))</f>
        <v>1671</v>
      </c>
      <c r="M31" s="63">
        <f>INT(VLOOKUPLEFT(A31,'06停留所'!$B$2:$C$9999,'06停留所'!$C$2:$C$9999,1)/10)</f>
        <v>167</v>
      </c>
      <c r="N31" s="209">
        <v>1</v>
      </c>
      <c r="O31" s="69" t="s">
        <v>1820</v>
      </c>
      <c r="P31" s="70" t="s">
        <v>1858</v>
      </c>
      <c r="Q31" s="70" t="s">
        <v>1902</v>
      </c>
      <c r="R31" s="70"/>
      <c r="S31" s="70"/>
      <c r="T31" s="70"/>
      <c r="U31" s="70"/>
      <c r="V31" s="70"/>
      <c r="W31" s="70"/>
      <c r="X31" s="70"/>
      <c r="Y31" s="70"/>
      <c r="Z31" s="70"/>
      <c r="AA31" s="70"/>
      <c r="AB31" s="70"/>
      <c r="AC31" s="70"/>
      <c r="AD31" s="70"/>
      <c r="AE31" s="70"/>
      <c r="AF31" s="70"/>
      <c r="AG31" s="70"/>
      <c r="AH31" s="70"/>
      <c r="AI31" s="70"/>
      <c r="AJ31" s="70"/>
      <c r="AK31" s="70"/>
      <c r="AL31" s="70"/>
      <c r="AM31" s="70"/>
      <c r="AN31" s="70"/>
      <c r="AO31" s="70"/>
      <c r="AP31" s="70"/>
      <c r="AQ31" s="70"/>
      <c r="AR31" s="70"/>
      <c r="AS31" s="70"/>
      <c r="AT31" s="70"/>
      <c r="AU31" s="70"/>
      <c r="AV31" s="70"/>
      <c r="AW31" s="70"/>
      <c r="AX31" s="70"/>
      <c r="AY31" s="70"/>
      <c r="AZ31" s="70"/>
      <c r="BA31" s="70"/>
      <c r="BB31" s="70"/>
      <c r="BC31" s="70"/>
      <c r="BD31" s="70"/>
      <c r="BE31" s="70"/>
      <c r="BF31" s="70"/>
      <c r="BG31" s="70"/>
      <c r="BH31" s="70"/>
      <c r="BI31" s="70"/>
      <c r="BJ31" s="70"/>
      <c r="BK31" s="70"/>
      <c r="BL31" s="70"/>
      <c r="BM31" s="70"/>
      <c r="BN31" s="70"/>
      <c r="BO31" s="70"/>
      <c r="BP31" s="70"/>
      <c r="BQ31" s="70"/>
      <c r="BR31" s="70"/>
      <c r="BS31" s="70"/>
      <c r="BT31" s="70"/>
      <c r="BU31" s="70"/>
      <c r="BV31" s="70"/>
      <c r="BW31" s="70"/>
      <c r="BX31" s="70"/>
      <c r="BY31" s="70"/>
      <c r="BZ31" s="70"/>
      <c r="CA31" s="70"/>
      <c r="CB31" s="70"/>
      <c r="CC31" s="70"/>
      <c r="CD31" s="70"/>
      <c r="CE31" s="70"/>
      <c r="CF31" s="70"/>
      <c r="CG31" s="70"/>
      <c r="CH31" s="70"/>
      <c r="CI31" s="70"/>
      <c r="CJ31" s="70"/>
      <c r="CK31" s="70"/>
      <c r="CL31" s="70"/>
      <c r="CM31" s="70"/>
      <c r="CN31" s="70"/>
      <c r="CO31" s="70"/>
      <c r="CP31" s="70"/>
      <c r="CR31" s="173"/>
    </row>
    <row r="32" spans="1:96" x14ac:dyDescent="0.2">
      <c r="A32" s="59" t="s">
        <v>611</v>
      </c>
      <c r="B32" s="66"/>
      <c r="C32" s="66"/>
      <c r="D32" s="66"/>
      <c r="E32" s="59"/>
      <c r="F32" s="59"/>
      <c r="G32" s="59"/>
      <c r="H32" s="59"/>
      <c r="I32" s="59"/>
      <c r="J32" s="59"/>
      <c r="K32" s="59"/>
      <c r="L32" s="68">
        <f>IF(N32="","XXX",VLOOKUP(M32*10+N32,'06停留所'!$B$2:$B$9999,1,FALSE))</f>
        <v>1711</v>
      </c>
      <c r="M32" s="63">
        <f>INT(VLOOKUPLEFT(A32,'06停留所'!$B$2:$C$9999,'06停留所'!$C$2:$C$9999,1)/10)</f>
        <v>171</v>
      </c>
      <c r="N32" s="209">
        <v>1</v>
      </c>
      <c r="O32" s="69" t="s">
        <v>1821</v>
      </c>
      <c r="P32" s="70" t="s">
        <v>1859</v>
      </c>
      <c r="Q32" s="70" t="s">
        <v>1903</v>
      </c>
      <c r="R32" s="70"/>
      <c r="S32" s="70"/>
      <c r="T32" s="70"/>
      <c r="U32" s="70"/>
      <c r="V32" s="70"/>
      <c r="W32" s="70"/>
      <c r="X32" s="70"/>
      <c r="Y32" s="70"/>
      <c r="Z32" s="70"/>
      <c r="AA32" s="70"/>
      <c r="AB32" s="70"/>
      <c r="AC32" s="70"/>
      <c r="AD32" s="70"/>
      <c r="AE32" s="70"/>
      <c r="AF32" s="70"/>
      <c r="AG32" s="70"/>
      <c r="AH32" s="70"/>
      <c r="AI32" s="70"/>
      <c r="AJ32" s="70"/>
      <c r="AK32" s="70"/>
      <c r="AL32" s="70"/>
      <c r="AM32" s="70"/>
      <c r="AN32" s="70"/>
      <c r="AO32" s="70"/>
      <c r="AP32" s="70"/>
      <c r="AQ32" s="70"/>
      <c r="AR32" s="70"/>
      <c r="AS32" s="70"/>
      <c r="AT32" s="70"/>
      <c r="AU32" s="70"/>
      <c r="AV32" s="70"/>
      <c r="AW32" s="70"/>
      <c r="AX32" s="70"/>
      <c r="AY32" s="70"/>
      <c r="AZ32" s="70"/>
      <c r="BA32" s="70"/>
      <c r="BB32" s="70"/>
      <c r="BC32" s="70"/>
      <c r="BD32" s="70"/>
      <c r="BE32" s="70"/>
      <c r="BF32" s="70"/>
      <c r="BG32" s="70"/>
      <c r="BH32" s="70"/>
      <c r="BI32" s="70"/>
      <c r="BJ32" s="70"/>
      <c r="BK32" s="70"/>
      <c r="BL32" s="70"/>
      <c r="BM32" s="70"/>
      <c r="BN32" s="70"/>
      <c r="BO32" s="70"/>
      <c r="BP32" s="70"/>
      <c r="BQ32" s="70"/>
      <c r="BR32" s="70"/>
      <c r="BS32" s="70"/>
      <c r="BT32" s="70"/>
      <c r="BU32" s="70"/>
      <c r="BV32" s="70"/>
      <c r="BW32" s="70"/>
      <c r="BX32" s="70"/>
      <c r="BY32" s="70"/>
      <c r="BZ32" s="70"/>
      <c r="CA32" s="70"/>
      <c r="CB32" s="70"/>
      <c r="CC32" s="70"/>
      <c r="CD32" s="70"/>
      <c r="CE32" s="70"/>
      <c r="CF32" s="70"/>
      <c r="CG32" s="70"/>
      <c r="CH32" s="70"/>
      <c r="CI32" s="70"/>
      <c r="CJ32" s="70"/>
      <c r="CK32" s="70"/>
      <c r="CL32" s="70"/>
      <c r="CM32" s="70"/>
      <c r="CN32" s="70"/>
      <c r="CO32" s="70"/>
      <c r="CP32" s="70"/>
      <c r="CR32" s="173"/>
    </row>
    <row r="33" spans="1:96" x14ac:dyDescent="0.2">
      <c r="A33" s="59" t="s">
        <v>620</v>
      </c>
      <c r="B33" s="66"/>
      <c r="C33" s="66"/>
      <c r="D33" s="66"/>
      <c r="E33" s="59"/>
      <c r="F33" s="59"/>
      <c r="G33" s="59"/>
      <c r="H33" s="59"/>
      <c r="I33" s="59"/>
      <c r="J33" s="59"/>
      <c r="K33" s="59"/>
      <c r="L33" s="68">
        <f>IF(N33="","XXX",VLOOKUP(M33*10+N33,'06停留所'!$B$2:$B$9999,1,FALSE))</f>
        <v>1741</v>
      </c>
      <c r="M33" s="63">
        <f>INT(VLOOKUPLEFT(A33,'06停留所'!$B$2:$C$9999,'06停留所'!$C$2:$C$9999,1)/10)</f>
        <v>174</v>
      </c>
      <c r="N33" s="209">
        <v>1</v>
      </c>
      <c r="O33" s="69" t="s">
        <v>1822</v>
      </c>
      <c r="P33" s="70" t="s">
        <v>1860</v>
      </c>
      <c r="Q33" s="70" t="s">
        <v>1904</v>
      </c>
      <c r="R33" s="70"/>
      <c r="S33" s="70"/>
      <c r="T33" s="70"/>
      <c r="U33" s="70"/>
      <c r="V33" s="70"/>
      <c r="W33" s="70"/>
      <c r="X33" s="70"/>
      <c r="Y33" s="70"/>
      <c r="Z33" s="70"/>
      <c r="AA33" s="70"/>
      <c r="AB33" s="70"/>
      <c r="AC33" s="70"/>
      <c r="AD33" s="70"/>
      <c r="AE33" s="70"/>
      <c r="AF33" s="70"/>
      <c r="AG33" s="70"/>
      <c r="AH33" s="70"/>
      <c r="AI33" s="70"/>
      <c r="AJ33" s="70"/>
      <c r="AK33" s="70"/>
      <c r="AL33" s="70"/>
      <c r="AM33" s="70"/>
      <c r="AN33" s="70"/>
      <c r="AO33" s="70"/>
      <c r="AP33" s="70"/>
      <c r="AQ33" s="70"/>
      <c r="AR33" s="70"/>
      <c r="AS33" s="70"/>
      <c r="AT33" s="70"/>
      <c r="AU33" s="70"/>
      <c r="AV33" s="70"/>
      <c r="AW33" s="70"/>
      <c r="AX33" s="70"/>
      <c r="AY33" s="70"/>
      <c r="AZ33" s="70"/>
      <c r="BA33" s="70"/>
      <c r="BB33" s="70"/>
      <c r="BC33" s="70"/>
      <c r="BD33" s="70"/>
      <c r="BE33" s="70"/>
      <c r="BF33" s="70"/>
      <c r="BG33" s="70"/>
      <c r="BH33" s="70"/>
      <c r="BI33" s="70"/>
      <c r="BJ33" s="70"/>
      <c r="BK33" s="70"/>
      <c r="BL33" s="70"/>
      <c r="BM33" s="70"/>
      <c r="BN33" s="70"/>
      <c r="BO33" s="70"/>
      <c r="BP33" s="70"/>
      <c r="BQ33" s="70"/>
      <c r="BR33" s="70"/>
      <c r="BS33" s="70"/>
      <c r="BT33" s="70"/>
      <c r="BU33" s="70"/>
      <c r="BV33" s="70"/>
      <c r="BW33" s="70"/>
      <c r="BX33" s="70"/>
      <c r="BY33" s="70"/>
      <c r="BZ33" s="70"/>
      <c r="CA33" s="70"/>
      <c r="CB33" s="70"/>
      <c r="CC33" s="70"/>
      <c r="CD33" s="70"/>
      <c r="CE33" s="70"/>
      <c r="CF33" s="70"/>
      <c r="CG33" s="70"/>
      <c r="CH33" s="70"/>
      <c r="CI33" s="70"/>
      <c r="CJ33" s="70"/>
      <c r="CK33" s="70"/>
      <c r="CL33" s="70"/>
      <c r="CM33" s="70"/>
      <c r="CN33" s="70"/>
      <c r="CO33" s="70"/>
      <c r="CP33" s="70"/>
      <c r="CR33" s="173"/>
    </row>
    <row r="34" spans="1:96" x14ac:dyDescent="0.2">
      <c r="A34" s="59" t="s">
        <v>623</v>
      </c>
      <c r="B34" s="66"/>
      <c r="C34" s="66"/>
      <c r="D34" s="66"/>
      <c r="E34" s="59"/>
      <c r="F34" s="59"/>
      <c r="G34" s="59"/>
      <c r="H34" s="59"/>
      <c r="I34" s="59"/>
      <c r="J34" s="59"/>
      <c r="K34" s="59"/>
      <c r="L34" s="68">
        <f>IF(N34="","XXX",VLOOKUP(M34*10+N34,'06停留所'!$B$2:$B$9999,1,FALSE))</f>
        <v>1751</v>
      </c>
      <c r="M34" s="63">
        <f>INT(VLOOKUPLEFT(A34,'06停留所'!$B$2:$C$9999,'06停留所'!$C$2:$C$9999,1)/10)</f>
        <v>175</v>
      </c>
      <c r="N34" s="209">
        <v>1</v>
      </c>
      <c r="O34" s="69" t="s">
        <v>1823</v>
      </c>
      <c r="P34" s="70" t="s">
        <v>1861</v>
      </c>
      <c r="Q34" s="70" t="s">
        <v>1905</v>
      </c>
      <c r="R34" s="70"/>
      <c r="S34" s="70"/>
      <c r="T34" s="70"/>
      <c r="U34" s="70"/>
      <c r="V34" s="70"/>
      <c r="W34" s="70"/>
      <c r="X34" s="70"/>
      <c r="Y34" s="70"/>
      <c r="Z34" s="70"/>
      <c r="AA34" s="70"/>
      <c r="AB34" s="70"/>
      <c r="AC34" s="70"/>
      <c r="AD34" s="70"/>
      <c r="AE34" s="70"/>
      <c r="AF34" s="70"/>
      <c r="AG34" s="70"/>
      <c r="AH34" s="70"/>
      <c r="AI34" s="70"/>
      <c r="AJ34" s="70"/>
      <c r="AK34" s="70"/>
      <c r="AL34" s="70"/>
      <c r="AM34" s="70"/>
      <c r="AN34" s="70"/>
      <c r="AO34" s="70"/>
      <c r="AP34" s="70"/>
      <c r="AQ34" s="70"/>
      <c r="AR34" s="70"/>
      <c r="AS34" s="70"/>
      <c r="AT34" s="70"/>
      <c r="AU34" s="70"/>
      <c r="AV34" s="70"/>
      <c r="AW34" s="70"/>
      <c r="AX34" s="70"/>
      <c r="AY34" s="70"/>
      <c r="AZ34" s="70"/>
      <c r="BA34" s="70"/>
      <c r="BB34" s="70"/>
      <c r="BC34" s="70"/>
      <c r="BD34" s="70"/>
      <c r="BE34" s="70"/>
      <c r="BF34" s="70"/>
      <c r="BG34" s="70"/>
      <c r="BH34" s="70"/>
      <c r="BI34" s="70"/>
      <c r="BJ34" s="70"/>
      <c r="BK34" s="70"/>
      <c r="BL34" s="70"/>
      <c r="BM34" s="70"/>
      <c r="BN34" s="70"/>
      <c r="BO34" s="70"/>
      <c r="BP34" s="70"/>
      <c r="BQ34" s="70"/>
      <c r="BR34" s="70"/>
      <c r="BS34" s="70"/>
      <c r="BT34" s="70"/>
      <c r="BU34" s="70"/>
      <c r="BV34" s="70"/>
      <c r="BW34" s="70"/>
      <c r="BX34" s="70"/>
      <c r="BY34" s="70"/>
      <c r="BZ34" s="70"/>
      <c r="CA34" s="70"/>
      <c r="CB34" s="70"/>
      <c r="CC34" s="70"/>
      <c r="CD34" s="70"/>
      <c r="CE34" s="70"/>
      <c r="CF34" s="70"/>
      <c r="CG34" s="70"/>
      <c r="CH34" s="70"/>
      <c r="CI34" s="70"/>
      <c r="CJ34" s="70"/>
      <c r="CK34" s="70"/>
      <c r="CL34" s="70"/>
      <c r="CM34" s="70"/>
      <c r="CN34" s="70"/>
      <c r="CO34" s="70"/>
      <c r="CP34" s="70"/>
      <c r="CR34" s="173"/>
    </row>
    <row r="35" spans="1:96" x14ac:dyDescent="0.2">
      <c r="A35" s="67" t="s">
        <v>1797</v>
      </c>
      <c r="B35" s="213" t="s">
        <v>1796</v>
      </c>
      <c r="C35" s="213"/>
      <c r="D35" s="213"/>
      <c r="E35" s="67"/>
      <c r="F35" s="67"/>
      <c r="G35" s="67"/>
      <c r="H35" s="67"/>
      <c r="I35" s="67"/>
      <c r="J35" s="67"/>
      <c r="K35" s="67"/>
      <c r="L35" s="68">
        <f>IF(N35="","XXX",VLOOKUP(M35*10+N35,'06停留所'!$B$2:$B$9999,1,FALSE))</f>
        <v>1761</v>
      </c>
      <c r="M35" s="63">
        <f>INT(VLOOKUPLEFT(A35,'06停留所'!$B$2:$C$9999,'06停留所'!$C$2:$C$9999,1)/10)</f>
        <v>176</v>
      </c>
      <c r="N35" s="209">
        <v>1</v>
      </c>
      <c r="O35" s="214" t="s">
        <v>1788</v>
      </c>
      <c r="P35" s="215" t="s">
        <v>1862</v>
      </c>
      <c r="Q35" s="215" t="s">
        <v>1906</v>
      </c>
      <c r="R35" s="215"/>
      <c r="S35" s="215"/>
      <c r="T35" s="215"/>
      <c r="U35" s="215"/>
      <c r="V35" s="215"/>
      <c r="W35" s="215"/>
      <c r="X35" s="215"/>
      <c r="Y35" s="215"/>
      <c r="Z35" s="215"/>
      <c r="AA35" s="215"/>
      <c r="AB35" s="215"/>
      <c r="AC35" s="215"/>
      <c r="AD35" s="215"/>
      <c r="AE35" s="215"/>
      <c r="AF35" s="215"/>
      <c r="AG35" s="215"/>
      <c r="AH35" s="215"/>
      <c r="AI35" s="215"/>
      <c r="AJ35" s="215"/>
      <c r="AK35" s="215"/>
      <c r="AL35" s="215"/>
      <c r="AM35" s="215"/>
      <c r="AN35" s="215"/>
      <c r="AO35" s="215"/>
      <c r="AP35" s="215"/>
      <c r="AQ35" s="215"/>
      <c r="AR35" s="215"/>
      <c r="AS35" s="215"/>
      <c r="AT35" s="215"/>
      <c r="AU35" s="215"/>
      <c r="AV35" s="215"/>
      <c r="AW35" s="215"/>
      <c r="AX35" s="215"/>
      <c r="AY35" s="215"/>
      <c r="AZ35" s="215"/>
      <c r="BA35" s="215"/>
      <c r="BB35" s="215"/>
      <c r="BC35" s="215"/>
      <c r="BD35" s="215"/>
      <c r="BE35" s="215"/>
      <c r="BF35" s="215"/>
      <c r="BG35" s="215"/>
      <c r="BH35" s="215"/>
      <c r="BI35" s="215"/>
      <c r="BJ35" s="215"/>
      <c r="BK35" s="215"/>
      <c r="BL35" s="215"/>
      <c r="BM35" s="215"/>
      <c r="BN35" s="215"/>
      <c r="BO35" s="215"/>
      <c r="BP35" s="215"/>
      <c r="BQ35" s="215"/>
      <c r="BR35" s="215"/>
      <c r="BS35" s="215"/>
      <c r="BT35" s="215"/>
      <c r="BU35" s="215"/>
      <c r="BV35" s="215"/>
      <c r="BW35" s="215"/>
      <c r="BX35" s="215"/>
      <c r="BY35" s="215"/>
      <c r="BZ35" s="215"/>
      <c r="CA35" s="215"/>
      <c r="CB35" s="215"/>
      <c r="CC35" s="215"/>
      <c r="CD35" s="215"/>
      <c r="CE35" s="215"/>
      <c r="CF35" s="215"/>
      <c r="CG35" s="215"/>
      <c r="CH35" s="215"/>
      <c r="CI35" s="215"/>
      <c r="CJ35" s="215"/>
      <c r="CK35" s="215"/>
      <c r="CL35" s="215"/>
      <c r="CM35" s="215"/>
      <c r="CN35" s="215"/>
      <c r="CO35" s="215"/>
      <c r="CP35" s="215"/>
      <c r="CQ35" s="216"/>
      <c r="CR35" s="173"/>
    </row>
    <row r="36" spans="1:96" x14ac:dyDescent="0.2">
      <c r="A36" s="71" t="s">
        <v>1797</v>
      </c>
      <c r="B36" s="217" t="s">
        <v>1795</v>
      </c>
      <c r="C36" s="217"/>
      <c r="D36" s="217"/>
      <c r="E36" s="71"/>
      <c r="F36" s="218"/>
      <c r="G36" s="218"/>
      <c r="H36" s="218"/>
      <c r="I36" s="218"/>
      <c r="J36" s="218"/>
      <c r="K36" s="218"/>
      <c r="L36" s="68">
        <f>IF(N36="","XXX",VLOOKUP(M36*10+N36,'06停留所'!$B$2:$B$9999,1,FALSE))</f>
        <v>1761</v>
      </c>
      <c r="M36" s="63">
        <f>INT(VLOOKUPLEFT(A36,'06停留所'!$B$2:$C$9999,'06停留所'!$C$2:$C$9999,1)/10)</f>
        <v>176</v>
      </c>
      <c r="N36" s="209">
        <v>1</v>
      </c>
      <c r="O36" s="219" t="s">
        <v>1788</v>
      </c>
      <c r="P36" s="220" t="s">
        <v>1862</v>
      </c>
      <c r="Q36" s="220" t="s">
        <v>1907</v>
      </c>
      <c r="R36" s="220"/>
      <c r="S36" s="220"/>
      <c r="T36" s="220"/>
      <c r="U36" s="220"/>
      <c r="V36" s="220"/>
      <c r="W36" s="220"/>
      <c r="X36" s="220"/>
      <c r="Y36" s="220"/>
      <c r="Z36" s="220"/>
      <c r="AA36" s="220"/>
      <c r="AB36" s="220"/>
      <c r="AC36" s="220"/>
      <c r="AD36" s="220"/>
      <c r="AE36" s="220"/>
      <c r="AF36" s="220"/>
      <c r="AG36" s="220"/>
      <c r="AH36" s="220"/>
      <c r="AI36" s="220"/>
      <c r="AJ36" s="220"/>
      <c r="AK36" s="220"/>
      <c r="AL36" s="220"/>
      <c r="AM36" s="220"/>
      <c r="AN36" s="220"/>
      <c r="AO36" s="220"/>
      <c r="AP36" s="220"/>
      <c r="AQ36" s="220"/>
      <c r="AR36" s="220"/>
      <c r="AS36" s="220"/>
      <c r="AT36" s="220"/>
      <c r="AU36" s="220"/>
      <c r="AV36" s="220"/>
      <c r="AW36" s="220"/>
      <c r="AX36" s="220"/>
      <c r="AY36" s="220"/>
      <c r="AZ36" s="220"/>
      <c r="BA36" s="220"/>
      <c r="BB36" s="220"/>
      <c r="BC36" s="220"/>
      <c r="BD36" s="220"/>
      <c r="BE36" s="220"/>
      <c r="BF36" s="220"/>
      <c r="BG36" s="220"/>
      <c r="BH36" s="220"/>
      <c r="BI36" s="220"/>
      <c r="BJ36" s="220"/>
      <c r="BK36" s="220"/>
      <c r="BL36" s="220"/>
      <c r="BM36" s="220"/>
      <c r="BN36" s="220"/>
      <c r="BO36" s="220"/>
      <c r="BP36" s="220"/>
      <c r="BQ36" s="220"/>
      <c r="BR36" s="220"/>
      <c r="BS36" s="220"/>
      <c r="BT36" s="220"/>
      <c r="BU36" s="220"/>
      <c r="BV36" s="220"/>
      <c r="BW36" s="220"/>
      <c r="BX36" s="220"/>
      <c r="BY36" s="220"/>
      <c r="BZ36" s="220"/>
      <c r="CA36" s="220"/>
      <c r="CB36" s="220"/>
      <c r="CC36" s="220"/>
      <c r="CD36" s="220"/>
      <c r="CE36" s="220"/>
      <c r="CF36" s="220"/>
      <c r="CG36" s="220"/>
      <c r="CH36" s="220"/>
      <c r="CI36" s="220"/>
      <c r="CJ36" s="220"/>
      <c r="CK36" s="220"/>
      <c r="CL36" s="220"/>
      <c r="CM36" s="220"/>
      <c r="CN36" s="220"/>
      <c r="CO36" s="220"/>
      <c r="CP36" s="220"/>
      <c r="CQ36" s="221"/>
      <c r="CR36" s="173"/>
    </row>
    <row r="37" spans="1:96" x14ac:dyDescent="0.2">
      <c r="A37" s="59" t="s">
        <v>632</v>
      </c>
      <c r="B37" s="66"/>
      <c r="C37" s="66"/>
      <c r="D37" s="66"/>
      <c r="E37" s="59"/>
      <c r="F37" s="59"/>
      <c r="G37" s="59"/>
      <c r="H37" s="59"/>
      <c r="I37" s="59"/>
      <c r="J37" s="59"/>
      <c r="K37" s="59"/>
      <c r="L37" s="68">
        <f>IF(N37="","XXX",VLOOKUP(M37*10+N37,'06停留所'!$B$2:$B$9999,1,FALSE))</f>
        <v>1781</v>
      </c>
      <c r="M37" s="63">
        <f>INT(VLOOKUPLEFT(A37,'06停留所'!$B$2:$C$9999,'06停留所'!$C$2:$C$9999,1)/10)</f>
        <v>178</v>
      </c>
      <c r="N37" s="209">
        <v>1</v>
      </c>
      <c r="O37" s="69" t="s">
        <v>1824</v>
      </c>
      <c r="P37" s="70" t="s">
        <v>1863</v>
      </c>
      <c r="Q37" s="70" t="s">
        <v>1908</v>
      </c>
      <c r="R37" s="70"/>
      <c r="S37" s="70"/>
      <c r="T37" s="70"/>
      <c r="U37" s="70"/>
      <c r="V37" s="70"/>
      <c r="W37" s="70"/>
      <c r="X37" s="70"/>
      <c r="Y37" s="70"/>
      <c r="Z37" s="70"/>
      <c r="AA37" s="70"/>
      <c r="AB37" s="70"/>
      <c r="AC37" s="70"/>
      <c r="AD37" s="70"/>
      <c r="AE37" s="70"/>
      <c r="AF37" s="70"/>
      <c r="AG37" s="70"/>
      <c r="AH37" s="70"/>
      <c r="AI37" s="70"/>
      <c r="AJ37" s="70"/>
      <c r="AK37" s="70"/>
      <c r="AL37" s="70"/>
      <c r="AM37" s="70"/>
      <c r="AN37" s="70"/>
      <c r="AO37" s="70"/>
      <c r="AP37" s="70"/>
      <c r="AQ37" s="70"/>
      <c r="AR37" s="70"/>
      <c r="AS37" s="70"/>
      <c r="AT37" s="70"/>
      <c r="AU37" s="70"/>
      <c r="AV37" s="70"/>
      <c r="AW37" s="70"/>
      <c r="AX37" s="70"/>
      <c r="AY37" s="70"/>
      <c r="AZ37" s="70"/>
      <c r="BA37" s="70"/>
      <c r="BB37" s="70"/>
      <c r="BC37" s="70"/>
      <c r="BD37" s="70"/>
      <c r="BE37" s="70"/>
      <c r="BF37" s="70"/>
      <c r="BG37" s="70"/>
      <c r="BH37" s="70"/>
      <c r="BI37" s="70"/>
      <c r="BJ37" s="70"/>
      <c r="BK37" s="70"/>
      <c r="BL37" s="70"/>
      <c r="BM37" s="70"/>
      <c r="BN37" s="70"/>
      <c r="BO37" s="70"/>
      <c r="BP37" s="70"/>
      <c r="BQ37" s="70"/>
      <c r="BR37" s="70"/>
      <c r="BS37" s="70"/>
      <c r="BT37" s="70"/>
      <c r="BU37" s="70"/>
      <c r="BV37" s="70"/>
      <c r="BW37" s="70"/>
      <c r="BX37" s="70"/>
      <c r="BY37" s="70"/>
      <c r="BZ37" s="70"/>
      <c r="CA37" s="70"/>
      <c r="CB37" s="70"/>
      <c r="CC37" s="70"/>
      <c r="CD37" s="70"/>
      <c r="CE37" s="70"/>
      <c r="CF37" s="70"/>
      <c r="CG37" s="70"/>
      <c r="CH37" s="70"/>
      <c r="CI37" s="70"/>
      <c r="CJ37" s="70"/>
      <c r="CK37" s="70"/>
      <c r="CL37" s="70"/>
      <c r="CM37" s="70"/>
      <c r="CN37" s="70"/>
      <c r="CO37" s="70"/>
      <c r="CP37" s="70"/>
      <c r="CR37" s="173"/>
    </row>
    <row r="38" spans="1:96" x14ac:dyDescent="0.2">
      <c r="A38" s="59" t="s">
        <v>638</v>
      </c>
      <c r="B38" s="66"/>
      <c r="C38" s="66"/>
      <c r="D38" s="66"/>
      <c r="E38" s="59"/>
      <c r="F38" s="59"/>
      <c r="G38" s="59"/>
      <c r="H38" s="59"/>
      <c r="I38" s="59"/>
      <c r="J38" s="59"/>
      <c r="K38" s="59"/>
      <c r="L38" s="68">
        <f>IF(N38="","XXX",VLOOKUP(M38*10+N38,'06停留所'!$B$2:$B$9999,1,FALSE))</f>
        <v>1801</v>
      </c>
      <c r="M38" s="63">
        <f>INT(VLOOKUPLEFT(A38,'06停留所'!$B$2:$C$9999,'06停留所'!$C$2:$C$9999,1)/10)</f>
        <v>180</v>
      </c>
      <c r="N38" s="209">
        <v>1</v>
      </c>
      <c r="O38" s="69" t="s">
        <v>1825</v>
      </c>
      <c r="P38" s="70" t="s">
        <v>1864</v>
      </c>
      <c r="Q38" s="70" t="s">
        <v>1909</v>
      </c>
      <c r="R38" s="70"/>
      <c r="S38" s="70"/>
      <c r="T38" s="70"/>
      <c r="U38" s="70"/>
      <c r="V38" s="70"/>
      <c r="W38" s="70"/>
      <c r="X38" s="70"/>
      <c r="Y38" s="70"/>
      <c r="Z38" s="70"/>
      <c r="AA38" s="70"/>
      <c r="AB38" s="70"/>
      <c r="AC38" s="70"/>
      <c r="AD38" s="70"/>
      <c r="AE38" s="70"/>
      <c r="AF38" s="70"/>
      <c r="AG38" s="70"/>
      <c r="AH38" s="70"/>
      <c r="AI38" s="70"/>
      <c r="AJ38" s="70"/>
      <c r="AK38" s="70"/>
      <c r="AL38" s="70"/>
      <c r="AM38" s="70"/>
      <c r="AN38" s="70"/>
      <c r="AO38" s="70"/>
      <c r="AP38" s="70"/>
      <c r="AQ38" s="70"/>
      <c r="AR38" s="70"/>
      <c r="AS38" s="70"/>
      <c r="AT38" s="70"/>
      <c r="AU38" s="70"/>
      <c r="AV38" s="70"/>
      <c r="AW38" s="70"/>
      <c r="AX38" s="70"/>
      <c r="AY38" s="70"/>
      <c r="AZ38" s="70"/>
      <c r="BA38" s="70"/>
      <c r="BB38" s="70"/>
      <c r="BC38" s="70"/>
      <c r="BD38" s="70"/>
      <c r="BE38" s="70"/>
      <c r="BF38" s="70"/>
      <c r="BG38" s="70"/>
      <c r="BH38" s="70"/>
      <c r="BI38" s="70"/>
      <c r="BJ38" s="70"/>
      <c r="BK38" s="70"/>
      <c r="BL38" s="70"/>
      <c r="BM38" s="70"/>
      <c r="BN38" s="70"/>
      <c r="BO38" s="70"/>
      <c r="BP38" s="70"/>
      <c r="BQ38" s="70"/>
      <c r="BR38" s="70"/>
      <c r="BS38" s="70"/>
      <c r="BT38" s="70"/>
      <c r="BU38" s="70"/>
      <c r="BV38" s="70"/>
      <c r="BW38" s="70"/>
      <c r="BX38" s="70"/>
      <c r="BY38" s="70"/>
      <c r="BZ38" s="70"/>
      <c r="CA38" s="70"/>
      <c r="CB38" s="70"/>
      <c r="CC38" s="70"/>
      <c r="CD38" s="70"/>
      <c r="CE38" s="70"/>
      <c r="CF38" s="70"/>
      <c r="CG38" s="70"/>
      <c r="CH38" s="70"/>
      <c r="CI38" s="70"/>
      <c r="CJ38" s="70"/>
      <c r="CK38" s="70"/>
      <c r="CL38" s="70"/>
      <c r="CM38" s="70"/>
      <c r="CN38" s="70"/>
      <c r="CO38" s="70"/>
      <c r="CP38" s="70"/>
      <c r="CR38" s="173"/>
    </row>
    <row r="39" spans="1:96" x14ac:dyDescent="0.2">
      <c r="A39" s="59" t="s">
        <v>786</v>
      </c>
      <c r="B39" s="66"/>
      <c r="C39" s="66"/>
      <c r="D39" s="66"/>
      <c r="E39" s="59"/>
      <c r="F39" s="59"/>
      <c r="G39" s="59"/>
      <c r="H39" s="59"/>
      <c r="I39" s="59"/>
      <c r="J39" s="59"/>
      <c r="K39" s="59"/>
      <c r="L39" s="68">
        <f>IF(N39="","XXX",VLOOKUP(M39*10+N39,'06停留所'!$B$2:$B$9999,1,FALSE))</f>
        <v>2301</v>
      </c>
      <c r="M39" s="63">
        <f>INT(VLOOKUPLEFT(A39,'06停留所'!$B$2:$C$9999,'06停留所'!$C$2:$C$9999,1)/10)</f>
        <v>230</v>
      </c>
      <c r="N39" s="209">
        <v>1</v>
      </c>
      <c r="O39" s="69" t="s">
        <v>1826</v>
      </c>
      <c r="P39" s="70" t="s">
        <v>1865</v>
      </c>
      <c r="Q39" s="70" t="s">
        <v>1910</v>
      </c>
      <c r="R39" s="70"/>
      <c r="S39" s="70"/>
      <c r="T39" s="70"/>
      <c r="U39" s="70"/>
      <c r="V39" s="70"/>
      <c r="W39" s="70"/>
      <c r="X39" s="70"/>
      <c r="Y39" s="70"/>
      <c r="Z39" s="70"/>
      <c r="AA39" s="70"/>
      <c r="AB39" s="70"/>
      <c r="AC39" s="70"/>
      <c r="AD39" s="70"/>
      <c r="AE39" s="70"/>
      <c r="AF39" s="70"/>
      <c r="AG39" s="70"/>
      <c r="AH39" s="70"/>
      <c r="AI39" s="70"/>
      <c r="AJ39" s="70"/>
      <c r="AK39" s="70"/>
      <c r="AL39" s="70"/>
      <c r="AM39" s="70"/>
      <c r="AN39" s="70"/>
      <c r="AO39" s="70"/>
      <c r="AP39" s="70"/>
      <c r="AQ39" s="70"/>
      <c r="AR39" s="70"/>
      <c r="AS39" s="70"/>
      <c r="AT39" s="70"/>
      <c r="AU39" s="70"/>
      <c r="AV39" s="70"/>
      <c r="AW39" s="70"/>
      <c r="AX39" s="70"/>
      <c r="AY39" s="70"/>
      <c r="AZ39" s="70"/>
      <c r="BA39" s="70"/>
      <c r="BB39" s="70"/>
      <c r="BC39" s="70"/>
      <c r="BD39" s="70"/>
      <c r="BE39" s="70"/>
      <c r="BF39" s="70"/>
      <c r="BG39" s="70"/>
      <c r="BH39" s="70"/>
      <c r="BI39" s="70"/>
      <c r="BJ39" s="70"/>
      <c r="BK39" s="70"/>
      <c r="BL39" s="70"/>
      <c r="BM39" s="70"/>
      <c r="BN39" s="70"/>
      <c r="BO39" s="70"/>
      <c r="BP39" s="70"/>
      <c r="BQ39" s="70"/>
      <c r="BR39" s="70"/>
      <c r="BS39" s="70"/>
      <c r="BT39" s="70"/>
      <c r="BU39" s="70"/>
      <c r="BV39" s="70"/>
      <c r="BW39" s="70"/>
      <c r="BX39" s="70"/>
      <c r="BY39" s="70"/>
      <c r="BZ39" s="70"/>
      <c r="CA39" s="70"/>
      <c r="CB39" s="70"/>
      <c r="CC39" s="70"/>
      <c r="CD39" s="70"/>
      <c r="CE39" s="70"/>
      <c r="CF39" s="70"/>
      <c r="CG39" s="70"/>
      <c r="CH39" s="70"/>
      <c r="CI39" s="70"/>
      <c r="CJ39" s="70"/>
      <c r="CK39" s="70"/>
      <c r="CL39" s="70"/>
      <c r="CM39" s="70"/>
      <c r="CN39" s="70"/>
      <c r="CO39" s="70"/>
      <c r="CP39" s="70"/>
      <c r="CR39" s="173"/>
    </row>
    <row r="40" spans="1:96" x14ac:dyDescent="0.2">
      <c r="A40" s="59" t="s">
        <v>671</v>
      </c>
      <c r="B40" s="66"/>
      <c r="C40" s="66"/>
      <c r="D40" s="66"/>
      <c r="E40" s="59"/>
      <c r="F40" s="59"/>
      <c r="G40" s="59"/>
      <c r="H40" s="59"/>
      <c r="I40" s="59"/>
      <c r="J40" s="59"/>
      <c r="K40" s="59"/>
      <c r="L40" s="68">
        <f>IF(N40="","XXX",VLOOKUP(M40*10+N40,'06停留所'!$B$2:$B$9999,1,FALSE))</f>
        <v>1911</v>
      </c>
      <c r="M40" s="63">
        <f>INT(VLOOKUPLEFT(A40,'06停留所'!$B$2:$C$9999,'06停留所'!$C$2:$C$9999,1)/10)</f>
        <v>191</v>
      </c>
      <c r="N40" s="209">
        <v>1</v>
      </c>
      <c r="O40" s="69" t="s">
        <v>1827</v>
      </c>
      <c r="P40" s="70" t="s">
        <v>1866</v>
      </c>
      <c r="Q40" s="70" t="s">
        <v>1911</v>
      </c>
      <c r="R40" s="70"/>
      <c r="S40" s="70"/>
      <c r="T40" s="70"/>
      <c r="U40" s="70"/>
      <c r="V40" s="70"/>
      <c r="W40" s="70"/>
      <c r="X40" s="70"/>
      <c r="Y40" s="70"/>
      <c r="Z40" s="70"/>
      <c r="AA40" s="70"/>
      <c r="AB40" s="70"/>
      <c r="AC40" s="70"/>
      <c r="AD40" s="70"/>
      <c r="AE40" s="70"/>
      <c r="AF40" s="70"/>
      <c r="AG40" s="70"/>
      <c r="AH40" s="70"/>
      <c r="AI40" s="70"/>
      <c r="AJ40" s="70"/>
      <c r="AK40" s="70"/>
      <c r="AL40" s="70"/>
      <c r="AM40" s="70"/>
      <c r="AN40" s="70"/>
      <c r="AO40" s="70"/>
      <c r="AP40" s="70"/>
      <c r="AQ40" s="70"/>
      <c r="AR40" s="70"/>
      <c r="AS40" s="70"/>
      <c r="AT40" s="70"/>
      <c r="AU40" s="70"/>
      <c r="AV40" s="70"/>
      <c r="AW40" s="70"/>
      <c r="AX40" s="70"/>
      <c r="AY40" s="70"/>
      <c r="AZ40" s="70"/>
      <c r="BA40" s="70"/>
      <c r="BB40" s="70"/>
      <c r="BC40" s="70"/>
      <c r="BD40" s="70"/>
      <c r="BE40" s="70"/>
      <c r="BF40" s="70"/>
      <c r="BG40" s="70"/>
      <c r="BH40" s="70"/>
      <c r="BI40" s="70"/>
      <c r="BJ40" s="70"/>
      <c r="BK40" s="70"/>
      <c r="BL40" s="70"/>
      <c r="BM40" s="70"/>
      <c r="BN40" s="70"/>
      <c r="BO40" s="70"/>
      <c r="BP40" s="70"/>
      <c r="BQ40" s="70"/>
      <c r="BR40" s="70"/>
      <c r="BS40" s="70"/>
      <c r="BT40" s="70"/>
      <c r="BU40" s="70"/>
      <c r="BV40" s="70"/>
      <c r="BW40" s="70"/>
      <c r="BX40" s="70"/>
      <c r="BY40" s="70"/>
      <c r="BZ40" s="70"/>
      <c r="CA40" s="70"/>
      <c r="CB40" s="70"/>
      <c r="CC40" s="70"/>
      <c r="CD40" s="70"/>
      <c r="CE40" s="70"/>
      <c r="CF40" s="70"/>
      <c r="CG40" s="70"/>
      <c r="CH40" s="70"/>
      <c r="CI40" s="70"/>
      <c r="CJ40" s="70"/>
      <c r="CK40" s="70"/>
      <c r="CL40" s="70"/>
      <c r="CM40" s="70"/>
      <c r="CN40" s="70"/>
      <c r="CO40" s="70"/>
      <c r="CP40" s="70"/>
      <c r="CR40" s="173"/>
    </row>
    <row r="41" spans="1:96" x14ac:dyDescent="0.2">
      <c r="A41" s="59" t="s">
        <v>683</v>
      </c>
      <c r="B41" s="66"/>
      <c r="C41" s="66"/>
      <c r="D41" s="66"/>
      <c r="E41" s="59"/>
      <c r="F41" s="59"/>
      <c r="G41" s="59"/>
      <c r="H41" s="59"/>
      <c r="I41" s="59"/>
      <c r="J41" s="59"/>
      <c r="K41" s="59"/>
      <c r="L41" s="68">
        <f>IF(N41="","XXX",VLOOKUP(M41*10+N41,'06停留所'!$B$2:$B$9999,1,FALSE))</f>
        <v>1951</v>
      </c>
      <c r="M41" s="63">
        <f>INT(VLOOKUPLEFT(A41,'06停留所'!$B$2:$C$9999,'06停留所'!$C$2:$C$9999,1)/10)</f>
        <v>195</v>
      </c>
      <c r="N41" s="209">
        <v>1</v>
      </c>
      <c r="O41" s="69" t="s">
        <v>1828</v>
      </c>
      <c r="P41" s="70" t="s">
        <v>1867</v>
      </c>
      <c r="Q41" s="70" t="s">
        <v>1912</v>
      </c>
      <c r="R41" s="70"/>
      <c r="S41" s="70"/>
      <c r="T41" s="70"/>
      <c r="U41" s="70"/>
      <c r="V41" s="70"/>
      <c r="W41" s="70"/>
      <c r="X41" s="70"/>
      <c r="Y41" s="70"/>
      <c r="Z41" s="70"/>
      <c r="AA41" s="70"/>
      <c r="AB41" s="70"/>
      <c r="AC41" s="70"/>
      <c r="AD41" s="70"/>
      <c r="AE41" s="70"/>
      <c r="AF41" s="70"/>
      <c r="AG41" s="70"/>
      <c r="AH41" s="70"/>
      <c r="AI41" s="70"/>
      <c r="AJ41" s="70"/>
      <c r="AK41" s="70"/>
      <c r="AL41" s="70"/>
      <c r="AM41" s="70"/>
      <c r="AN41" s="70"/>
      <c r="AO41" s="70"/>
      <c r="AP41" s="70"/>
      <c r="AQ41" s="70"/>
      <c r="AR41" s="70"/>
      <c r="AS41" s="70"/>
      <c r="AT41" s="70"/>
      <c r="AU41" s="70"/>
      <c r="AV41" s="70"/>
      <c r="AW41" s="70"/>
      <c r="AX41" s="70"/>
      <c r="AY41" s="70"/>
      <c r="AZ41" s="70"/>
      <c r="BA41" s="70"/>
      <c r="BB41" s="70"/>
      <c r="BC41" s="70"/>
      <c r="BD41" s="70"/>
      <c r="BE41" s="70"/>
      <c r="BF41" s="70"/>
      <c r="BG41" s="70"/>
      <c r="BH41" s="70"/>
      <c r="BI41" s="70"/>
      <c r="BJ41" s="70"/>
      <c r="BK41" s="70"/>
      <c r="BL41" s="70"/>
      <c r="BM41" s="70"/>
      <c r="BN41" s="70"/>
      <c r="BO41" s="70"/>
      <c r="BP41" s="70"/>
      <c r="BQ41" s="70"/>
      <c r="BR41" s="70"/>
      <c r="BS41" s="70"/>
      <c r="BT41" s="70"/>
      <c r="BU41" s="70"/>
      <c r="BV41" s="70"/>
      <c r="BW41" s="70"/>
      <c r="BX41" s="70"/>
      <c r="BY41" s="70"/>
      <c r="BZ41" s="70"/>
      <c r="CA41" s="70"/>
      <c r="CB41" s="70"/>
      <c r="CC41" s="70"/>
      <c r="CD41" s="70"/>
      <c r="CE41" s="70"/>
      <c r="CF41" s="70"/>
      <c r="CG41" s="70"/>
      <c r="CH41" s="70"/>
      <c r="CI41" s="70"/>
      <c r="CJ41" s="70"/>
      <c r="CK41" s="70"/>
      <c r="CL41" s="70"/>
      <c r="CM41" s="70"/>
      <c r="CN41" s="70"/>
      <c r="CO41" s="70"/>
      <c r="CP41" s="70"/>
      <c r="CR41" s="173"/>
    </row>
    <row r="42" spans="1:96" x14ac:dyDescent="0.2">
      <c r="A42" s="59" t="s">
        <v>692</v>
      </c>
      <c r="B42" s="66"/>
      <c r="C42" s="66"/>
      <c r="D42" s="66"/>
      <c r="E42" s="59"/>
      <c r="F42" s="59"/>
      <c r="G42" s="59"/>
      <c r="H42" s="59"/>
      <c r="I42" s="59"/>
      <c r="J42" s="59"/>
      <c r="K42" s="59"/>
      <c r="L42" s="68">
        <f>IF(N42="","XXX",VLOOKUP(M42*10+N42,'06停留所'!$B$2:$B$9999,1,FALSE))</f>
        <v>1981</v>
      </c>
      <c r="M42" s="63">
        <f>INT(VLOOKUPLEFT(A42,'06停留所'!$B$2:$C$9999,'06停留所'!$C$2:$C$9999,1)/10)</f>
        <v>198</v>
      </c>
      <c r="N42" s="209">
        <v>1</v>
      </c>
      <c r="O42" s="69" t="s">
        <v>1829</v>
      </c>
      <c r="P42" s="70" t="s">
        <v>1868</v>
      </c>
      <c r="Q42" s="70" t="s">
        <v>1913</v>
      </c>
      <c r="R42" s="70"/>
      <c r="S42" s="70"/>
      <c r="T42" s="70"/>
      <c r="U42" s="70"/>
      <c r="V42" s="70"/>
      <c r="W42" s="70"/>
      <c r="X42" s="70"/>
      <c r="Y42" s="70"/>
      <c r="Z42" s="70"/>
      <c r="AA42" s="70"/>
      <c r="AB42" s="70"/>
      <c r="AC42" s="70"/>
      <c r="AD42" s="70"/>
      <c r="AE42" s="70"/>
      <c r="AF42" s="70"/>
      <c r="AG42" s="70"/>
      <c r="AH42" s="70"/>
      <c r="AI42" s="70"/>
      <c r="AJ42" s="70"/>
      <c r="AK42" s="70"/>
      <c r="AL42" s="70"/>
      <c r="AM42" s="70"/>
      <c r="AN42" s="70"/>
      <c r="AO42" s="70"/>
      <c r="AP42" s="70"/>
      <c r="AQ42" s="70"/>
      <c r="AR42" s="70"/>
      <c r="AS42" s="70"/>
      <c r="AT42" s="70"/>
      <c r="AU42" s="70"/>
      <c r="AV42" s="70"/>
      <c r="AW42" s="70"/>
      <c r="AX42" s="70"/>
      <c r="AY42" s="70"/>
      <c r="AZ42" s="70"/>
      <c r="BA42" s="70"/>
      <c r="BB42" s="70"/>
      <c r="BC42" s="70"/>
      <c r="BD42" s="70"/>
      <c r="BE42" s="70"/>
      <c r="BF42" s="70"/>
      <c r="BG42" s="70"/>
      <c r="BH42" s="70"/>
      <c r="BI42" s="70"/>
      <c r="BJ42" s="70"/>
      <c r="BK42" s="70"/>
      <c r="BL42" s="70"/>
      <c r="BM42" s="70"/>
      <c r="BN42" s="70"/>
      <c r="BO42" s="70"/>
      <c r="BP42" s="70"/>
      <c r="BQ42" s="70"/>
      <c r="BR42" s="70"/>
      <c r="BS42" s="70"/>
      <c r="BT42" s="70"/>
      <c r="BU42" s="70"/>
      <c r="BV42" s="70"/>
      <c r="BW42" s="70"/>
      <c r="BX42" s="70"/>
      <c r="BY42" s="70"/>
      <c r="BZ42" s="70"/>
      <c r="CA42" s="70"/>
      <c r="CB42" s="70"/>
      <c r="CC42" s="70"/>
      <c r="CD42" s="70"/>
      <c r="CE42" s="70"/>
      <c r="CF42" s="70"/>
      <c r="CG42" s="70"/>
      <c r="CH42" s="70"/>
      <c r="CI42" s="70"/>
      <c r="CJ42" s="70"/>
      <c r="CK42" s="70"/>
      <c r="CL42" s="70"/>
      <c r="CM42" s="70"/>
      <c r="CN42" s="70"/>
      <c r="CO42" s="70"/>
      <c r="CP42" s="70"/>
      <c r="CR42" s="173"/>
    </row>
    <row r="43" spans="1:96" x14ac:dyDescent="0.2">
      <c r="A43" s="59" t="s">
        <v>225</v>
      </c>
      <c r="B43" s="66"/>
      <c r="C43" s="66"/>
      <c r="D43" s="66"/>
      <c r="E43" s="59"/>
      <c r="F43" s="59"/>
      <c r="G43" s="59"/>
      <c r="H43" s="59"/>
      <c r="I43" s="59"/>
      <c r="J43" s="59"/>
      <c r="K43" s="59"/>
      <c r="L43" s="68">
        <f>IF(N43="","XXX",VLOOKUP(M43*10+N43,'06停留所'!$B$2:$B$9999,1,FALSE))</f>
        <v>21</v>
      </c>
      <c r="M43" s="63">
        <f>INT(VLOOKUPLEFT(A43,'06停留所'!$B$2:$C$9999,'06停留所'!$C$2:$C$9999,1)/10)</f>
        <v>2</v>
      </c>
      <c r="N43" s="209">
        <v>1</v>
      </c>
      <c r="O43" s="69" t="s">
        <v>1830</v>
      </c>
      <c r="P43" s="70" t="s">
        <v>1869</v>
      </c>
      <c r="Q43" s="70" t="s">
        <v>1914</v>
      </c>
      <c r="R43" s="70"/>
      <c r="S43" s="70"/>
      <c r="T43" s="70"/>
      <c r="U43" s="70"/>
      <c r="V43" s="70"/>
      <c r="W43" s="70"/>
      <c r="X43" s="70"/>
      <c r="Y43" s="70"/>
      <c r="Z43" s="70"/>
      <c r="AA43" s="70"/>
      <c r="AB43" s="70"/>
      <c r="AC43" s="70"/>
      <c r="AD43" s="70"/>
      <c r="AE43" s="70"/>
      <c r="AF43" s="70"/>
      <c r="AG43" s="70"/>
      <c r="AH43" s="70"/>
      <c r="AI43" s="70"/>
      <c r="AJ43" s="70"/>
      <c r="AK43" s="70"/>
      <c r="AL43" s="70"/>
      <c r="AM43" s="70"/>
      <c r="AN43" s="70"/>
      <c r="AO43" s="70"/>
      <c r="AP43" s="70"/>
      <c r="AQ43" s="70"/>
      <c r="AR43" s="70"/>
      <c r="AS43" s="70"/>
      <c r="AT43" s="70"/>
      <c r="AU43" s="70"/>
      <c r="AV43" s="70"/>
      <c r="AW43" s="70"/>
      <c r="AX43" s="70"/>
      <c r="AY43" s="70"/>
      <c r="AZ43" s="70"/>
      <c r="BA43" s="70"/>
      <c r="BB43" s="70"/>
      <c r="BC43" s="70"/>
      <c r="BD43" s="70"/>
      <c r="BE43" s="70"/>
      <c r="BF43" s="70"/>
      <c r="BG43" s="70"/>
      <c r="BH43" s="70"/>
      <c r="BI43" s="70"/>
      <c r="BJ43" s="70"/>
      <c r="BK43" s="70"/>
      <c r="BL43" s="70"/>
      <c r="BM43" s="70"/>
      <c r="BN43" s="70"/>
      <c r="BO43" s="70"/>
      <c r="BP43" s="70"/>
      <c r="BQ43" s="70"/>
      <c r="BR43" s="70"/>
      <c r="BS43" s="70"/>
      <c r="BT43" s="70"/>
      <c r="BU43" s="70"/>
      <c r="BV43" s="70"/>
      <c r="BW43" s="70"/>
      <c r="BX43" s="70"/>
      <c r="BY43" s="70"/>
      <c r="BZ43" s="70"/>
      <c r="CA43" s="70"/>
      <c r="CB43" s="70"/>
      <c r="CC43" s="70"/>
      <c r="CD43" s="70"/>
      <c r="CE43" s="70"/>
      <c r="CF43" s="70"/>
      <c r="CG43" s="70"/>
      <c r="CH43" s="70"/>
      <c r="CI43" s="70"/>
      <c r="CJ43" s="70"/>
      <c r="CK43" s="70"/>
      <c r="CL43" s="70"/>
      <c r="CM43" s="70"/>
      <c r="CN43" s="70"/>
      <c r="CO43" s="70"/>
      <c r="CP43" s="70"/>
      <c r="CR43" s="173"/>
    </row>
    <row r="44" spans="1:96" x14ac:dyDescent="0.2">
      <c r="A44" s="59" t="s">
        <v>231</v>
      </c>
      <c r="B44" s="66"/>
      <c r="C44" s="66"/>
      <c r="D44" s="66"/>
      <c r="E44" s="59"/>
      <c r="F44" s="59"/>
      <c r="G44" s="59"/>
      <c r="H44" s="59"/>
      <c r="I44" s="59"/>
      <c r="J44" s="59"/>
      <c r="K44" s="59"/>
      <c r="L44" s="68">
        <f>IF(N44="","XXX",VLOOKUP(M44*10+N44,'06停留所'!$B$2:$B$9999,1,FALSE))</f>
        <v>41</v>
      </c>
      <c r="M44" s="63">
        <f>INT(VLOOKUPLEFT(A44,'06停留所'!$B$2:$C$9999,'06停留所'!$C$2:$C$9999,1)/10)</f>
        <v>4</v>
      </c>
      <c r="N44" s="209">
        <v>1</v>
      </c>
      <c r="O44" s="69" t="s">
        <v>1831</v>
      </c>
      <c r="P44" s="70" t="s">
        <v>1870</v>
      </c>
      <c r="Q44" s="70" t="s">
        <v>1915</v>
      </c>
      <c r="R44" s="70"/>
      <c r="S44" s="70"/>
      <c r="T44" s="70"/>
      <c r="U44" s="70"/>
      <c r="V44" s="70"/>
      <c r="W44" s="70"/>
      <c r="X44" s="70"/>
      <c r="Y44" s="70"/>
      <c r="Z44" s="70"/>
      <c r="AA44" s="70"/>
      <c r="AB44" s="70"/>
      <c r="AC44" s="70"/>
      <c r="AD44" s="70"/>
      <c r="AE44" s="70"/>
      <c r="AF44" s="70"/>
      <c r="AG44" s="70"/>
      <c r="AH44" s="70"/>
      <c r="AI44" s="70"/>
      <c r="AJ44" s="70"/>
      <c r="AK44" s="70"/>
      <c r="AL44" s="70"/>
      <c r="AM44" s="70"/>
      <c r="AN44" s="70"/>
      <c r="AO44" s="70"/>
      <c r="AP44" s="70"/>
      <c r="AQ44" s="70"/>
      <c r="AR44" s="70"/>
      <c r="AS44" s="70"/>
      <c r="AT44" s="70"/>
      <c r="AU44" s="70"/>
      <c r="AV44" s="70"/>
      <c r="AW44" s="70"/>
      <c r="AX44" s="70"/>
      <c r="AY44" s="70"/>
      <c r="AZ44" s="70"/>
      <c r="BA44" s="70"/>
      <c r="BB44" s="70"/>
      <c r="BC44" s="70"/>
      <c r="BD44" s="70"/>
      <c r="BE44" s="70"/>
      <c r="BF44" s="70"/>
      <c r="BG44" s="70"/>
      <c r="BH44" s="70"/>
      <c r="BI44" s="70"/>
      <c r="BJ44" s="70"/>
      <c r="BK44" s="70"/>
      <c r="BL44" s="70"/>
      <c r="BM44" s="70"/>
      <c r="BN44" s="70"/>
      <c r="BO44" s="70"/>
      <c r="BP44" s="70"/>
      <c r="BQ44" s="70"/>
      <c r="BR44" s="70"/>
      <c r="BS44" s="70"/>
      <c r="BT44" s="70"/>
      <c r="BU44" s="70"/>
      <c r="BV44" s="70"/>
      <c r="BW44" s="70"/>
      <c r="BX44" s="70"/>
      <c r="BY44" s="70"/>
      <c r="BZ44" s="70"/>
      <c r="CA44" s="70"/>
      <c r="CB44" s="70"/>
      <c r="CC44" s="70"/>
      <c r="CD44" s="70"/>
      <c r="CE44" s="70"/>
      <c r="CF44" s="70"/>
      <c r="CG44" s="70"/>
      <c r="CH44" s="70"/>
      <c r="CI44" s="70"/>
      <c r="CJ44" s="70"/>
      <c r="CK44" s="70"/>
      <c r="CL44" s="70"/>
      <c r="CM44" s="70"/>
      <c r="CN44" s="70"/>
      <c r="CO44" s="70"/>
      <c r="CP44" s="70"/>
      <c r="CR44" s="173"/>
    </row>
    <row r="45" spans="1:96" x14ac:dyDescent="0.2">
      <c r="A45" s="59" t="s">
        <v>695</v>
      </c>
      <c r="B45" s="66"/>
      <c r="C45" s="66"/>
      <c r="D45" s="66"/>
      <c r="E45" s="59"/>
      <c r="F45" s="59"/>
      <c r="G45" s="59"/>
      <c r="H45" s="59"/>
      <c r="I45" s="59"/>
      <c r="J45" s="59"/>
      <c r="K45" s="59"/>
      <c r="L45" s="68">
        <f>IF(N45="","XXX",VLOOKUP(M45*10+N45,'06停留所'!$B$2:$B$9999,1,FALSE))</f>
        <v>1991</v>
      </c>
      <c r="M45" s="63">
        <f>INT(VLOOKUPLEFT(A45,'06停留所'!$B$2:$C$9999,'06停留所'!$C$2:$C$9999,1)/10)</f>
        <v>199</v>
      </c>
      <c r="N45" s="209">
        <v>1</v>
      </c>
      <c r="O45" s="69" t="s">
        <v>1788</v>
      </c>
      <c r="P45" s="70" t="s">
        <v>1871</v>
      </c>
      <c r="Q45" s="70" t="s">
        <v>1916</v>
      </c>
      <c r="R45" s="70"/>
      <c r="S45" s="70"/>
      <c r="T45" s="70"/>
      <c r="U45" s="70"/>
      <c r="V45" s="70"/>
      <c r="W45" s="70"/>
      <c r="X45" s="70"/>
      <c r="Y45" s="70"/>
      <c r="Z45" s="70"/>
      <c r="AA45" s="70"/>
      <c r="AB45" s="70"/>
      <c r="AC45" s="70"/>
      <c r="AD45" s="70"/>
      <c r="AE45" s="70"/>
      <c r="AF45" s="70"/>
      <c r="AG45" s="70"/>
      <c r="AH45" s="70"/>
      <c r="AI45" s="70"/>
      <c r="AJ45" s="70"/>
      <c r="AK45" s="70"/>
      <c r="AL45" s="70"/>
      <c r="AM45" s="70"/>
      <c r="AN45" s="70"/>
      <c r="AO45" s="70"/>
      <c r="AP45" s="70"/>
      <c r="AQ45" s="70"/>
      <c r="AR45" s="70"/>
      <c r="AS45" s="70"/>
      <c r="AT45" s="70"/>
      <c r="AU45" s="70"/>
      <c r="AV45" s="70"/>
      <c r="AW45" s="70"/>
      <c r="AX45" s="70"/>
      <c r="AY45" s="70"/>
      <c r="AZ45" s="70"/>
      <c r="BA45" s="70"/>
      <c r="BB45" s="70"/>
      <c r="BC45" s="70"/>
      <c r="BD45" s="70"/>
      <c r="BE45" s="70"/>
      <c r="BF45" s="70"/>
      <c r="BG45" s="70"/>
      <c r="BH45" s="70"/>
      <c r="BI45" s="70"/>
      <c r="BJ45" s="70"/>
      <c r="BK45" s="70"/>
      <c r="BL45" s="70"/>
      <c r="BM45" s="70"/>
      <c r="BN45" s="70"/>
      <c r="BO45" s="70"/>
      <c r="BP45" s="70"/>
      <c r="BQ45" s="70"/>
      <c r="BR45" s="70"/>
      <c r="BS45" s="70"/>
      <c r="BT45" s="70"/>
      <c r="BU45" s="70"/>
      <c r="BV45" s="70"/>
      <c r="BW45" s="70"/>
      <c r="BX45" s="70"/>
      <c r="BY45" s="70"/>
      <c r="BZ45" s="70"/>
      <c r="CA45" s="70"/>
      <c r="CB45" s="70"/>
      <c r="CC45" s="70"/>
      <c r="CD45" s="70"/>
      <c r="CE45" s="70"/>
      <c r="CF45" s="70"/>
      <c r="CG45" s="70"/>
      <c r="CH45" s="70"/>
      <c r="CI45" s="70"/>
      <c r="CJ45" s="70"/>
      <c r="CK45" s="70"/>
      <c r="CL45" s="70"/>
      <c r="CM45" s="70"/>
      <c r="CN45" s="70"/>
      <c r="CO45" s="70"/>
      <c r="CP45" s="70"/>
      <c r="CR45" s="173"/>
    </row>
    <row r="46" spans="1:96" x14ac:dyDescent="0.2">
      <c r="A46" s="59" t="s">
        <v>698</v>
      </c>
      <c r="B46" s="66"/>
      <c r="C46" s="66"/>
      <c r="D46" s="66"/>
      <c r="E46" s="59"/>
      <c r="F46" s="59"/>
      <c r="G46" s="59"/>
      <c r="H46" s="59"/>
      <c r="I46" s="59"/>
      <c r="J46" s="59"/>
      <c r="K46" s="59"/>
      <c r="L46" s="68">
        <f>IF(N46="","XXX",VLOOKUP(M46*10+N46,'06停留所'!$B$2:$B$9999,1,FALSE))</f>
        <v>2001</v>
      </c>
      <c r="M46" s="63">
        <f>INT(VLOOKUPLEFT(A46,'06停留所'!$B$2:$C$9999,'06停留所'!$C$2:$C$9999,1)/10)</f>
        <v>200</v>
      </c>
      <c r="N46" s="209">
        <v>1</v>
      </c>
      <c r="O46" s="69" t="s">
        <v>1788</v>
      </c>
      <c r="P46" s="70" t="s">
        <v>1872</v>
      </c>
      <c r="Q46" s="70" t="s">
        <v>1917</v>
      </c>
      <c r="R46" s="70"/>
      <c r="S46" s="70"/>
      <c r="T46" s="70"/>
      <c r="U46" s="70"/>
      <c r="V46" s="70"/>
      <c r="W46" s="70"/>
      <c r="X46" s="70"/>
      <c r="Y46" s="70"/>
      <c r="Z46" s="70"/>
      <c r="AA46" s="70"/>
      <c r="AB46" s="70"/>
      <c r="AC46" s="70"/>
      <c r="AD46" s="70"/>
      <c r="AE46" s="70"/>
      <c r="AF46" s="70"/>
      <c r="AG46" s="70"/>
      <c r="AH46" s="70"/>
      <c r="AI46" s="70"/>
      <c r="AJ46" s="70"/>
      <c r="AK46" s="70"/>
      <c r="AL46" s="70"/>
      <c r="AM46" s="70"/>
      <c r="AN46" s="70"/>
      <c r="AO46" s="70"/>
      <c r="AP46" s="70"/>
      <c r="AQ46" s="70"/>
      <c r="AR46" s="70"/>
      <c r="AS46" s="70"/>
      <c r="AT46" s="70"/>
      <c r="AU46" s="70"/>
      <c r="AV46" s="70"/>
      <c r="AW46" s="70"/>
      <c r="AX46" s="70"/>
      <c r="AY46" s="70"/>
      <c r="AZ46" s="70"/>
      <c r="BA46" s="70"/>
      <c r="BB46" s="70"/>
      <c r="BC46" s="70"/>
      <c r="BD46" s="70"/>
      <c r="BE46" s="70"/>
      <c r="BF46" s="70"/>
      <c r="BG46" s="70"/>
      <c r="BH46" s="70"/>
      <c r="BI46" s="70"/>
      <c r="BJ46" s="70"/>
      <c r="BK46" s="70"/>
      <c r="BL46" s="70"/>
      <c r="BM46" s="70"/>
      <c r="BN46" s="70"/>
      <c r="BO46" s="70"/>
      <c r="BP46" s="70"/>
      <c r="BQ46" s="70"/>
      <c r="BR46" s="70"/>
      <c r="BS46" s="70"/>
      <c r="BT46" s="70"/>
      <c r="BU46" s="70"/>
      <c r="BV46" s="70"/>
      <c r="BW46" s="70"/>
      <c r="BX46" s="70"/>
      <c r="BY46" s="70"/>
      <c r="BZ46" s="70"/>
      <c r="CA46" s="70"/>
      <c r="CB46" s="70"/>
      <c r="CC46" s="70"/>
      <c r="CD46" s="70"/>
      <c r="CE46" s="70"/>
      <c r="CF46" s="70"/>
      <c r="CG46" s="70"/>
      <c r="CH46" s="70"/>
      <c r="CI46" s="70"/>
      <c r="CJ46" s="70"/>
      <c r="CK46" s="70"/>
      <c r="CL46" s="70"/>
      <c r="CM46" s="70"/>
      <c r="CN46" s="70"/>
      <c r="CO46" s="70"/>
      <c r="CP46" s="70"/>
      <c r="CR46" s="173"/>
    </row>
    <row r="47" spans="1:96" x14ac:dyDescent="0.2">
      <c r="A47" s="59" t="s">
        <v>700</v>
      </c>
      <c r="B47" s="66"/>
      <c r="C47" s="66"/>
      <c r="D47" s="66"/>
      <c r="E47" s="59"/>
      <c r="F47" s="59"/>
      <c r="G47" s="59"/>
      <c r="H47" s="59"/>
      <c r="I47" s="59"/>
      <c r="J47" s="59"/>
      <c r="K47" s="59"/>
      <c r="L47" s="68">
        <f>IF(N47="","XXX",VLOOKUP(M47*10+N47,'06停留所'!$B$2:$B$9999,1,FALSE))</f>
        <v>2011</v>
      </c>
      <c r="M47" s="63">
        <f>INT(VLOOKUPLEFT(A47,'06停留所'!$B$2:$C$9999,'06停留所'!$C$2:$C$9999,1)/10)</f>
        <v>201</v>
      </c>
      <c r="N47" s="209">
        <v>1</v>
      </c>
      <c r="O47" s="69" t="s">
        <v>1788</v>
      </c>
      <c r="P47" s="70" t="s">
        <v>1873</v>
      </c>
      <c r="Q47" s="70" t="s">
        <v>1918</v>
      </c>
      <c r="R47" s="70"/>
      <c r="S47" s="70"/>
      <c r="T47" s="70"/>
      <c r="U47" s="70"/>
      <c r="V47" s="70"/>
      <c r="W47" s="70"/>
      <c r="X47" s="70"/>
      <c r="Y47" s="70"/>
      <c r="Z47" s="70"/>
      <c r="AA47" s="70"/>
      <c r="AB47" s="70"/>
      <c r="AC47" s="70"/>
      <c r="AD47" s="70"/>
      <c r="AE47" s="70"/>
      <c r="AF47" s="70"/>
      <c r="AG47" s="70"/>
      <c r="AH47" s="70"/>
      <c r="AI47" s="70"/>
      <c r="AJ47" s="70"/>
      <c r="AK47" s="70"/>
      <c r="AL47" s="70"/>
      <c r="AM47" s="70"/>
      <c r="AN47" s="70"/>
      <c r="AO47" s="70"/>
      <c r="AP47" s="70"/>
      <c r="AQ47" s="70"/>
      <c r="AR47" s="70"/>
      <c r="AS47" s="70"/>
      <c r="AT47" s="70"/>
      <c r="AU47" s="70"/>
      <c r="AV47" s="70"/>
      <c r="AW47" s="70"/>
      <c r="AX47" s="70"/>
      <c r="AY47" s="70"/>
      <c r="AZ47" s="70"/>
      <c r="BA47" s="70"/>
      <c r="BB47" s="70"/>
      <c r="BC47" s="70"/>
      <c r="BD47" s="70"/>
      <c r="BE47" s="70"/>
      <c r="BF47" s="70"/>
      <c r="BG47" s="70"/>
      <c r="BH47" s="70"/>
      <c r="BI47" s="70"/>
      <c r="BJ47" s="70"/>
      <c r="BK47" s="70"/>
      <c r="BL47" s="70"/>
      <c r="BM47" s="70"/>
      <c r="BN47" s="70"/>
      <c r="BO47" s="70"/>
      <c r="BP47" s="70"/>
      <c r="BQ47" s="70"/>
      <c r="BR47" s="70"/>
      <c r="BS47" s="70"/>
      <c r="BT47" s="70"/>
      <c r="BU47" s="70"/>
      <c r="BV47" s="70"/>
      <c r="BW47" s="70"/>
      <c r="BX47" s="70"/>
      <c r="BY47" s="70"/>
      <c r="BZ47" s="70"/>
      <c r="CA47" s="70"/>
      <c r="CB47" s="70"/>
      <c r="CC47" s="70"/>
      <c r="CD47" s="70"/>
      <c r="CE47" s="70"/>
      <c r="CF47" s="70"/>
      <c r="CG47" s="70"/>
      <c r="CH47" s="70"/>
      <c r="CI47" s="70"/>
      <c r="CJ47" s="70"/>
      <c r="CK47" s="70"/>
      <c r="CL47" s="70"/>
      <c r="CM47" s="70"/>
      <c r="CN47" s="70"/>
      <c r="CO47" s="70"/>
      <c r="CP47" s="70"/>
      <c r="CR47" s="173"/>
    </row>
    <row r="48" spans="1:96" x14ac:dyDescent="0.2">
      <c r="A48" s="59" t="s">
        <v>698</v>
      </c>
      <c r="B48" s="66"/>
      <c r="C48" s="66"/>
      <c r="D48" s="66"/>
      <c r="E48" s="59"/>
      <c r="F48" s="59"/>
      <c r="G48" s="59"/>
      <c r="H48" s="59"/>
      <c r="I48" s="59"/>
      <c r="J48" s="59"/>
      <c r="K48" s="59"/>
      <c r="L48" s="68">
        <f>IF(N48="","XXX",VLOOKUP(M48*10+N48,'06停留所'!$B$2:$B$9999,1,FALSE))</f>
        <v>2002</v>
      </c>
      <c r="M48" s="63">
        <f>INT(VLOOKUPLEFT(A48,'06停留所'!$B$2:$C$9999,'06停留所'!$C$2:$C$9999,1)/10)</f>
        <v>200</v>
      </c>
      <c r="N48" s="209">
        <v>2</v>
      </c>
      <c r="O48" s="69" t="s">
        <v>1788</v>
      </c>
      <c r="P48" s="70" t="s">
        <v>1874</v>
      </c>
      <c r="Q48" s="70" t="s">
        <v>1919</v>
      </c>
      <c r="R48" s="70"/>
      <c r="S48" s="70"/>
      <c r="T48" s="70"/>
      <c r="U48" s="70"/>
      <c r="V48" s="70"/>
      <c r="W48" s="70"/>
      <c r="X48" s="70"/>
      <c r="Y48" s="70"/>
      <c r="Z48" s="70"/>
      <c r="AA48" s="70"/>
      <c r="AB48" s="70"/>
      <c r="AC48" s="70"/>
      <c r="AD48" s="70"/>
      <c r="AE48" s="70"/>
      <c r="AF48" s="70"/>
      <c r="AG48" s="70"/>
      <c r="AH48" s="70"/>
      <c r="AI48" s="70"/>
      <c r="AJ48" s="70"/>
      <c r="AK48" s="70"/>
      <c r="AL48" s="70"/>
      <c r="AM48" s="70"/>
      <c r="AN48" s="70"/>
      <c r="AO48" s="70"/>
      <c r="AP48" s="70"/>
      <c r="AQ48" s="70"/>
      <c r="AR48" s="70"/>
      <c r="AS48" s="70"/>
      <c r="AT48" s="70"/>
      <c r="AU48" s="70"/>
      <c r="AV48" s="70"/>
      <c r="AW48" s="70"/>
      <c r="AX48" s="70"/>
      <c r="AY48" s="70"/>
      <c r="AZ48" s="70"/>
      <c r="BA48" s="70"/>
      <c r="BB48" s="70"/>
      <c r="BC48" s="70"/>
      <c r="BD48" s="70"/>
      <c r="BE48" s="70"/>
      <c r="BF48" s="70"/>
      <c r="BG48" s="70"/>
      <c r="BH48" s="70"/>
      <c r="BI48" s="70"/>
      <c r="BJ48" s="70"/>
      <c r="BK48" s="70"/>
      <c r="BL48" s="70"/>
      <c r="BM48" s="70"/>
      <c r="BN48" s="70"/>
      <c r="BO48" s="70"/>
      <c r="BP48" s="70"/>
      <c r="BQ48" s="70"/>
      <c r="BR48" s="70"/>
      <c r="BS48" s="70"/>
      <c r="BT48" s="70"/>
      <c r="BU48" s="70"/>
      <c r="BV48" s="70"/>
      <c r="BW48" s="70"/>
      <c r="BX48" s="70"/>
      <c r="BY48" s="70"/>
      <c r="BZ48" s="70"/>
      <c r="CA48" s="70"/>
      <c r="CB48" s="70"/>
      <c r="CC48" s="70"/>
      <c r="CD48" s="70"/>
      <c r="CE48" s="70"/>
      <c r="CF48" s="70"/>
      <c r="CG48" s="70"/>
      <c r="CH48" s="70"/>
      <c r="CI48" s="70"/>
      <c r="CJ48" s="70"/>
      <c r="CK48" s="70"/>
      <c r="CL48" s="70"/>
      <c r="CM48" s="70"/>
      <c r="CN48" s="70"/>
      <c r="CO48" s="70"/>
      <c r="CP48" s="70"/>
      <c r="CR48" s="173"/>
    </row>
    <row r="49" spans="1:96" x14ac:dyDescent="0.2">
      <c r="A49" s="59" t="s">
        <v>695</v>
      </c>
      <c r="B49" s="66"/>
      <c r="C49" s="66"/>
      <c r="D49" s="66"/>
      <c r="E49" s="59"/>
      <c r="F49" s="59"/>
      <c r="G49" s="59"/>
      <c r="H49" s="59"/>
      <c r="I49" s="59"/>
      <c r="J49" s="59"/>
      <c r="K49" s="59"/>
      <c r="L49" s="68">
        <f>IF(N49="","XXX",VLOOKUP(M49*10+N49,'06停留所'!$B$2:$B$9999,1,FALSE))</f>
        <v>1992</v>
      </c>
      <c r="M49" s="63">
        <f>INT(VLOOKUPLEFT(A49,'06停留所'!$B$2:$C$9999,'06停留所'!$C$2:$C$9999,1)/10)</f>
        <v>199</v>
      </c>
      <c r="N49" s="209">
        <v>2</v>
      </c>
      <c r="O49" s="69" t="s">
        <v>1788</v>
      </c>
      <c r="P49" s="70" t="s">
        <v>1875</v>
      </c>
      <c r="Q49" s="70" t="s">
        <v>1920</v>
      </c>
      <c r="R49" s="70"/>
      <c r="S49" s="70"/>
      <c r="T49" s="70"/>
      <c r="U49" s="70"/>
      <c r="V49" s="70"/>
      <c r="W49" s="70"/>
      <c r="X49" s="70"/>
      <c r="Y49" s="70"/>
      <c r="Z49" s="70"/>
      <c r="AA49" s="70"/>
      <c r="AB49" s="70"/>
      <c r="AC49" s="70"/>
      <c r="AD49" s="70"/>
      <c r="AE49" s="70"/>
      <c r="AF49" s="70"/>
      <c r="AG49" s="70"/>
      <c r="AH49" s="70"/>
      <c r="AI49" s="70"/>
      <c r="AJ49" s="70"/>
      <c r="AK49" s="70"/>
      <c r="AL49" s="70"/>
      <c r="AM49" s="70"/>
      <c r="AN49" s="70"/>
      <c r="AO49" s="70"/>
      <c r="AP49" s="70"/>
      <c r="AQ49" s="70"/>
      <c r="AR49" s="70"/>
      <c r="AS49" s="70"/>
      <c r="AT49" s="70"/>
      <c r="AU49" s="70"/>
      <c r="AV49" s="70"/>
      <c r="AW49" s="70"/>
      <c r="AX49" s="70"/>
      <c r="AY49" s="70"/>
      <c r="AZ49" s="70"/>
      <c r="BA49" s="70"/>
      <c r="BB49" s="70"/>
      <c r="BC49" s="70"/>
      <c r="BD49" s="70"/>
      <c r="BE49" s="70"/>
      <c r="BF49" s="70"/>
      <c r="BG49" s="70"/>
      <c r="BH49" s="70"/>
      <c r="BI49" s="70"/>
      <c r="BJ49" s="70"/>
      <c r="BK49" s="70"/>
      <c r="BL49" s="70"/>
      <c r="BM49" s="70"/>
      <c r="BN49" s="70"/>
      <c r="BO49" s="70"/>
      <c r="BP49" s="70"/>
      <c r="BQ49" s="70"/>
      <c r="BR49" s="70"/>
      <c r="BS49" s="70"/>
      <c r="BT49" s="70"/>
      <c r="BU49" s="70"/>
      <c r="BV49" s="70"/>
      <c r="BW49" s="70"/>
      <c r="BX49" s="70"/>
      <c r="BY49" s="70"/>
      <c r="BZ49" s="70"/>
      <c r="CA49" s="70"/>
      <c r="CB49" s="70"/>
      <c r="CC49" s="70"/>
      <c r="CD49" s="70"/>
      <c r="CE49" s="70"/>
      <c r="CF49" s="70"/>
      <c r="CG49" s="70"/>
      <c r="CH49" s="70"/>
      <c r="CI49" s="70"/>
      <c r="CJ49" s="70"/>
      <c r="CK49" s="70"/>
      <c r="CL49" s="70"/>
      <c r="CM49" s="70"/>
      <c r="CN49" s="70"/>
      <c r="CO49" s="70"/>
      <c r="CP49" s="70"/>
      <c r="CR49" s="173"/>
    </row>
    <row r="50" spans="1:96" x14ac:dyDescent="0.2">
      <c r="A50" s="59" t="s">
        <v>234</v>
      </c>
      <c r="B50" s="66"/>
      <c r="C50" s="66"/>
      <c r="D50" s="66"/>
      <c r="E50" s="59"/>
      <c r="F50" s="59"/>
      <c r="G50" s="59"/>
      <c r="H50" s="59"/>
      <c r="I50" s="59"/>
      <c r="J50" s="59"/>
      <c r="K50" s="59"/>
      <c r="L50" s="68">
        <f>IF(N50="","XXX",VLOOKUP(M50*10+N50,'06停留所'!$B$2:$B$9999,1,FALSE))</f>
        <v>51</v>
      </c>
      <c r="M50" s="63">
        <f>INT(VLOOKUPLEFT(A50,'06停留所'!$B$2:$C$9999,'06停留所'!$C$2:$C$9999,1)/10)</f>
        <v>5</v>
      </c>
      <c r="N50" s="209">
        <v>1</v>
      </c>
      <c r="O50" s="69" t="s">
        <v>1832</v>
      </c>
      <c r="P50" s="70" t="s">
        <v>1876</v>
      </c>
      <c r="Q50" s="70" t="s">
        <v>1921</v>
      </c>
      <c r="R50" s="70"/>
      <c r="S50" s="70"/>
      <c r="T50" s="70"/>
      <c r="U50" s="70"/>
      <c r="V50" s="70"/>
      <c r="W50" s="70"/>
      <c r="X50" s="70"/>
      <c r="Y50" s="70"/>
      <c r="Z50" s="70"/>
      <c r="AA50" s="70"/>
      <c r="AB50" s="70"/>
      <c r="AC50" s="70"/>
      <c r="AD50" s="70"/>
      <c r="AE50" s="70"/>
      <c r="AF50" s="70"/>
      <c r="AG50" s="70"/>
      <c r="AH50" s="70"/>
      <c r="AI50" s="70"/>
      <c r="AJ50" s="70"/>
      <c r="AK50" s="70"/>
      <c r="AL50" s="70"/>
      <c r="AM50" s="70"/>
      <c r="AN50" s="70"/>
      <c r="AO50" s="70"/>
      <c r="AP50" s="70"/>
      <c r="AQ50" s="70"/>
      <c r="AR50" s="70"/>
      <c r="AS50" s="70"/>
      <c r="AT50" s="70"/>
      <c r="AU50" s="70"/>
      <c r="AV50" s="70"/>
      <c r="AW50" s="70"/>
      <c r="AX50" s="70"/>
      <c r="AY50" s="70"/>
      <c r="AZ50" s="70"/>
      <c r="BA50" s="70"/>
      <c r="BB50" s="70"/>
      <c r="BC50" s="70"/>
      <c r="BD50" s="70"/>
      <c r="BE50" s="70"/>
      <c r="BF50" s="70"/>
      <c r="BG50" s="70"/>
      <c r="BH50" s="70"/>
      <c r="BI50" s="70"/>
      <c r="BJ50" s="70"/>
      <c r="BK50" s="70"/>
      <c r="BL50" s="70"/>
      <c r="BM50" s="70"/>
      <c r="BN50" s="70"/>
      <c r="BO50" s="70"/>
      <c r="BP50" s="70"/>
      <c r="BQ50" s="70"/>
      <c r="BR50" s="70"/>
      <c r="BS50" s="70"/>
      <c r="BT50" s="70"/>
      <c r="BU50" s="70"/>
      <c r="BV50" s="70"/>
      <c r="BW50" s="70"/>
      <c r="BX50" s="70"/>
      <c r="BY50" s="70"/>
      <c r="BZ50" s="70"/>
      <c r="CA50" s="70"/>
      <c r="CB50" s="70"/>
      <c r="CC50" s="70"/>
      <c r="CD50" s="70"/>
      <c r="CE50" s="70"/>
      <c r="CF50" s="70"/>
      <c r="CG50" s="70"/>
      <c r="CH50" s="70"/>
      <c r="CI50" s="70"/>
      <c r="CJ50" s="70"/>
      <c r="CK50" s="70"/>
      <c r="CL50" s="70"/>
      <c r="CM50" s="70"/>
      <c r="CN50" s="70"/>
      <c r="CO50" s="70"/>
      <c r="CP50" s="70"/>
      <c r="CR50" s="173"/>
    </row>
    <row r="51" spans="1:96" x14ac:dyDescent="0.2">
      <c r="A51" s="59" t="s">
        <v>240</v>
      </c>
      <c r="B51" s="66"/>
      <c r="C51" s="66"/>
      <c r="D51" s="66"/>
      <c r="E51" s="59"/>
      <c r="F51" s="59"/>
      <c r="G51" s="59"/>
      <c r="H51" s="59"/>
      <c r="I51" s="59"/>
      <c r="J51" s="59"/>
      <c r="K51" s="59"/>
      <c r="L51" s="68">
        <f>IF(N51="","XXX",VLOOKUP(M51*10+N51,'06停留所'!$B$2:$B$9999,1,FALSE))</f>
        <v>71</v>
      </c>
      <c r="M51" s="63">
        <f>INT(VLOOKUPLEFT(A51,'06停留所'!$B$2:$C$9999,'06停留所'!$C$2:$C$9999,1)/10)</f>
        <v>7</v>
      </c>
      <c r="N51" s="209">
        <v>1</v>
      </c>
      <c r="O51" s="69" t="s">
        <v>1833</v>
      </c>
      <c r="P51" s="70" t="s">
        <v>1877</v>
      </c>
      <c r="Q51" s="70" t="s">
        <v>1922</v>
      </c>
      <c r="R51" s="70"/>
      <c r="S51" s="70"/>
      <c r="T51" s="70"/>
      <c r="U51" s="70"/>
      <c r="V51" s="70"/>
      <c r="W51" s="70"/>
      <c r="X51" s="70"/>
      <c r="Y51" s="70"/>
      <c r="Z51" s="70"/>
      <c r="AA51" s="70"/>
      <c r="AB51" s="70"/>
      <c r="AC51" s="70"/>
      <c r="AD51" s="70"/>
      <c r="AE51" s="70"/>
      <c r="AF51" s="70"/>
      <c r="AG51" s="70"/>
      <c r="AH51" s="70"/>
      <c r="AI51" s="70"/>
      <c r="AJ51" s="70"/>
      <c r="AK51" s="70"/>
      <c r="AL51" s="70"/>
      <c r="AM51" s="70"/>
      <c r="AN51" s="70"/>
      <c r="AO51" s="70"/>
      <c r="AP51" s="70"/>
      <c r="AQ51" s="70"/>
      <c r="AR51" s="70"/>
      <c r="AS51" s="70"/>
      <c r="AT51" s="70"/>
      <c r="AU51" s="70"/>
      <c r="AV51" s="70"/>
      <c r="AW51" s="70"/>
      <c r="AX51" s="70"/>
      <c r="AY51" s="70"/>
      <c r="AZ51" s="70"/>
      <c r="BA51" s="70"/>
      <c r="BB51" s="70"/>
      <c r="BC51" s="70"/>
      <c r="BD51" s="70"/>
      <c r="BE51" s="70"/>
      <c r="BF51" s="70"/>
      <c r="BG51" s="70"/>
      <c r="BH51" s="70"/>
      <c r="BI51" s="70"/>
      <c r="BJ51" s="70"/>
      <c r="BK51" s="70"/>
      <c r="BL51" s="70"/>
      <c r="BM51" s="70"/>
      <c r="BN51" s="70"/>
      <c r="BO51" s="70"/>
      <c r="BP51" s="70"/>
      <c r="BQ51" s="70"/>
      <c r="BR51" s="70"/>
      <c r="BS51" s="70"/>
      <c r="BT51" s="70"/>
      <c r="BU51" s="70"/>
      <c r="BV51" s="70"/>
      <c r="BW51" s="70"/>
      <c r="BX51" s="70"/>
      <c r="BY51" s="70"/>
      <c r="BZ51" s="70"/>
      <c r="CA51" s="70"/>
      <c r="CB51" s="70"/>
      <c r="CC51" s="70"/>
      <c r="CD51" s="70"/>
      <c r="CE51" s="70"/>
      <c r="CF51" s="70"/>
      <c r="CG51" s="70"/>
      <c r="CH51" s="70"/>
      <c r="CI51" s="70"/>
      <c r="CJ51" s="70"/>
      <c r="CK51" s="70"/>
      <c r="CL51" s="70"/>
      <c r="CM51" s="70"/>
      <c r="CN51" s="70"/>
      <c r="CO51" s="70"/>
      <c r="CP51" s="70"/>
      <c r="CR51" s="173"/>
    </row>
    <row r="52" spans="1:96" x14ac:dyDescent="0.2">
      <c r="A52" s="59" t="s">
        <v>468</v>
      </c>
      <c r="B52" s="66"/>
      <c r="C52" s="66"/>
      <c r="D52" s="66"/>
      <c r="E52" s="59"/>
      <c r="F52" s="59"/>
      <c r="G52" s="59"/>
      <c r="H52" s="59"/>
      <c r="I52" s="59"/>
      <c r="J52" s="59"/>
      <c r="K52" s="59"/>
      <c r="L52" s="68">
        <f>IF(N52="","XXX",VLOOKUP(M52*10+N52,'06停留所'!$B$2:$B$9999,1,FALSE))</f>
        <v>1182</v>
      </c>
      <c r="M52" s="63">
        <f>INT(VLOOKUPLEFT(A52,'06停留所'!$B$2:$C$9999,'06停留所'!$C$2:$C$9999,1)/10)</f>
        <v>118</v>
      </c>
      <c r="N52" s="209">
        <v>2</v>
      </c>
      <c r="O52" s="69" t="s">
        <v>1834</v>
      </c>
      <c r="P52" s="70" t="s">
        <v>1878</v>
      </c>
      <c r="Q52" s="70" t="s">
        <v>1923</v>
      </c>
      <c r="R52" s="70"/>
      <c r="S52" s="70"/>
      <c r="T52" s="70"/>
      <c r="U52" s="70"/>
      <c r="V52" s="70"/>
      <c r="W52" s="70"/>
      <c r="X52" s="70"/>
      <c r="Y52" s="70"/>
      <c r="Z52" s="70"/>
      <c r="AA52" s="70"/>
      <c r="AB52" s="70"/>
      <c r="AC52" s="70"/>
      <c r="AD52" s="70"/>
      <c r="AE52" s="70"/>
      <c r="AF52" s="70"/>
      <c r="AG52" s="70"/>
      <c r="AH52" s="70"/>
      <c r="AI52" s="70"/>
      <c r="AJ52" s="70"/>
      <c r="AK52" s="70"/>
      <c r="AL52" s="70"/>
      <c r="AM52" s="70"/>
      <c r="AN52" s="70"/>
      <c r="AO52" s="70"/>
      <c r="AP52" s="70"/>
      <c r="AQ52" s="70"/>
      <c r="AR52" s="70"/>
      <c r="AS52" s="70"/>
      <c r="AT52" s="70"/>
      <c r="AU52" s="70"/>
      <c r="AV52" s="70"/>
      <c r="AW52" s="70"/>
      <c r="AX52" s="70"/>
      <c r="AY52" s="70"/>
      <c r="AZ52" s="70"/>
      <c r="BA52" s="70"/>
      <c r="BB52" s="70"/>
      <c r="BC52" s="70"/>
      <c r="BD52" s="70"/>
      <c r="BE52" s="70"/>
      <c r="BF52" s="70"/>
      <c r="BG52" s="70"/>
      <c r="BH52" s="70"/>
      <c r="BI52" s="70"/>
      <c r="BJ52" s="70"/>
      <c r="BK52" s="70"/>
      <c r="BL52" s="70"/>
      <c r="BM52" s="70"/>
      <c r="BN52" s="70"/>
      <c r="BO52" s="70"/>
      <c r="BP52" s="70"/>
      <c r="BQ52" s="70"/>
      <c r="BR52" s="70"/>
      <c r="BS52" s="70"/>
      <c r="BT52" s="70"/>
      <c r="BU52" s="70"/>
      <c r="BV52" s="70"/>
      <c r="BW52" s="70"/>
      <c r="BX52" s="70"/>
      <c r="BY52" s="70"/>
      <c r="BZ52" s="70"/>
      <c r="CA52" s="70"/>
      <c r="CB52" s="70"/>
      <c r="CC52" s="70"/>
      <c r="CD52" s="70"/>
      <c r="CE52" s="70"/>
      <c r="CF52" s="70"/>
      <c r="CG52" s="70"/>
      <c r="CH52" s="70"/>
      <c r="CI52" s="70"/>
      <c r="CJ52" s="70"/>
      <c r="CK52" s="70"/>
      <c r="CL52" s="70"/>
      <c r="CM52" s="70"/>
      <c r="CN52" s="70"/>
      <c r="CO52" s="70"/>
      <c r="CP52" s="70"/>
      <c r="CR52" s="173"/>
    </row>
    <row r="53" spans="1:96" x14ac:dyDescent="0.2">
      <c r="A53" s="59" t="s">
        <v>709</v>
      </c>
      <c r="B53" s="66"/>
      <c r="C53" s="66"/>
      <c r="D53" s="66"/>
      <c r="E53" s="59"/>
      <c r="F53" s="59"/>
      <c r="G53" s="59"/>
      <c r="H53" s="59"/>
      <c r="I53" s="59"/>
      <c r="J53" s="59"/>
      <c r="K53" s="59"/>
      <c r="L53" s="68">
        <f>IF(N53="","XXX",VLOOKUP(M53*10+N53,'06停留所'!$B$2:$B$9999,1,FALSE))</f>
        <v>2041</v>
      </c>
      <c r="M53" s="63">
        <f>INT(VLOOKUPLEFT(A53,'06停留所'!$B$2:$C$9999,'06停留所'!$C$2:$C$9999,1)/10)</f>
        <v>204</v>
      </c>
      <c r="N53" s="209">
        <v>1</v>
      </c>
      <c r="O53" s="69" t="s">
        <v>1835</v>
      </c>
      <c r="P53" s="70" t="s">
        <v>1879</v>
      </c>
      <c r="Q53" s="70" t="s">
        <v>1924</v>
      </c>
      <c r="R53" s="70"/>
      <c r="S53" s="70"/>
      <c r="T53" s="70"/>
      <c r="U53" s="70"/>
      <c r="V53" s="70"/>
      <c r="W53" s="70"/>
      <c r="X53" s="70"/>
      <c r="Y53" s="70"/>
      <c r="Z53" s="70"/>
      <c r="AA53" s="70"/>
      <c r="AB53" s="70"/>
      <c r="AC53" s="70"/>
      <c r="AD53" s="70"/>
      <c r="AE53" s="70"/>
      <c r="AF53" s="70"/>
      <c r="AG53" s="70"/>
      <c r="AH53" s="70"/>
      <c r="AI53" s="70"/>
      <c r="AJ53" s="70"/>
      <c r="AK53" s="70"/>
      <c r="AL53" s="70"/>
      <c r="AM53" s="70"/>
      <c r="AN53" s="70"/>
      <c r="AO53" s="70"/>
      <c r="AP53" s="70"/>
      <c r="AQ53" s="70"/>
      <c r="AR53" s="70"/>
      <c r="AS53" s="70"/>
      <c r="AT53" s="70"/>
      <c r="AU53" s="70"/>
      <c r="AV53" s="70"/>
      <c r="AW53" s="70"/>
      <c r="AX53" s="70"/>
      <c r="AY53" s="70"/>
      <c r="AZ53" s="70"/>
      <c r="BA53" s="70"/>
      <c r="BB53" s="70"/>
      <c r="BC53" s="70"/>
      <c r="BD53" s="70"/>
      <c r="BE53" s="70"/>
      <c r="BF53" s="70"/>
      <c r="BG53" s="70"/>
      <c r="BH53" s="70"/>
      <c r="BI53" s="70"/>
      <c r="BJ53" s="70"/>
      <c r="BK53" s="70"/>
      <c r="BL53" s="70"/>
      <c r="BM53" s="70"/>
      <c r="BN53" s="70"/>
      <c r="BO53" s="70"/>
      <c r="BP53" s="70"/>
      <c r="BQ53" s="70"/>
      <c r="BR53" s="70"/>
      <c r="BS53" s="70"/>
      <c r="BT53" s="70"/>
      <c r="BU53" s="70"/>
      <c r="BV53" s="70"/>
      <c r="BW53" s="70"/>
      <c r="BX53" s="70"/>
      <c r="BY53" s="70"/>
      <c r="BZ53" s="70"/>
      <c r="CA53" s="70"/>
      <c r="CB53" s="70"/>
      <c r="CC53" s="70"/>
      <c r="CD53" s="70"/>
      <c r="CE53" s="70"/>
      <c r="CF53" s="70"/>
      <c r="CG53" s="70"/>
      <c r="CH53" s="70"/>
      <c r="CI53" s="70"/>
      <c r="CJ53" s="70"/>
      <c r="CK53" s="70"/>
      <c r="CL53" s="70"/>
      <c r="CM53" s="70"/>
      <c r="CN53" s="70"/>
      <c r="CO53" s="70"/>
      <c r="CP53" s="70"/>
      <c r="CR53" s="173"/>
    </row>
    <row r="54" spans="1:96" x14ac:dyDescent="0.2">
      <c r="A54" s="59" t="s">
        <v>255</v>
      </c>
      <c r="B54" s="66"/>
      <c r="C54" s="66"/>
      <c r="D54" s="66"/>
      <c r="E54" s="59"/>
      <c r="F54" s="59"/>
      <c r="G54" s="59"/>
      <c r="H54" s="59"/>
      <c r="I54" s="59"/>
      <c r="J54" s="59"/>
      <c r="K54" s="59"/>
      <c r="L54" s="68">
        <f>IF(N54="","XXX",VLOOKUP(M54*10+N54,'06停留所'!$B$2:$B$9999,1,FALSE))</f>
        <v>123</v>
      </c>
      <c r="M54" s="63">
        <f>INT(VLOOKUPLEFT(A54,'06停留所'!$B$2:$C$9999,'06停留所'!$C$2:$C$9999,1)/10)</f>
        <v>12</v>
      </c>
      <c r="N54" s="209">
        <v>3</v>
      </c>
      <c r="O54" s="69" t="s">
        <v>1836</v>
      </c>
      <c r="P54" s="70" t="s">
        <v>1880</v>
      </c>
      <c r="Q54" s="70" t="s">
        <v>1925</v>
      </c>
      <c r="R54" s="70"/>
      <c r="S54" s="70"/>
      <c r="T54" s="70"/>
      <c r="U54" s="70"/>
      <c r="V54" s="70"/>
      <c r="W54" s="70"/>
      <c r="X54" s="70"/>
      <c r="Y54" s="70"/>
      <c r="Z54" s="70"/>
      <c r="AA54" s="70"/>
      <c r="AB54" s="70"/>
      <c r="AC54" s="70"/>
      <c r="AD54" s="70"/>
      <c r="AE54" s="70"/>
      <c r="AF54" s="70"/>
      <c r="AG54" s="70"/>
      <c r="AH54" s="70"/>
      <c r="AI54" s="70"/>
      <c r="AJ54" s="70"/>
      <c r="AK54" s="70"/>
      <c r="AL54" s="70"/>
      <c r="AM54" s="70"/>
      <c r="AN54" s="70"/>
      <c r="AO54" s="70"/>
      <c r="AP54" s="70"/>
      <c r="AQ54" s="70"/>
      <c r="AR54" s="70"/>
      <c r="AS54" s="70"/>
      <c r="AT54" s="70"/>
      <c r="AU54" s="70"/>
      <c r="AV54" s="70"/>
      <c r="AW54" s="70"/>
      <c r="AX54" s="70"/>
      <c r="AY54" s="70"/>
      <c r="AZ54" s="70"/>
      <c r="BA54" s="70"/>
      <c r="BB54" s="70"/>
      <c r="BC54" s="70"/>
      <c r="BD54" s="70"/>
      <c r="BE54" s="70"/>
      <c r="BF54" s="70"/>
      <c r="BG54" s="70"/>
      <c r="BH54" s="70"/>
      <c r="BI54" s="70"/>
      <c r="BJ54" s="70"/>
      <c r="BK54" s="70"/>
      <c r="BL54" s="70"/>
      <c r="BM54" s="70"/>
      <c r="BN54" s="70"/>
      <c r="BO54" s="70"/>
      <c r="BP54" s="70"/>
      <c r="BQ54" s="70"/>
      <c r="BR54" s="70"/>
      <c r="BS54" s="70"/>
      <c r="BT54" s="70"/>
      <c r="BU54" s="70"/>
      <c r="BV54" s="70"/>
      <c r="BW54" s="70"/>
      <c r="BX54" s="70"/>
      <c r="BY54" s="70"/>
      <c r="BZ54" s="70"/>
      <c r="CA54" s="70"/>
      <c r="CB54" s="70"/>
      <c r="CC54" s="70"/>
      <c r="CD54" s="70"/>
      <c r="CE54" s="70"/>
      <c r="CF54" s="70"/>
      <c r="CG54" s="70"/>
      <c r="CH54" s="70"/>
      <c r="CI54" s="70"/>
      <c r="CJ54" s="70"/>
      <c r="CK54" s="70"/>
      <c r="CL54" s="70"/>
      <c r="CM54" s="70"/>
      <c r="CN54" s="70"/>
      <c r="CO54" s="70"/>
      <c r="CP54" s="70"/>
      <c r="CR54" s="173"/>
    </row>
    <row r="55" spans="1:96" x14ac:dyDescent="0.2">
      <c r="A55" s="59"/>
      <c r="B55" s="66"/>
      <c r="C55" s="66"/>
      <c r="D55" s="66"/>
      <c r="E55" s="59"/>
      <c r="F55" s="59"/>
      <c r="G55" s="59"/>
      <c r="H55" s="59"/>
      <c r="I55" s="59"/>
      <c r="J55" s="59"/>
      <c r="K55" s="59"/>
      <c r="L55" s="68"/>
      <c r="M55" s="63"/>
      <c r="N55" s="59"/>
      <c r="O55" s="69"/>
      <c r="P55" s="70"/>
      <c r="Q55" s="70"/>
      <c r="R55" s="70"/>
      <c r="S55" s="70"/>
      <c r="T55" s="70"/>
      <c r="U55" s="70"/>
      <c r="V55" s="70"/>
      <c r="W55" s="70"/>
      <c r="X55" s="70"/>
      <c r="Y55" s="70"/>
      <c r="Z55" s="70"/>
      <c r="AA55" s="70"/>
      <c r="AB55" s="70"/>
      <c r="AC55" s="70"/>
      <c r="AD55" s="70"/>
      <c r="AE55" s="70"/>
      <c r="AF55" s="70"/>
      <c r="AG55" s="70"/>
      <c r="AH55" s="70"/>
      <c r="AI55" s="70"/>
      <c r="AJ55" s="70"/>
      <c r="AK55" s="70"/>
      <c r="AL55" s="70"/>
      <c r="AM55" s="70"/>
      <c r="AN55" s="70"/>
      <c r="AO55" s="70"/>
      <c r="AP55" s="70"/>
      <c r="AQ55" s="70"/>
      <c r="AR55" s="70"/>
      <c r="AS55" s="70"/>
      <c r="AT55" s="70"/>
      <c r="AU55" s="70"/>
      <c r="AV55" s="70"/>
      <c r="AW55" s="70"/>
      <c r="AX55" s="70"/>
      <c r="AY55" s="70"/>
      <c r="AZ55" s="70"/>
      <c r="BA55" s="70"/>
      <c r="BB55" s="70"/>
      <c r="BC55" s="70"/>
      <c r="BD55" s="70"/>
      <c r="BE55" s="70"/>
      <c r="BF55" s="70"/>
      <c r="BG55" s="70"/>
      <c r="BH55" s="70"/>
      <c r="BI55" s="70"/>
      <c r="BJ55" s="70"/>
      <c r="BK55" s="70"/>
      <c r="BL55" s="70"/>
      <c r="BM55" s="70"/>
      <c r="BN55" s="70"/>
      <c r="BO55" s="70"/>
      <c r="BP55" s="70"/>
      <c r="BQ55" s="70"/>
      <c r="BR55" s="70"/>
      <c r="BS55" s="70"/>
      <c r="BT55" s="70"/>
      <c r="BU55" s="70"/>
      <c r="BV55" s="70"/>
      <c r="BW55" s="70"/>
      <c r="BX55" s="70"/>
      <c r="BY55" s="70"/>
      <c r="BZ55" s="70"/>
      <c r="CA55" s="70"/>
      <c r="CB55" s="70"/>
      <c r="CC55" s="70"/>
      <c r="CD55" s="70"/>
      <c r="CE55" s="70"/>
      <c r="CF55" s="70"/>
      <c r="CG55" s="70"/>
      <c r="CH55" s="70"/>
      <c r="CI55" s="70"/>
      <c r="CJ55" s="70"/>
      <c r="CK55" s="70"/>
      <c r="CL55" s="70"/>
      <c r="CM55" s="70"/>
      <c r="CN55" s="70"/>
      <c r="CO55" s="70"/>
      <c r="CP55" s="70"/>
      <c r="CR55" s="173"/>
    </row>
    <row r="56" spans="1:96" x14ac:dyDescent="0.2">
      <c r="A56" s="59"/>
      <c r="B56" s="66"/>
      <c r="C56" s="66"/>
      <c r="D56" s="66"/>
      <c r="E56" s="59"/>
      <c r="F56" s="59"/>
      <c r="G56" s="59"/>
      <c r="H56" s="59"/>
      <c r="I56" s="59"/>
      <c r="J56" s="59"/>
      <c r="K56" s="59"/>
      <c r="L56" s="68"/>
      <c r="M56" s="63"/>
      <c r="N56" s="59"/>
      <c r="O56" s="69"/>
      <c r="P56" s="70"/>
      <c r="Q56" s="70"/>
      <c r="R56" s="70"/>
      <c r="S56" s="70"/>
      <c r="T56" s="70"/>
      <c r="U56" s="70"/>
      <c r="V56" s="70"/>
      <c r="W56" s="70"/>
      <c r="X56" s="70"/>
      <c r="Y56" s="70"/>
      <c r="Z56" s="70"/>
      <c r="AA56" s="70"/>
      <c r="AB56" s="70"/>
      <c r="AC56" s="70"/>
      <c r="AD56" s="70"/>
      <c r="AE56" s="70"/>
      <c r="AF56" s="70"/>
      <c r="AG56" s="70"/>
      <c r="AH56" s="70"/>
      <c r="AI56" s="70"/>
      <c r="AJ56" s="70"/>
      <c r="AK56" s="70"/>
      <c r="AL56" s="70"/>
      <c r="AM56" s="70"/>
      <c r="AN56" s="70"/>
      <c r="AO56" s="70"/>
      <c r="AP56" s="70"/>
      <c r="AQ56" s="70"/>
      <c r="AR56" s="70"/>
      <c r="AS56" s="70"/>
      <c r="AT56" s="70"/>
      <c r="AU56" s="70"/>
      <c r="AV56" s="70"/>
      <c r="AW56" s="70"/>
      <c r="AX56" s="70"/>
      <c r="AY56" s="70"/>
      <c r="AZ56" s="70"/>
      <c r="BA56" s="70"/>
      <c r="BB56" s="70"/>
      <c r="BC56" s="70"/>
      <c r="BD56" s="70"/>
      <c r="BE56" s="70"/>
      <c r="BF56" s="70"/>
      <c r="BG56" s="70"/>
      <c r="BH56" s="70"/>
      <c r="BI56" s="70"/>
      <c r="BJ56" s="70"/>
      <c r="BK56" s="70"/>
      <c r="BL56" s="70"/>
      <c r="BM56" s="70"/>
      <c r="BN56" s="70"/>
      <c r="BO56" s="70"/>
      <c r="BP56" s="70"/>
      <c r="BQ56" s="70"/>
      <c r="BR56" s="70"/>
      <c r="BS56" s="70"/>
      <c r="BT56" s="70"/>
      <c r="BU56" s="70"/>
      <c r="BV56" s="70"/>
      <c r="BW56" s="70"/>
      <c r="BX56" s="70"/>
      <c r="BY56" s="70"/>
      <c r="BZ56" s="70"/>
      <c r="CA56" s="70"/>
      <c r="CB56" s="70"/>
      <c r="CC56" s="70"/>
      <c r="CD56" s="70"/>
      <c r="CE56" s="70"/>
      <c r="CF56" s="70"/>
      <c r="CG56" s="70"/>
      <c r="CH56" s="70"/>
      <c r="CI56" s="70"/>
      <c r="CJ56" s="70"/>
      <c r="CK56" s="70"/>
      <c r="CL56" s="70"/>
      <c r="CM56" s="70"/>
      <c r="CN56" s="70"/>
      <c r="CO56" s="70"/>
      <c r="CP56" s="70"/>
      <c r="CR56" s="173"/>
    </row>
    <row r="57" spans="1:96" x14ac:dyDescent="0.2">
      <c r="A57" s="59"/>
      <c r="B57" s="66"/>
      <c r="C57" s="66"/>
      <c r="D57" s="66"/>
      <c r="E57" s="59"/>
      <c r="F57" s="59"/>
      <c r="G57" s="59"/>
      <c r="H57" s="59"/>
      <c r="I57" s="59"/>
      <c r="J57" s="59"/>
      <c r="K57" s="59"/>
      <c r="L57" s="68"/>
      <c r="M57" s="63"/>
      <c r="N57" s="59"/>
      <c r="O57" s="69"/>
      <c r="P57" s="70"/>
      <c r="Q57" s="70"/>
      <c r="R57" s="70"/>
      <c r="S57" s="70"/>
      <c r="T57" s="70"/>
      <c r="U57" s="70"/>
      <c r="V57" s="70"/>
      <c r="W57" s="70"/>
      <c r="X57" s="70"/>
      <c r="Y57" s="70"/>
      <c r="Z57" s="70"/>
      <c r="AA57" s="70"/>
      <c r="AB57" s="70"/>
      <c r="AC57" s="70"/>
      <c r="AD57" s="70"/>
      <c r="AE57" s="70"/>
      <c r="AF57" s="70"/>
      <c r="AG57" s="70"/>
      <c r="AH57" s="70"/>
      <c r="AI57" s="70"/>
      <c r="AJ57" s="70"/>
      <c r="AK57" s="70"/>
      <c r="AL57" s="70"/>
      <c r="AM57" s="70"/>
      <c r="AN57" s="70"/>
      <c r="AO57" s="70"/>
      <c r="AP57" s="70"/>
      <c r="AQ57" s="70"/>
      <c r="AR57" s="70"/>
      <c r="AS57" s="70"/>
      <c r="AT57" s="70"/>
      <c r="AU57" s="70"/>
      <c r="AV57" s="70"/>
      <c r="AW57" s="70"/>
      <c r="AX57" s="70"/>
      <c r="AY57" s="70"/>
      <c r="AZ57" s="70"/>
      <c r="BA57" s="70"/>
      <c r="BB57" s="70"/>
      <c r="BC57" s="70"/>
      <c r="BD57" s="70"/>
      <c r="BE57" s="70"/>
      <c r="BF57" s="70"/>
      <c r="BG57" s="70"/>
      <c r="BH57" s="70"/>
      <c r="BI57" s="70"/>
      <c r="BJ57" s="70"/>
      <c r="BK57" s="70"/>
      <c r="BL57" s="70"/>
      <c r="BM57" s="70"/>
      <c r="BN57" s="70"/>
      <c r="BO57" s="70"/>
      <c r="BP57" s="70"/>
      <c r="BQ57" s="70"/>
      <c r="BR57" s="70"/>
      <c r="BS57" s="70"/>
      <c r="BT57" s="70"/>
      <c r="BU57" s="70"/>
      <c r="BV57" s="70"/>
      <c r="BW57" s="70"/>
      <c r="BX57" s="70"/>
      <c r="BY57" s="70"/>
      <c r="BZ57" s="70"/>
      <c r="CA57" s="70"/>
      <c r="CB57" s="70"/>
      <c r="CC57" s="70"/>
      <c r="CD57" s="70"/>
      <c r="CE57" s="70"/>
      <c r="CF57" s="70"/>
      <c r="CG57" s="70"/>
      <c r="CH57" s="70"/>
      <c r="CI57" s="70"/>
      <c r="CJ57" s="70"/>
      <c r="CK57" s="70"/>
      <c r="CL57" s="70"/>
      <c r="CM57" s="70"/>
      <c r="CN57" s="70"/>
      <c r="CO57" s="70"/>
      <c r="CP57" s="70"/>
      <c r="CR57" s="173"/>
    </row>
    <row r="58" spans="1:96" x14ac:dyDescent="0.2">
      <c r="A58" s="59"/>
      <c r="B58" s="66"/>
      <c r="C58" s="66"/>
      <c r="D58" s="66"/>
      <c r="E58" s="59"/>
      <c r="F58" s="59"/>
      <c r="G58" s="59"/>
      <c r="H58" s="59"/>
      <c r="I58" s="59"/>
      <c r="J58" s="59"/>
      <c r="K58" s="59"/>
      <c r="L58" s="68"/>
      <c r="M58" s="63"/>
      <c r="N58" s="59"/>
      <c r="O58" s="69"/>
      <c r="P58" s="70"/>
      <c r="Q58" s="70"/>
      <c r="R58" s="70"/>
      <c r="S58" s="70"/>
      <c r="T58" s="70"/>
      <c r="U58" s="70"/>
      <c r="V58" s="70"/>
      <c r="W58" s="70"/>
      <c r="X58" s="70"/>
      <c r="Y58" s="70"/>
      <c r="Z58" s="70"/>
      <c r="AA58" s="70"/>
      <c r="AB58" s="70"/>
      <c r="AC58" s="70"/>
      <c r="AD58" s="70"/>
      <c r="AE58" s="70"/>
      <c r="AF58" s="70"/>
      <c r="AG58" s="70"/>
      <c r="AH58" s="70"/>
      <c r="AI58" s="70"/>
      <c r="AJ58" s="70"/>
      <c r="AK58" s="70"/>
      <c r="AL58" s="70"/>
      <c r="AM58" s="70"/>
      <c r="AN58" s="70"/>
      <c r="AO58" s="70"/>
      <c r="AP58" s="70"/>
      <c r="AQ58" s="70"/>
      <c r="AR58" s="70"/>
      <c r="AS58" s="70"/>
      <c r="AT58" s="70"/>
      <c r="AU58" s="70"/>
      <c r="AV58" s="70"/>
      <c r="AW58" s="70"/>
      <c r="AX58" s="70"/>
      <c r="AY58" s="70"/>
      <c r="AZ58" s="70"/>
      <c r="BA58" s="70"/>
      <c r="BB58" s="70"/>
      <c r="BC58" s="70"/>
      <c r="BD58" s="70"/>
      <c r="BE58" s="70"/>
      <c r="BF58" s="70"/>
      <c r="BG58" s="70"/>
      <c r="BH58" s="70"/>
      <c r="BI58" s="70"/>
      <c r="BJ58" s="70"/>
      <c r="BK58" s="70"/>
      <c r="BL58" s="70"/>
      <c r="BM58" s="70"/>
      <c r="BN58" s="70"/>
      <c r="BO58" s="70"/>
      <c r="BP58" s="70"/>
      <c r="BQ58" s="70"/>
      <c r="BR58" s="70"/>
      <c r="BS58" s="70"/>
      <c r="BT58" s="70"/>
      <c r="BU58" s="70"/>
      <c r="BV58" s="70"/>
      <c r="BW58" s="70"/>
      <c r="BX58" s="70"/>
      <c r="BY58" s="70"/>
      <c r="BZ58" s="70"/>
      <c r="CA58" s="70"/>
      <c r="CB58" s="70"/>
      <c r="CC58" s="70"/>
      <c r="CD58" s="70"/>
      <c r="CE58" s="70"/>
      <c r="CF58" s="70"/>
      <c r="CG58" s="70"/>
      <c r="CH58" s="70"/>
      <c r="CI58" s="70"/>
      <c r="CJ58" s="70"/>
      <c r="CK58" s="70"/>
      <c r="CL58" s="70"/>
      <c r="CM58" s="70"/>
      <c r="CN58" s="70"/>
      <c r="CO58" s="70"/>
      <c r="CP58" s="70"/>
      <c r="CR58" s="173"/>
    </row>
    <row r="59" spans="1:96" x14ac:dyDescent="0.2">
      <c r="A59" s="59"/>
      <c r="B59" s="66"/>
      <c r="C59" s="66"/>
      <c r="D59" s="66"/>
      <c r="E59" s="59"/>
      <c r="F59" s="59"/>
      <c r="G59" s="59"/>
      <c r="H59" s="59"/>
      <c r="I59" s="59"/>
      <c r="J59" s="59"/>
      <c r="K59" s="59"/>
      <c r="L59" s="68"/>
      <c r="M59" s="63"/>
      <c r="N59" s="59"/>
      <c r="O59" s="69"/>
      <c r="P59" s="70"/>
      <c r="Q59" s="70"/>
      <c r="R59" s="70"/>
      <c r="S59" s="70"/>
      <c r="T59" s="70"/>
      <c r="U59" s="70"/>
      <c r="V59" s="70"/>
      <c r="W59" s="70"/>
      <c r="X59" s="70"/>
      <c r="Y59" s="70"/>
      <c r="Z59" s="70"/>
      <c r="AA59" s="70"/>
      <c r="AB59" s="70"/>
      <c r="AC59" s="70"/>
      <c r="AD59" s="70"/>
      <c r="AE59" s="70"/>
      <c r="AF59" s="70"/>
      <c r="AG59" s="70"/>
      <c r="AH59" s="70"/>
      <c r="AI59" s="70"/>
      <c r="AJ59" s="70"/>
      <c r="AK59" s="70"/>
      <c r="AL59" s="70"/>
      <c r="AM59" s="70"/>
      <c r="AN59" s="70"/>
      <c r="AO59" s="70"/>
      <c r="AP59" s="70"/>
      <c r="AQ59" s="70"/>
      <c r="AR59" s="70"/>
      <c r="AS59" s="70"/>
      <c r="AT59" s="70"/>
      <c r="AU59" s="70"/>
      <c r="AV59" s="70"/>
      <c r="AW59" s="70"/>
      <c r="AX59" s="70"/>
      <c r="AY59" s="70"/>
      <c r="AZ59" s="70"/>
      <c r="BA59" s="70"/>
      <c r="BB59" s="70"/>
      <c r="BC59" s="70"/>
      <c r="BD59" s="70"/>
      <c r="BE59" s="70"/>
      <c r="BF59" s="70"/>
      <c r="BG59" s="70"/>
      <c r="BH59" s="70"/>
      <c r="BI59" s="70"/>
      <c r="BJ59" s="70"/>
      <c r="BK59" s="70"/>
      <c r="BL59" s="70"/>
      <c r="BM59" s="70"/>
      <c r="BN59" s="70"/>
      <c r="BO59" s="70"/>
      <c r="BP59" s="70"/>
      <c r="BQ59" s="70"/>
      <c r="BR59" s="70"/>
      <c r="BS59" s="70"/>
      <c r="BT59" s="70"/>
      <c r="BU59" s="70"/>
      <c r="BV59" s="70"/>
      <c r="BW59" s="70"/>
      <c r="BX59" s="70"/>
      <c r="BY59" s="70"/>
      <c r="BZ59" s="70"/>
      <c r="CA59" s="70"/>
      <c r="CB59" s="70"/>
      <c r="CC59" s="70"/>
      <c r="CD59" s="70"/>
      <c r="CE59" s="70"/>
      <c r="CF59" s="70"/>
      <c r="CG59" s="70"/>
      <c r="CH59" s="70"/>
      <c r="CI59" s="70"/>
      <c r="CJ59" s="70"/>
      <c r="CK59" s="70"/>
      <c r="CL59" s="70"/>
      <c r="CM59" s="70"/>
      <c r="CN59" s="70"/>
      <c r="CO59" s="70"/>
      <c r="CP59" s="70"/>
      <c r="CR59" s="173"/>
    </row>
    <row r="60" spans="1:96" x14ac:dyDescent="0.2">
      <c r="A60" s="59"/>
      <c r="B60" s="66"/>
      <c r="C60" s="66"/>
      <c r="D60" s="66"/>
      <c r="E60" s="59"/>
      <c r="F60" s="59"/>
      <c r="G60" s="59"/>
      <c r="H60" s="59"/>
      <c r="I60" s="59"/>
      <c r="J60" s="59"/>
      <c r="K60" s="59"/>
      <c r="L60" s="68"/>
      <c r="M60" s="63"/>
      <c r="N60" s="59"/>
      <c r="O60" s="69"/>
      <c r="P60" s="70"/>
      <c r="Q60" s="70"/>
      <c r="R60" s="70"/>
      <c r="S60" s="70"/>
      <c r="T60" s="70"/>
      <c r="U60" s="70"/>
      <c r="V60" s="70"/>
      <c r="W60" s="70"/>
      <c r="X60" s="70"/>
      <c r="Y60" s="70"/>
      <c r="Z60" s="70"/>
      <c r="AA60" s="70"/>
      <c r="AB60" s="70"/>
      <c r="AC60" s="70"/>
      <c r="AD60" s="70"/>
      <c r="AE60" s="70"/>
      <c r="AF60" s="70"/>
      <c r="AG60" s="70"/>
      <c r="AH60" s="70"/>
      <c r="AI60" s="70"/>
      <c r="AJ60" s="70"/>
      <c r="AK60" s="70"/>
      <c r="AL60" s="70"/>
      <c r="AM60" s="70"/>
      <c r="AN60" s="70"/>
      <c r="AO60" s="70"/>
      <c r="AP60" s="70"/>
      <c r="AQ60" s="70"/>
      <c r="AR60" s="70"/>
      <c r="AS60" s="70"/>
      <c r="AT60" s="70"/>
      <c r="AU60" s="70"/>
      <c r="AV60" s="70"/>
      <c r="AW60" s="70"/>
      <c r="AX60" s="70"/>
      <c r="AY60" s="70"/>
      <c r="AZ60" s="70"/>
      <c r="BA60" s="70"/>
      <c r="BB60" s="70"/>
      <c r="BC60" s="70"/>
      <c r="BD60" s="70"/>
      <c r="BE60" s="70"/>
      <c r="BF60" s="70"/>
      <c r="BG60" s="70"/>
      <c r="BH60" s="70"/>
      <c r="BI60" s="70"/>
      <c r="BJ60" s="70"/>
      <c r="BK60" s="70"/>
      <c r="BL60" s="70"/>
      <c r="BM60" s="70"/>
      <c r="BN60" s="70"/>
      <c r="BO60" s="70"/>
      <c r="BP60" s="70"/>
      <c r="BQ60" s="70"/>
      <c r="BR60" s="70"/>
      <c r="BS60" s="70"/>
      <c r="BT60" s="70"/>
      <c r="BU60" s="70"/>
      <c r="BV60" s="70"/>
      <c r="BW60" s="70"/>
      <c r="BX60" s="70"/>
      <c r="BY60" s="70"/>
      <c r="BZ60" s="70"/>
      <c r="CA60" s="70"/>
      <c r="CB60" s="70"/>
      <c r="CC60" s="70"/>
      <c r="CD60" s="70"/>
      <c r="CE60" s="70"/>
      <c r="CF60" s="70"/>
      <c r="CG60" s="70"/>
      <c r="CH60" s="70"/>
      <c r="CI60" s="70"/>
      <c r="CJ60" s="70"/>
      <c r="CK60" s="70"/>
      <c r="CL60" s="70"/>
      <c r="CM60" s="70"/>
      <c r="CN60" s="70"/>
      <c r="CO60" s="70"/>
      <c r="CP60" s="70"/>
      <c r="CR60" s="173"/>
    </row>
    <row r="61" spans="1:96" x14ac:dyDescent="0.2">
      <c r="A61" s="59"/>
      <c r="B61" s="66"/>
      <c r="C61" s="66"/>
      <c r="D61" s="66"/>
      <c r="E61" s="59"/>
      <c r="F61" s="59"/>
      <c r="G61" s="59"/>
      <c r="H61" s="59"/>
      <c r="I61" s="59"/>
      <c r="J61" s="59"/>
      <c r="K61" s="59"/>
      <c r="L61" s="68"/>
      <c r="M61" s="63"/>
      <c r="N61" s="59"/>
      <c r="O61" s="69"/>
      <c r="P61" s="70"/>
      <c r="Q61" s="70"/>
      <c r="R61" s="70"/>
      <c r="S61" s="70"/>
      <c r="T61" s="70"/>
      <c r="U61" s="70"/>
      <c r="V61" s="70"/>
      <c r="W61" s="70"/>
      <c r="X61" s="70"/>
      <c r="Y61" s="70"/>
      <c r="Z61" s="70"/>
      <c r="AA61" s="70"/>
      <c r="AB61" s="70"/>
      <c r="AC61" s="70"/>
      <c r="AD61" s="70"/>
      <c r="AE61" s="70"/>
      <c r="AF61" s="70"/>
      <c r="AG61" s="70"/>
      <c r="AH61" s="70"/>
      <c r="AI61" s="70"/>
      <c r="AJ61" s="70"/>
      <c r="AK61" s="70"/>
      <c r="AL61" s="70"/>
      <c r="AM61" s="70"/>
      <c r="AN61" s="70"/>
      <c r="AO61" s="70"/>
      <c r="AP61" s="70"/>
      <c r="AQ61" s="70"/>
      <c r="AR61" s="70"/>
      <c r="AS61" s="70"/>
      <c r="AT61" s="70"/>
      <c r="AU61" s="70"/>
      <c r="AV61" s="70"/>
      <c r="AW61" s="70"/>
      <c r="AX61" s="70"/>
      <c r="AY61" s="70"/>
      <c r="AZ61" s="70"/>
      <c r="BA61" s="70"/>
      <c r="BB61" s="70"/>
      <c r="BC61" s="70"/>
      <c r="BD61" s="70"/>
      <c r="BE61" s="70"/>
      <c r="BF61" s="70"/>
      <c r="BG61" s="70"/>
      <c r="BH61" s="70"/>
      <c r="BI61" s="70"/>
      <c r="BJ61" s="70"/>
      <c r="BK61" s="70"/>
      <c r="BL61" s="70"/>
      <c r="BM61" s="70"/>
      <c r="BN61" s="70"/>
      <c r="BO61" s="70"/>
      <c r="BP61" s="70"/>
      <c r="BQ61" s="70"/>
      <c r="BR61" s="70"/>
      <c r="BS61" s="70"/>
      <c r="BT61" s="70"/>
      <c r="BU61" s="70"/>
      <c r="BV61" s="70"/>
      <c r="BW61" s="70"/>
      <c r="BX61" s="70"/>
      <c r="BY61" s="70"/>
      <c r="BZ61" s="70"/>
      <c r="CA61" s="70"/>
      <c r="CB61" s="70"/>
      <c r="CC61" s="70"/>
      <c r="CD61" s="70"/>
      <c r="CE61" s="70"/>
      <c r="CF61" s="70"/>
      <c r="CG61" s="70"/>
      <c r="CH61" s="70"/>
      <c r="CI61" s="70"/>
      <c r="CJ61" s="70"/>
      <c r="CK61" s="70"/>
      <c r="CL61" s="70"/>
      <c r="CM61" s="70"/>
      <c r="CN61" s="70"/>
      <c r="CO61" s="70"/>
      <c r="CP61" s="70"/>
      <c r="CR61" s="173"/>
    </row>
    <row r="62" spans="1:96" x14ac:dyDescent="0.2">
      <c r="A62" s="59"/>
      <c r="B62" s="66"/>
      <c r="C62" s="66"/>
      <c r="D62" s="66"/>
      <c r="E62" s="59"/>
      <c r="F62" s="59"/>
      <c r="G62" s="59"/>
      <c r="H62" s="59"/>
      <c r="I62" s="59"/>
      <c r="J62" s="59"/>
      <c r="K62" s="59"/>
      <c r="L62" s="68"/>
      <c r="M62" s="63"/>
      <c r="N62" s="59"/>
      <c r="O62" s="69"/>
      <c r="P62" s="70"/>
      <c r="Q62" s="70"/>
      <c r="R62" s="70"/>
      <c r="S62" s="70"/>
      <c r="T62" s="70"/>
      <c r="U62" s="70"/>
      <c r="V62" s="70"/>
      <c r="W62" s="70"/>
      <c r="X62" s="70"/>
      <c r="Y62" s="70"/>
      <c r="Z62" s="70"/>
      <c r="AA62" s="70"/>
      <c r="AB62" s="70"/>
      <c r="AC62" s="70"/>
      <c r="AD62" s="70"/>
      <c r="AE62" s="70"/>
      <c r="AF62" s="70"/>
      <c r="AG62" s="70"/>
      <c r="AH62" s="70"/>
      <c r="AI62" s="70"/>
      <c r="AJ62" s="70"/>
      <c r="AK62" s="70"/>
      <c r="AL62" s="70"/>
      <c r="AM62" s="70"/>
      <c r="AN62" s="70"/>
      <c r="AO62" s="70"/>
      <c r="AP62" s="70"/>
      <c r="AQ62" s="70"/>
      <c r="AR62" s="70"/>
      <c r="AS62" s="70"/>
      <c r="AT62" s="70"/>
      <c r="AU62" s="70"/>
      <c r="AV62" s="70"/>
      <c r="AW62" s="70"/>
      <c r="AX62" s="70"/>
      <c r="AY62" s="70"/>
      <c r="AZ62" s="70"/>
      <c r="BA62" s="70"/>
      <c r="BB62" s="70"/>
      <c r="BC62" s="70"/>
      <c r="BD62" s="70"/>
      <c r="BE62" s="70"/>
      <c r="BF62" s="70"/>
      <c r="BG62" s="70"/>
      <c r="BH62" s="70"/>
      <c r="BI62" s="70"/>
      <c r="BJ62" s="70"/>
      <c r="BK62" s="70"/>
      <c r="BL62" s="70"/>
      <c r="BM62" s="70"/>
      <c r="BN62" s="70"/>
      <c r="BO62" s="70"/>
      <c r="BP62" s="70"/>
      <c r="BQ62" s="70"/>
      <c r="BR62" s="70"/>
      <c r="BS62" s="70"/>
      <c r="BT62" s="70"/>
      <c r="BU62" s="70"/>
      <c r="BV62" s="70"/>
      <c r="BW62" s="70"/>
      <c r="BX62" s="70"/>
      <c r="BY62" s="70"/>
      <c r="BZ62" s="70"/>
      <c r="CA62" s="70"/>
      <c r="CB62" s="70"/>
      <c r="CC62" s="70"/>
      <c r="CD62" s="70"/>
      <c r="CE62" s="70"/>
      <c r="CF62" s="70"/>
      <c r="CG62" s="70"/>
      <c r="CH62" s="70"/>
      <c r="CI62" s="70"/>
      <c r="CJ62" s="70"/>
      <c r="CK62" s="70"/>
      <c r="CL62" s="70"/>
      <c r="CM62" s="70"/>
      <c r="CN62" s="70"/>
      <c r="CO62" s="70"/>
      <c r="CP62" s="70"/>
      <c r="CR62" s="173"/>
    </row>
    <row r="63" spans="1:96" x14ac:dyDescent="0.2">
      <c r="A63" s="59"/>
      <c r="B63" s="66"/>
      <c r="C63" s="66"/>
      <c r="D63" s="66"/>
      <c r="E63" s="59"/>
      <c r="F63" s="59"/>
      <c r="G63" s="59"/>
      <c r="H63" s="59"/>
      <c r="I63" s="59"/>
      <c r="J63" s="59"/>
      <c r="K63" s="59"/>
      <c r="L63" s="68"/>
      <c r="M63" s="63"/>
      <c r="N63" s="59"/>
      <c r="O63" s="69"/>
      <c r="P63" s="70"/>
      <c r="Q63" s="70"/>
      <c r="R63" s="70"/>
      <c r="S63" s="70"/>
      <c r="T63" s="70"/>
      <c r="U63" s="70"/>
      <c r="V63" s="70"/>
      <c r="W63" s="70"/>
      <c r="X63" s="70"/>
      <c r="Y63" s="70"/>
      <c r="Z63" s="70"/>
      <c r="AA63" s="70"/>
      <c r="AB63" s="70"/>
      <c r="AC63" s="70"/>
      <c r="AD63" s="70"/>
      <c r="AE63" s="70"/>
      <c r="AF63" s="70"/>
      <c r="AG63" s="70"/>
      <c r="AH63" s="70"/>
      <c r="AI63" s="70"/>
      <c r="AJ63" s="70"/>
      <c r="AK63" s="70"/>
      <c r="AL63" s="70"/>
      <c r="AM63" s="70"/>
      <c r="AN63" s="70"/>
      <c r="AO63" s="70"/>
      <c r="AP63" s="70"/>
      <c r="AQ63" s="70"/>
      <c r="AR63" s="70"/>
      <c r="AS63" s="70"/>
      <c r="AT63" s="70"/>
      <c r="AU63" s="70"/>
      <c r="AV63" s="70"/>
      <c r="AW63" s="70"/>
      <c r="AX63" s="70"/>
      <c r="AY63" s="70"/>
      <c r="AZ63" s="70"/>
      <c r="BA63" s="70"/>
      <c r="BB63" s="70"/>
      <c r="BC63" s="70"/>
      <c r="BD63" s="70"/>
      <c r="BE63" s="70"/>
      <c r="BF63" s="70"/>
      <c r="BG63" s="70"/>
      <c r="BH63" s="70"/>
      <c r="BI63" s="70"/>
      <c r="BJ63" s="70"/>
      <c r="BK63" s="70"/>
      <c r="BL63" s="70"/>
      <c r="BM63" s="70"/>
      <c r="BN63" s="70"/>
      <c r="BO63" s="70"/>
      <c r="BP63" s="70"/>
      <c r="BQ63" s="70"/>
      <c r="BR63" s="70"/>
      <c r="BS63" s="70"/>
      <c r="BT63" s="70"/>
      <c r="BU63" s="70"/>
      <c r="BV63" s="70"/>
      <c r="BW63" s="70"/>
      <c r="BX63" s="70"/>
      <c r="BY63" s="70"/>
      <c r="BZ63" s="70"/>
      <c r="CA63" s="70"/>
      <c r="CB63" s="70"/>
      <c r="CC63" s="70"/>
      <c r="CD63" s="70"/>
      <c r="CE63" s="70"/>
      <c r="CF63" s="70"/>
      <c r="CG63" s="70"/>
      <c r="CH63" s="70"/>
      <c r="CI63" s="70"/>
      <c r="CJ63" s="70"/>
      <c r="CK63" s="70"/>
      <c r="CL63" s="70"/>
      <c r="CM63" s="70"/>
      <c r="CN63" s="70"/>
      <c r="CO63" s="70"/>
      <c r="CP63" s="70"/>
      <c r="CR63" s="173"/>
    </row>
    <row r="64" spans="1:96" x14ac:dyDescent="0.2">
      <c r="A64" s="59"/>
      <c r="B64" s="66"/>
      <c r="C64" s="66"/>
      <c r="D64" s="66"/>
      <c r="E64" s="59"/>
      <c r="F64" s="59"/>
      <c r="G64" s="59"/>
      <c r="H64" s="59"/>
      <c r="I64" s="59"/>
      <c r="J64" s="59"/>
      <c r="K64" s="59"/>
      <c r="L64" s="68"/>
      <c r="M64" s="63"/>
      <c r="N64" s="59"/>
      <c r="O64" s="69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70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70"/>
      <c r="AQ64" s="70"/>
      <c r="AR64" s="70"/>
      <c r="AS64" s="70"/>
      <c r="AT64" s="70"/>
      <c r="AU64" s="70"/>
      <c r="AV64" s="70"/>
      <c r="AW64" s="70"/>
      <c r="AX64" s="70"/>
      <c r="AY64" s="70"/>
      <c r="AZ64" s="70"/>
      <c r="BA64" s="70"/>
      <c r="BB64" s="70"/>
      <c r="BC64" s="70"/>
      <c r="BD64" s="70"/>
      <c r="BE64" s="70"/>
      <c r="BF64" s="70"/>
      <c r="BG64" s="70"/>
      <c r="BH64" s="70"/>
      <c r="BI64" s="70"/>
      <c r="BJ64" s="70"/>
      <c r="BK64" s="70"/>
      <c r="BL64" s="70"/>
      <c r="BM64" s="70"/>
      <c r="BN64" s="70"/>
      <c r="BO64" s="70"/>
      <c r="BP64" s="70"/>
      <c r="BQ64" s="70"/>
      <c r="BR64" s="70"/>
      <c r="BS64" s="70"/>
      <c r="BT64" s="70"/>
      <c r="BU64" s="70"/>
      <c r="BV64" s="70"/>
      <c r="BW64" s="70"/>
      <c r="BX64" s="70"/>
      <c r="BY64" s="70"/>
      <c r="BZ64" s="70"/>
      <c r="CA64" s="70"/>
      <c r="CB64" s="70"/>
      <c r="CC64" s="70"/>
      <c r="CD64" s="70"/>
      <c r="CE64" s="70"/>
      <c r="CF64" s="70"/>
      <c r="CG64" s="70"/>
      <c r="CH64" s="70"/>
      <c r="CI64" s="70"/>
      <c r="CJ64" s="70"/>
      <c r="CK64" s="70"/>
      <c r="CL64" s="70"/>
      <c r="CM64" s="70"/>
      <c r="CN64" s="70"/>
      <c r="CO64" s="70"/>
      <c r="CP64" s="70"/>
      <c r="CR64" s="173"/>
    </row>
    <row r="65" spans="1:122" x14ac:dyDescent="0.2">
      <c r="A65" s="59"/>
      <c r="B65" s="66"/>
      <c r="C65" s="66"/>
      <c r="D65" s="66"/>
      <c r="E65" s="59"/>
      <c r="F65" s="59"/>
      <c r="G65" s="59"/>
      <c r="H65" s="59"/>
      <c r="I65" s="59"/>
      <c r="J65" s="59"/>
      <c r="K65" s="59"/>
      <c r="L65" s="68"/>
      <c r="M65" s="63"/>
      <c r="N65" s="59"/>
      <c r="O65" s="69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70"/>
      <c r="AQ65" s="70"/>
      <c r="AR65" s="70"/>
      <c r="AS65" s="70"/>
      <c r="AT65" s="70"/>
      <c r="AU65" s="70"/>
      <c r="AV65" s="70"/>
      <c r="AW65" s="70"/>
      <c r="AX65" s="70"/>
      <c r="AY65" s="70"/>
      <c r="AZ65" s="70"/>
      <c r="BA65" s="70"/>
      <c r="BB65" s="70"/>
      <c r="BC65" s="70"/>
      <c r="BD65" s="70"/>
      <c r="BE65" s="70"/>
      <c r="BF65" s="70"/>
      <c r="BG65" s="70"/>
      <c r="BH65" s="70"/>
      <c r="BI65" s="70"/>
      <c r="BJ65" s="70"/>
      <c r="BK65" s="70"/>
      <c r="BL65" s="70"/>
      <c r="BM65" s="70"/>
      <c r="BN65" s="70"/>
      <c r="BO65" s="70"/>
      <c r="BP65" s="70"/>
      <c r="BQ65" s="70"/>
      <c r="BR65" s="70"/>
      <c r="BS65" s="70"/>
      <c r="BT65" s="70"/>
      <c r="BU65" s="70"/>
      <c r="BV65" s="70"/>
      <c r="BW65" s="70"/>
      <c r="BX65" s="70"/>
      <c r="BY65" s="70"/>
      <c r="BZ65" s="70"/>
      <c r="CA65" s="70"/>
      <c r="CB65" s="70"/>
      <c r="CC65" s="70"/>
      <c r="CD65" s="70"/>
      <c r="CE65" s="70"/>
      <c r="CF65" s="70"/>
      <c r="CG65" s="70"/>
      <c r="CH65" s="70"/>
      <c r="CI65" s="70"/>
      <c r="CJ65" s="70"/>
      <c r="CK65" s="70"/>
      <c r="CL65" s="70"/>
      <c r="CM65" s="70"/>
      <c r="CN65" s="70"/>
      <c r="CO65" s="70"/>
      <c r="CP65" s="70"/>
      <c r="CR65" s="173"/>
    </row>
    <row r="66" spans="1:122" x14ac:dyDescent="0.2">
      <c r="A66" s="59"/>
      <c r="B66" s="66"/>
      <c r="C66" s="66"/>
      <c r="D66" s="66"/>
      <c r="E66" s="59"/>
      <c r="F66" s="59"/>
      <c r="G66" s="59"/>
      <c r="H66" s="59"/>
      <c r="I66" s="59"/>
      <c r="J66" s="59"/>
      <c r="K66" s="59"/>
      <c r="L66" s="68"/>
      <c r="M66" s="63"/>
      <c r="N66" s="59"/>
      <c r="O66" s="69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70"/>
      <c r="AQ66" s="70"/>
      <c r="AR66" s="70"/>
      <c r="AS66" s="70"/>
      <c r="AT66" s="70"/>
      <c r="AU66" s="70"/>
      <c r="AV66" s="70"/>
      <c r="AW66" s="70"/>
      <c r="AX66" s="70"/>
      <c r="AY66" s="70"/>
      <c r="AZ66" s="70"/>
      <c r="BA66" s="70"/>
      <c r="BB66" s="70"/>
      <c r="BC66" s="70"/>
      <c r="BD66" s="70"/>
      <c r="BE66" s="70"/>
      <c r="BF66" s="70"/>
      <c r="BG66" s="70"/>
      <c r="BH66" s="70"/>
      <c r="BI66" s="70"/>
      <c r="BJ66" s="70"/>
      <c r="BK66" s="70"/>
      <c r="BL66" s="70"/>
      <c r="BM66" s="70"/>
      <c r="BN66" s="70"/>
      <c r="BO66" s="70"/>
      <c r="BP66" s="70"/>
      <c r="BQ66" s="70"/>
      <c r="BR66" s="70"/>
      <c r="BS66" s="70"/>
      <c r="BT66" s="70"/>
      <c r="BU66" s="70"/>
      <c r="BV66" s="70"/>
      <c r="BW66" s="70"/>
      <c r="BX66" s="70"/>
      <c r="BY66" s="70"/>
      <c r="BZ66" s="70"/>
      <c r="CA66" s="70"/>
      <c r="CB66" s="70"/>
      <c r="CC66" s="70"/>
      <c r="CD66" s="70"/>
      <c r="CE66" s="70"/>
      <c r="CF66" s="70"/>
      <c r="CG66" s="70"/>
      <c r="CH66" s="70"/>
      <c r="CI66" s="70"/>
      <c r="CJ66" s="70"/>
      <c r="CK66" s="70"/>
      <c r="CL66" s="70"/>
      <c r="CM66" s="70"/>
      <c r="CN66" s="70"/>
      <c r="CO66" s="70"/>
      <c r="CP66" s="70"/>
      <c r="CR66" s="173"/>
    </row>
    <row r="67" spans="1:122" x14ac:dyDescent="0.2">
      <c r="A67" s="59"/>
      <c r="B67" s="66"/>
      <c r="C67" s="66"/>
      <c r="D67" s="66"/>
      <c r="E67" s="59"/>
      <c r="F67" s="59"/>
      <c r="G67" s="59"/>
      <c r="H67" s="59"/>
      <c r="I67" s="59"/>
      <c r="J67" s="59"/>
      <c r="K67" s="59"/>
      <c r="L67" s="68"/>
      <c r="M67" s="63"/>
      <c r="N67" s="59"/>
      <c r="O67" s="69"/>
      <c r="P67" s="70"/>
      <c r="Q67" s="70"/>
      <c r="R67" s="70"/>
      <c r="S67" s="70"/>
      <c r="T67" s="70"/>
      <c r="U67" s="70"/>
      <c r="V67" s="70"/>
      <c r="W67" s="70"/>
      <c r="X67" s="70"/>
      <c r="Y67" s="70"/>
      <c r="Z67" s="70"/>
      <c r="AA67" s="70"/>
      <c r="AB67" s="70"/>
      <c r="AC67" s="70"/>
      <c r="AD67" s="70"/>
      <c r="AE67" s="70"/>
      <c r="AF67" s="70"/>
      <c r="AG67" s="70"/>
      <c r="AH67" s="70"/>
      <c r="AI67" s="70"/>
      <c r="AJ67" s="70"/>
      <c r="AK67" s="70"/>
      <c r="AL67" s="70"/>
      <c r="AM67" s="70"/>
      <c r="AN67" s="70"/>
      <c r="AO67" s="70"/>
      <c r="AP67" s="70"/>
      <c r="AQ67" s="70"/>
      <c r="AR67" s="70"/>
      <c r="AS67" s="70"/>
      <c r="AT67" s="70"/>
      <c r="AU67" s="70"/>
      <c r="AV67" s="70"/>
      <c r="AW67" s="70"/>
      <c r="AX67" s="70"/>
      <c r="AY67" s="70"/>
      <c r="AZ67" s="70"/>
      <c r="BA67" s="70"/>
      <c r="BB67" s="70"/>
      <c r="BC67" s="70"/>
      <c r="BD67" s="70"/>
      <c r="BE67" s="70"/>
      <c r="BF67" s="70"/>
      <c r="BG67" s="70"/>
      <c r="BH67" s="70"/>
      <c r="BI67" s="70"/>
      <c r="BJ67" s="70"/>
      <c r="BK67" s="70"/>
      <c r="BL67" s="70"/>
      <c r="BM67" s="70"/>
      <c r="BN67" s="70"/>
      <c r="BO67" s="70"/>
      <c r="BP67" s="70"/>
      <c r="BQ67" s="70"/>
      <c r="BR67" s="70"/>
      <c r="BS67" s="70"/>
      <c r="BT67" s="70"/>
      <c r="BU67" s="70"/>
      <c r="BV67" s="70"/>
      <c r="BW67" s="70"/>
      <c r="BX67" s="70"/>
      <c r="BY67" s="70"/>
      <c r="BZ67" s="70"/>
      <c r="CA67" s="70"/>
      <c r="CB67" s="70"/>
      <c r="CC67" s="70"/>
      <c r="CD67" s="70"/>
      <c r="CE67" s="70"/>
      <c r="CF67" s="70"/>
      <c r="CG67" s="70"/>
      <c r="CH67" s="70"/>
      <c r="CI67" s="70"/>
      <c r="CJ67" s="70"/>
      <c r="CK67" s="70"/>
      <c r="CL67" s="70"/>
      <c r="CM67" s="70"/>
      <c r="CN67" s="70"/>
      <c r="CO67" s="70"/>
      <c r="CP67" s="70"/>
      <c r="CR67" s="173"/>
    </row>
    <row r="68" spans="1:122" x14ac:dyDescent="0.2">
      <c r="A68" s="59"/>
      <c r="B68" s="66"/>
      <c r="C68" s="66"/>
      <c r="D68" s="66"/>
      <c r="E68" s="59"/>
      <c r="F68" s="59"/>
      <c r="G68" s="59"/>
      <c r="H68" s="59"/>
      <c r="I68" s="59"/>
      <c r="J68" s="59"/>
      <c r="K68" s="59"/>
      <c r="L68" s="68"/>
      <c r="M68" s="63"/>
      <c r="N68" s="59"/>
      <c r="O68" s="69"/>
      <c r="P68" s="70"/>
      <c r="Q68" s="70"/>
      <c r="R68" s="70"/>
      <c r="S68" s="70"/>
      <c r="T68" s="70"/>
      <c r="U68" s="70"/>
      <c r="V68" s="70"/>
      <c r="W68" s="70"/>
      <c r="X68" s="70"/>
      <c r="Y68" s="70"/>
      <c r="Z68" s="70"/>
      <c r="AA68" s="70"/>
      <c r="AB68" s="70"/>
      <c r="AC68" s="70"/>
      <c r="AD68" s="70"/>
      <c r="AE68" s="70"/>
      <c r="AF68" s="70"/>
      <c r="AG68" s="70"/>
      <c r="AH68" s="70"/>
      <c r="AI68" s="70"/>
      <c r="AJ68" s="70"/>
      <c r="AK68" s="70"/>
      <c r="AL68" s="70"/>
      <c r="AM68" s="70"/>
      <c r="AN68" s="70"/>
      <c r="AO68" s="70"/>
      <c r="AP68" s="70"/>
      <c r="AQ68" s="70"/>
      <c r="AR68" s="70"/>
      <c r="AS68" s="70"/>
      <c r="AT68" s="70"/>
      <c r="AU68" s="70"/>
      <c r="AV68" s="70"/>
      <c r="AW68" s="70"/>
      <c r="AX68" s="70"/>
      <c r="AY68" s="70"/>
      <c r="AZ68" s="70"/>
      <c r="BA68" s="70"/>
      <c r="BB68" s="70"/>
      <c r="BC68" s="70"/>
      <c r="BD68" s="70"/>
      <c r="BE68" s="70"/>
      <c r="BF68" s="70"/>
      <c r="BG68" s="70"/>
      <c r="BH68" s="70"/>
      <c r="BI68" s="70"/>
      <c r="BJ68" s="70"/>
      <c r="BK68" s="70"/>
      <c r="BL68" s="70"/>
      <c r="BM68" s="70"/>
      <c r="BN68" s="70"/>
      <c r="BO68" s="70"/>
      <c r="BP68" s="70"/>
      <c r="BQ68" s="70"/>
      <c r="BR68" s="70"/>
      <c r="BS68" s="70"/>
      <c r="BT68" s="70"/>
      <c r="BU68" s="70"/>
      <c r="BV68" s="70"/>
      <c r="BW68" s="70"/>
      <c r="BX68" s="70"/>
      <c r="BY68" s="70"/>
      <c r="BZ68" s="70"/>
      <c r="CA68" s="70"/>
      <c r="CB68" s="70"/>
      <c r="CC68" s="70"/>
      <c r="CD68" s="70"/>
      <c r="CE68" s="70"/>
      <c r="CF68" s="70"/>
      <c r="CG68" s="70"/>
      <c r="CH68" s="70"/>
      <c r="CI68" s="70"/>
      <c r="CJ68" s="70"/>
      <c r="CK68" s="70"/>
      <c r="CL68" s="70"/>
      <c r="CM68" s="70"/>
      <c r="CN68" s="70"/>
      <c r="CO68" s="70"/>
      <c r="CP68" s="70"/>
      <c r="CR68" s="173"/>
    </row>
    <row r="69" spans="1:122" x14ac:dyDescent="0.2">
      <c r="A69" s="72"/>
      <c r="B69" s="98"/>
      <c r="C69" s="98"/>
      <c r="D69" s="98"/>
      <c r="E69" s="72"/>
      <c r="F69" s="72"/>
      <c r="G69" s="72"/>
      <c r="H69" s="72"/>
      <c r="I69" s="72"/>
      <c r="J69" s="72"/>
      <c r="K69" s="72"/>
      <c r="L69" s="73"/>
      <c r="M69" s="74"/>
      <c r="N69" s="72"/>
      <c r="O69" s="99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100"/>
      <c r="AC69" s="100"/>
      <c r="AD69" s="100"/>
      <c r="AE69" s="100"/>
      <c r="AF69" s="100"/>
      <c r="AG69" s="100"/>
      <c r="AH69" s="100"/>
      <c r="AI69" s="100"/>
      <c r="AJ69" s="100"/>
      <c r="AK69" s="100"/>
      <c r="AL69" s="100"/>
      <c r="AM69" s="100"/>
      <c r="AN69" s="100"/>
      <c r="AO69" s="100"/>
      <c r="AP69" s="100"/>
      <c r="AQ69" s="100"/>
      <c r="AR69" s="100"/>
      <c r="AS69" s="100"/>
      <c r="AT69" s="100"/>
      <c r="AU69" s="100"/>
      <c r="AV69" s="100"/>
      <c r="AW69" s="100"/>
      <c r="AX69" s="100"/>
      <c r="AY69" s="100"/>
      <c r="AZ69" s="100"/>
      <c r="BA69" s="100"/>
      <c r="BB69" s="100"/>
      <c r="BC69" s="100"/>
      <c r="BD69" s="100"/>
      <c r="BE69" s="100"/>
      <c r="BF69" s="100"/>
      <c r="BG69" s="100"/>
      <c r="BH69" s="100"/>
      <c r="BI69" s="100"/>
      <c r="BJ69" s="100"/>
      <c r="BK69" s="100"/>
      <c r="BL69" s="100"/>
      <c r="BM69" s="100"/>
      <c r="BN69" s="100"/>
      <c r="BO69" s="100"/>
      <c r="BP69" s="100"/>
      <c r="BQ69" s="100"/>
      <c r="BR69" s="100"/>
      <c r="BS69" s="100"/>
      <c r="BT69" s="100"/>
      <c r="BU69" s="100"/>
      <c r="BV69" s="100"/>
      <c r="BW69" s="100"/>
      <c r="BX69" s="100"/>
      <c r="BY69" s="100"/>
      <c r="BZ69" s="100"/>
      <c r="CA69" s="100"/>
      <c r="CB69" s="100"/>
      <c r="CC69" s="100"/>
      <c r="CD69" s="100"/>
      <c r="CE69" s="100"/>
      <c r="CF69" s="100"/>
      <c r="CG69" s="100"/>
      <c r="CH69" s="100"/>
      <c r="CI69" s="100"/>
      <c r="CJ69" s="100"/>
      <c r="CK69" s="100"/>
      <c r="CL69" s="100"/>
      <c r="CM69" s="100"/>
      <c r="CN69" s="100"/>
      <c r="CO69" s="100"/>
      <c r="CP69" s="100"/>
      <c r="CR69" s="174"/>
    </row>
    <row r="70" spans="1:122" x14ac:dyDescent="0.2">
      <c r="A70" s="21"/>
      <c r="B70" s="20"/>
      <c r="C70" s="20"/>
      <c r="D70" s="20"/>
      <c r="E70" s="21"/>
      <c r="F70" s="21"/>
      <c r="G70" s="21"/>
      <c r="H70" s="21"/>
      <c r="I70" s="21"/>
      <c r="J70" s="21"/>
      <c r="K70" s="21"/>
      <c r="L70" s="22"/>
      <c r="M70" s="22"/>
      <c r="N70" s="21"/>
      <c r="O70" s="21"/>
      <c r="P70" s="21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21"/>
      <c r="BE70" s="21"/>
      <c r="BF70" s="21"/>
      <c r="BG70" s="21"/>
      <c r="BH70" s="21"/>
      <c r="BI70" s="21"/>
      <c r="BJ70" s="21"/>
      <c r="BK70" s="21"/>
      <c r="BL70" s="21"/>
      <c r="BM70" s="21"/>
      <c r="BN70" s="21"/>
      <c r="BO70" s="21"/>
      <c r="BP70" s="21"/>
      <c r="BQ70" s="21"/>
      <c r="BR70" s="21"/>
      <c r="BS70" s="21"/>
      <c r="BT70" s="21"/>
      <c r="BU70" s="21"/>
      <c r="BV70" s="21"/>
      <c r="BW70" s="21"/>
      <c r="BX70" s="21"/>
      <c r="BY70" s="21"/>
      <c r="BZ70" s="21"/>
      <c r="CA70" s="21"/>
      <c r="CB70" s="21"/>
      <c r="CC70" s="21"/>
      <c r="CD70" s="21"/>
      <c r="CE70" s="21"/>
      <c r="CF70" s="21"/>
      <c r="CG70" s="21"/>
      <c r="CH70" s="21"/>
      <c r="CI70" s="21"/>
      <c r="CJ70" s="21"/>
      <c r="CK70" s="21"/>
      <c r="CL70" s="21"/>
      <c r="CM70" s="21"/>
      <c r="CN70" s="21"/>
      <c r="CO70" s="21"/>
      <c r="CP70" s="21"/>
      <c r="CR70" s="21"/>
      <c r="CS70" s="187"/>
      <c r="CT70" s="187"/>
      <c r="CU70" s="187"/>
      <c r="CV70" s="187"/>
      <c r="CW70" s="187"/>
      <c r="CX70" s="187"/>
      <c r="CY70" s="187"/>
      <c r="CZ70" s="187"/>
      <c r="DA70" s="187"/>
      <c r="DB70" s="187"/>
      <c r="DC70" s="187"/>
      <c r="DD70" s="187"/>
      <c r="DE70" s="187"/>
      <c r="DF70" s="187"/>
      <c r="DG70" s="187"/>
      <c r="DH70" s="187"/>
      <c r="DI70" s="187"/>
      <c r="DJ70" s="187"/>
      <c r="DK70" s="187"/>
      <c r="DL70" s="187"/>
      <c r="DM70" s="187"/>
      <c r="DN70" s="187"/>
      <c r="DO70" s="187"/>
      <c r="DP70" s="187"/>
      <c r="DQ70" s="187"/>
      <c r="DR70" s="187"/>
    </row>
    <row r="71" spans="1:122" ht="27" customHeight="1" x14ac:dyDescent="0.2">
      <c r="A71" s="19" t="s">
        <v>44</v>
      </c>
      <c r="B71" s="76"/>
      <c r="C71" s="76"/>
      <c r="D71" s="76"/>
      <c r="E71" s="75"/>
      <c r="F71" s="21"/>
      <c r="G71" s="21"/>
      <c r="H71" s="21"/>
      <c r="I71" s="21"/>
      <c r="J71" s="21"/>
      <c r="K71" s="21"/>
      <c r="L71" s="77"/>
      <c r="M71" s="77"/>
      <c r="N71" s="75"/>
      <c r="O71" s="34" t="s">
        <v>62</v>
      </c>
      <c r="P71" s="75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21"/>
      <c r="BE71" s="21"/>
      <c r="BF71" s="21"/>
      <c r="BG71" s="21"/>
      <c r="BH71" s="21"/>
      <c r="BI71" s="21"/>
      <c r="BJ71" s="21"/>
      <c r="BK71" s="21"/>
      <c r="BL71" s="21"/>
      <c r="BM71" s="21"/>
      <c r="BN71" s="21"/>
      <c r="BO71" s="21"/>
      <c r="BP71" s="21"/>
      <c r="BQ71" s="21"/>
      <c r="BR71" s="21"/>
      <c r="BS71" s="21"/>
      <c r="BT71" s="21"/>
      <c r="BU71" s="21"/>
      <c r="BV71" s="21"/>
      <c r="BW71" s="21"/>
      <c r="BX71" s="21"/>
      <c r="BY71" s="21"/>
      <c r="BZ71" s="21"/>
      <c r="CA71" s="21"/>
      <c r="CB71" s="21"/>
      <c r="CC71" s="21"/>
      <c r="CD71" s="21"/>
      <c r="CE71" s="21"/>
      <c r="CF71" s="21"/>
      <c r="CG71" s="21"/>
      <c r="CH71" s="21"/>
      <c r="CI71" s="21"/>
      <c r="CJ71" s="21"/>
      <c r="CK71" s="21"/>
      <c r="CL71" s="21"/>
      <c r="CM71" s="21"/>
      <c r="CN71" s="21"/>
      <c r="CO71" s="21"/>
      <c r="CP71" s="21"/>
      <c r="CR71" s="21"/>
      <c r="CS71" s="187"/>
      <c r="CT71" s="187"/>
      <c r="CU71" s="187"/>
      <c r="CV71" s="187"/>
      <c r="CW71" s="187"/>
      <c r="CX71" s="187"/>
      <c r="CY71" s="187"/>
      <c r="CZ71" s="187"/>
      <c r="DA71" s="187"/>
      <c r="DB71" s="187"/>
      <c r="DC71" s="187"/>
      <c r="DD71" s="187"/>
      <c r="DE71" s="187"/>
      <c r="DF71" s="187"/>
      <c r="DG71" s="187"/>
      <c r="DH71" s="187"/>
      <c r="DI71" s="187"/>
      <c r="DJ71" s="187"/>
      <c r="DK71" s="187"/>
      <c r="DL71" s="187"/>
      <c r="DM71" s="187"/>
      <c r="DN71" s="187"/>
      <c r="DO71" s="187"/>
      <c r="DP71" s="187"/>
      <c r="DQ71" s="187"/>
      <c r="DR71" s="187"/>
    </row>
    <row r="72" spans="1:122" x14ac:dyDescent="0.2">
      <c r="A72" s="78"/>
      <c r="B72" s="79"/>
      <c r="C72" s="79"/>
      <c r="D72" s="79"/>
      <c r="E72" s="80"/>
      <c r="F72" s="80"/>
      <c r="G72" s="80"/>
      <c r="H72" s="80"/>
      <c r="I72" s="80"/>
      <c r="J72" s="80"/>
      <c r="K72" s="80"/>
      <c r="L72" s="81"/>
      <c r="M72" s="81"/>
      <c r="N72" s="82"/>
      <c r="O72" s="83">
        <v>1</v>
      </c>
      <c r="P72" s="83">
        <v>2</v>
      </c>
      <c r="Q72" s="83">
        <v>3</v>
      </c>
      <c r="R72" s="83">
        <v>4</v>
      </c>
      <c r="S72" s="83">
        <v>5</v>
      </c>
      <c r="T72" s="83">
        <v>6</v>
      </c>
      <c r="U72" s="83">
        <v>7</v>
      </c>
      <c r="V72" s="83">
        <v>8</v>
      </c>
      <c r="W72" s="83">
        <v>9</v>
      </c>
      <c r="X72" s="83">
        <v>10</v>
      </c>
      <c r="Y72" s="83">
        <v>11</v>
      </c>
      <c r="Z72" s="83">
        <v>12</v>
      </c>
      <c r="AA72" s="83">
        <v>13</v>
      </c>
      <c r="AB72" s="83">
        <v>14</v>
      </c>
      <c r="AC72" s="83">
        <v>15</v>
      </c>
      <c r="AD72" s="83">
        <v>16</v>
      </c>
      <c r="AE72" s="83">
        <v>17</v>
      </c>
      <c r="AF72" s="83">
        <v>18</v>
      </c>
      <c r="AG72" s="83">
        <v>19</v>
      </c>
      <c r="AH72" s="83">
        <v>20</v>
      </c>
      <c r="AI72" s="83">
        <v>21</v>
      </c>
      <c r="AJ72" s="83">
        <v>22</v>
      </c>
      <c r="AK72" s="83">
        <v>23</v>
      </c>
      <c r="AL72" s="83">
        <v>24</v>
      </c>
      <c r="AM72" s="83">
        <v>25</v>
      </c>
      <c r="AN72" s="83">
        <v>26</v>
      </c>
      <c r="AO72" s="83">
        <v>27</v>
      </c>
      <c r="AP72" s="83">
        <v>28</v>
      </c>
      <c r="AQ72" s="83">
        <v>29</v>
      </c>
      <c r="AR72" s="83">
        <v>30</v>
      </c>
      <c r="AS72" s="83">
        <v>31</v>
      </c>
      <c r="AT72" s="83">
        <v>32</v>
      </c>
      <c r="AU72" s="83">
        <v>33</v>
      </c>
      <c r="AV72" s="83">
        <v>34</v>
      </c>
      <c r="AW72" s="83">
        <v>35</v>
      </c>
      <c r="AX72" s="83">
        <v>36</v>
      </c>
      <c r="AY72" s="83">
        <v>37</v>
      </c>
      <c r="AZ72" s="83">
        <v>38</v>
      </c>
      <c r="BA72" s="83">
        <v>39</v>
      </c>
      <c r="BB72" s="83">
        <v>40</v>
      </c>
      <c r="BC72" s="83">
        <v>41</v>
      </c>
      <c r="BD72" s="83">
        <v>42</v>
      </c>
      <c r="BE72" s="83">
        <v>43</v>
      </c>
      <c r="BF72" s="83">
        <v>44</v>
      </c>
      <c r="BG72" s="83">
        <v>45</v>
      </c>
      <c r="BH72" s="83">
        <v>46</v>
      </c>
      <c r="BI72" s="83">
        <v>47</v>
      </c>
      <c r="BJ72" s="83">
        <v>48</v>
      </c>
      <c r="BK72" s="83">
        <v>49</v>
      </c>
      <c r="BL72" s="83">
        <v>50</v>
      </c>
      <c r="BM72" s="83">
        <v>51</v>
      </c>
      <c r="BN72" s="83">
        <v>52</v>
      </c>
      <c r="BO72" s="83">
        <v>53</v>
      </c>
      <c r="BP72" s="83">
        <v>54</v>
      </c>
      <c r="BQ72" s="83">
        <v>55</v>
      </c>
      <c r="BR72" s="83">
        <v>56</v>
      </c>
      <c r="BS72" s="83">
        <v>57</v>
      </c>
      <c r="BT72" s="83">
        <v>58</v>
      </c>
      <c r="BU72" s="83">
        <v>59</v>
      </c>
      <c r="BV72" s="83">
        <v>60</v>
      </c>
      <c r="BW72" s="83">
        <v>61</v>
      </c>
      <c r="BX72" s="83">
        <v>62</v>
      </c>
      <c r="BY72" s="83">
        <v>63</v>
      </c>
      <c r="BZ72" s="83">
        <v>64</v>
      </c>
      <c r="CA72" s="83">
        <v>65</v>
      </c>
      <c r="CB72" s="83">
        <v>66</v>
      </c>
      <c r="CC72" s="83">
        <v>67</v>
      </c>
      <c r="CD72" s="83">
        <v>68</v>
      </c>
      <c r="CE72" s="83">
        <v>69</v>
      </c>
      <c r="CF72" s="83">
        <v>70</v>
      </c>
      <c r="CG72" s="83">
        <v>71</v>
      </c>
      <c r="CH72" s="83">
        <v>72</v>
      </c>
      <c r="CI72" s="83">
        <v>73</v>
      </c>
      <c r="CJ72" s="83">
        <v>74</v>
      </c>
      <c r="CK72" s="83">
        <v>75</v>
      </c>
      <c r="CL72" s="83">
        <v>76</v>
      </c>
      <c r="CM72" s="83">
        <v>77</v>
      </c>
      <c r="CN72" s="83">
        <v>78</v>
      </c>
      <c r="CO72" s="83">
        <v>79</v>
      </c>
      <c r="CP72" s="83">
        <v>80</v>
      </c>
      <c r="CR72" s="177" t="s">
        <v>168</v>
      </c>
      <c r="CS72" s="188" t="s">
        <v>169</v>
      </c>
      <c r="CT72" s="188" t="s">
        <v>170</v>
      </c>
      <c r="CU72" s="189" t="s">
        <v>169</v>
      </c>
      <c r="CV72" s="189" t="s">
        <v>170</v>
      </c>
      <c r="CW72" s="188" t="s">
        <v>169</v>
      </c>
      <c r="CX72" s="188" t="s">
        <v>170</v>
      </c>
      <c r="CY72" s="189" t="s">
        <v>169</v>
      </c>
      <c r="CZ72" s="189" t="s">
        <v>170</v>
      </c>
      <c r="DA72" s="188" t="s">
        <v>169</v>
      </c>
      <c r="DB72" s="188" t="s">
        <v>170</v>
      </c>
      <c r="DC72" s="189" t="s">
        <v>169</v>
      </c>
      <c r="DD72" s="189" t="s">
        <v>170</v>
      </c>
      <c r="DE72" s="188" t="s">
        <v>169</v>
      </c>
      <c r="DF72" s="188" t="s">
        <v>170</v>
      </c>
      <c r="DG72" s="189" t="s">
        <v>169</v>
      </c>
      <c r="DH72" s="189" t="s">
        <v>170</v>
      </c>
      <c r="DI72" s="188" t="s">
        <v>169</v>
      </c>
      <c r="DJ72" s="188" t="s">
        <v>170</v>
      </c>
      <c r="DK72" s="189" t="s">
        <v>169</v>
      </c>
      <c r="DL72" s="189" t="s">
        <v>170</v>
      </c>
      <c r="DM72" s="188" t="s">
        <v>169</v>
      </c>
      <c r="DN72" s="188" t="s">
        <v>170</v>
      </c>
      <c r="DO72" s="189" t="s">
        <v>169</v>
      </c>
      <c r="DP72" s="189" t="s">
        <v>170</v>
      </c>
      <c r="DQ72" s="188" t="s">
        <v>169</v>
      </c>
      <c r="DR72" s="188" t="s">
        <v>170</v>
      </c>
    </row>
    <row r="73" spans="1:122" x14ac:dyDescent="0.2">
      <c r="A73" s="84"/>
      <c r="B73" s="85"/>
      <c r="C73" s="85"/>
      <c r="D73" s="85"/>
      <c r="E73" s="86"/>
      <c r="F73" s="86"/>
      <c r="G73" s="86"/>
      <c r="H73" s="86"/>
      <c r="I73" s="86"/>
      <c r="J73" s="86"/>
      <c r="K73" s="86"/>
      <c r="L73" s="87"/>
      <c r="M73" s="87"/>
      <c r="N73" s="105" t="s">
        <v>80</v>
      </c>
      <c r="O73" s="102"/>
      <c r="P73" s="102"/>
      <c r="Q73" s="102"/>
      <c r="R73" s="102"/>
      <c r="S73" s="102"/>
      <c r="T73" s="102"/>
      <c r="U73" s="102"/>
      <c r="V73" s="102"/>
      <c r="W73" s="102"/>
      <c r="X73" s="102"/>
      <c r="Y73" s="102"/>
      <c r="Z73" s="102"/>
      <c r="AA73" s="102"/>
      <c r="AB73" s="102"/>
      <c r="AC73" s="102"/>
      <c r="AD73" s="102"/>
      <c r="AE73" s="102"/>
      <c r="AF73" s="102"/>
      <c r="AG73" s="102"/>
      <c r="AH73" s="102"/>
      <c r="AI73" s="102"/>
      <c r="AJ73" s="102"/>
      <c r="AK73" s="102"/>
      <c r="AL73" s="102"/>
      <c r="AM73" s="102"/>
      <c r="AN73" s="102"/>
      <c r="AO73" s="102"/>
      <c r="AP73" s="102"/>
      <c r="AQ73" s="102"/>
      <c r="AR73" s="102"/>
      <c r="AS73" s="102"/>
      <c r="AT73" s="102"/>
      <c r="AU73" s="102"/>
      <c r="AV73" s="102"/>
      <c r="AW73" s="102"/>
      <c r="AX73" s="102"/>
      <c r="AY73" s="102"/>
      <c r="AZ73" s="102"/>
      <c r="BA73" s="102"/>
      <c r="BB73" s="102"/>
      <c r="BC73" s="102"/>
      <c r="BD73" s="102"/>
      <c r="BE73" s="102"/>
      <c r="BF73" s="102"/>
      <c r="BG73" s="102"/>
      <c r="BH73" s="102"/>
      <c r="BI73" s="102"/>
      <c r="BJ73" s="102"/>
      <c r="BK73" s="102"/>
      <c r="BL73" s="102"/>
      <c r="BM73" s="102"/>
      <c r="BN73" s="102"/>
      <c r="BO73" s="102"/>
      <c r="BP73" s="102"/>
      <c r="BQ73" s="102"/>
      <c r="BR73" s="102"/>
      <c r="BS73" s="102"/>
      <c r="BT73" s="102"/>
      <c r="BU73" s="102"/>
      <c r="BV73" s="102"/>
      <c r="BW73" s="102"/>
      <c r="BX73" s="102"/>
      <c r="BY73" s="102"/>
      <c r="BZ73" s="102"/>
      <c r="CA73" s="102"/>
      <c r="CB73" s="102"/>
      <c r="CC73" s="102"/>
      <c r="CD73" s="102"/>
      <c r="CE73" s="102"/>
      <c r="CF73" s="102"/>
      <c r="CG73" s="102"/>
      <c r="CH73" s="102"/>
      <c r="CI73" s="102"/>
      <c r="CJ73" s="102"/>
      <c r="CK73" s="102"/>
      <c r="CL73" s="102"/>
      <c r="CM73" s="102"/>
      <c r="CN73" s="102"/>
      <c r="CO73" s="102"/>
      <c r="CP73" s="102"/>
    </row>
    <row r="74" spans="1:122" x14ac:dyDescent="0.2">
      <c r="A74" s="84"/>
      <c r="B74" s="85"/>
      <c r="C74" s="85"/>
      <c r="D74" s="85"/>
      <c r="E74" s="86"/>
      <c r="F74" s="86"/>
      <c r="G74" s="86"/>
      <c r="H74" s="86"/>
      <c r="I74" s="86"/>
      <c r="J74" s="86"/>
      <c r="K74" s="86"/>
      <c r="L74" s="87"/>
      <c r="M74" s="87"/>
      <c r="N74" s="88" t="s">
        <v>131</v>
      </c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  <c r="AA74" s="47"/>
      <c r="AB74" s="47"/>
      <c r="AC74" s="47"/>
      <c r="AD74" s="47"/>
      <c r="AE74" s="47"/>
      <c r="AF74" s="47"/>
      <c r="AG74" s="47"/>
      <c r="AH74" s="47"/>
      <c r="AI74" s="47"/>
      <c r="AJ74" s="47"/>
      <c r="AK74" s="47"/>
      <c r="AL74" s="47"/>
      <c r="AM74" s="47"/>
      <c r="AN74" s="47"/>
      <c r="AO74" s="47"/>
      <c r="AP74" s="47"/>
      <c r="AQ74" s="47"/>
      <c r="AR74" s="47"/>
      <c r="AS74" s="47"/>
      <c r="AT74" s="47"/>
      <c r="AU74" s="47"/>
      <c r="AV74" s="47"/>
      <c r="AW74" s="47"/>
      <c r="AX74" s="47"/>
      <c r="AY74" s="47"/>
      <c r="AZ74" s="47"/>
      <c r="BA74" s="47"/>
      <c r="BB74" s="47"/>
      <c r="BC74" s="47"/>
      <c r="BD74" s="47"/>
      <c r="BE74" s="47"/>
      <c r="BF74" s="47"/>
      <c r="BG74" s="47"/>
      <c r="BH74" s="47"/>
      <c r="BI74" s="47"/>
      <c r="BJ74" s="47"/>
      <c r="BK74" s="47"/>
      <c r="BL74" s="47"/>
      <c r="BM74" s="47"/>
      <c r="BN74" s="47"/>
      <c r="BO74" s="47"/>
      <c r="BP74" s="47"/>
      <c r="BQ74" s="47"/>
      <c r="BR74" s="47"/>
      <c r="BS74" s="47"/>
      <c r="BT74" s="47"/>
      <c r="BU74" s="47"/>
      <c r="BV74" s="47"/>
      <c r="BW74" s="47"/>
      <c r="BX74" s="47"/>
      <c r="BY74" s="47"/>
      <c r="BZ74" s="47"/>
      <c r="CA74" s="47"/>
      <c r="CB74" s="47"/>
      <c r="CC74" s="47"/>
      <c r="CD74" s="47"/>
      <c r="CE74" s="47"/>
      <c r="CF74" s="47"/>
      <c r="CG74" s="47"/>
      <c r="CH74" s="47"/>
      <c r="CI74" s="47"/>
      <c r="CJ74" s="47"/>
      <c r="CK74" s="47"/>
      <c r="CL74" s="47"/>
      <c r="CM74" s="47"/>
      <c r="CN74" s="47"/>
      <c r="CO74" s="47"/>
      <c r="CP74" s="47"/>
    </row>
    <row r="75" spans="1:122" x14ac:dyDescent="0.2">
      <c r="A75" s="84"/>
      <c r="B75" s="85"/>
      <c r="C75" s="85"/>
      <c r="D75" s="85"/>
      <c r="E75" s="86"/>
      <c r="F75" s="86"/>
      <c r="G75" s="86"/>
      <c r="H75" s="86"/>
      <c r="I75" s="86"/>
      <c r="J75" s="86"/>
      <c r="K75" s="86"/>
      <c r="L75" s="87"/>
      <c r="M75" s="87"/>
      <c r="N75" s="88" t="s">
        <v>52</v>
      </c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  <c r="AA75" s="47"/>
      <c r="AB75" s="47"/>
      <c r="AC75" s="47"/>
      <c r="AD75" s="47"/>
      <c r="AE75" s="47"/>
      <c r="AF75" s="47"/>
      <c r="AG75" s="47"/>
      <c r="AH75" s="47"/>
      <c r="AI75" s="47"/>
      <c r="AJ75" s="47"/>
      <c r="AK75" s="47"/>
      <c r="AL75" s="47"/>
      <c r="AM75" s="47"/>
      <c r="AN75" s="47"/>
      <c r="AO75" s="47"/>
      <c r="AP75" s="47"/>
      <c r="AQ75" s="47"/>
      <c r="AR75" s="47"/>
      <c r="AS75" s="47"/>
      <c r="AT75" s="47"/>
      <c r="AU75" s="47"/>
      <c r="AV75" s="47"/>
      <c r="AW75" s="47"/>
      <c r="AX75" s="47"/>
      <c r="AY75" s="47"/>
      <c r="AZ75" s="47"/>
      <c r="BA75" s="47"/>
      <c r="BB75" s="47"/>
      <c r="BC75" s="47"/>
      <c r="BD75" s="47"/>
      <c r="BE75" s="47"/>
      <c r="BF75" s="47"/>
      <c r="BG75" s="47"/>
      <c r="BH75" s="47"/>
      <c r="BI75" s="47"/>
      <c r="BJ75" s="47"/>
      <c r="BK75" s="47"/>
      <c r="BL75" s="47"/>
      <c r="BM75" s="47"/>
      <c r="BN75" s="47"/>
      <c r="BO75" s="47"/>
      <c r="BP75" s="47"/>
      <c r="BQ75" s="47"/>
      <c r="BR75" s="47"/>
      <c r="BS75" s="47"/>
      <c r="BT75" s="47"/>
      <c r="BU75" s="47"/>
      <c r="BV75" s="47"/>
      <c r="BW75" s="47"/>
      <c r="BX75" s="47"/>
      <c r="BY75" s="47"/>
      <c r="BZ75" s="47"/>
      <c r="CA75" s="47"/>
      <c r="CB75" s="47"/>
      <c r="CC75" s="47"/>
      <c r="CD75" s="47"/>
      <c r="CE75" s="47"/>
      <c r="CF75" s="47"/>
      <c r="CG75" s="47"/>
      <c r="CH75" s="47"/>
      <c r="CI75" s="47"/>
      <c r="CJ75" s="47"/>
      <c r="CK75" s="47"/>
      <c r="CL75" s="47"/>
      <c r="CM75" s="47"/>
      <c r="CN75" s="47"/>
      <c r="CO75" s="47"/>
      <c r="CP75" s="47"/>
    </row>
    <row r="76" spans="1:122" x14ac:dyDescent="0.2">
      <c r="A76" s="89"/>
      <c r="B76" s="90"/>
      <c r="C76" s="90"/>
      <c r="D76" s="90"/>
      <c r="E76" s="88"/>
      <c r="F76" s="88"/>
      <c r="G76" s="88"/>
      <c r="H76" s="88"/>
      <c r="I76" s="88"/>
      <c r="J76" s="88"/>
      <c r="K76" s="88"/>
      <c r="L76" s="91"/>
      <c r="M76" s="91"/>
      <c r="N76" s="88" t="s">
        <v>53</v>
      </c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/>
      <c r="AB76" s="52"/>
      <c r="AC76" s="52"/>
      <c r="AD76" s="52"/>
      <c r="AE76" s="52"/>
      <c r="AF76" s="52"/>
      <c r="AG76" s="52"/>
      <c r="AH76" s="52"/>
      <c r="AI76" s="52"/>
      <c r="AJ76" s="52"/>
      <c r="AK76" s="52"/>
      <c r="AL76" s="52"/>
      <c r="AM76" s="52"/>
      <c r="AN76" s="52"/>
      <c r="AO76" s="52"/>
      <c r="AP76" s="52"/>
      <c r="AQ76" s="52"/>
      <c r="AR76" s="52"/>
      <c r="AS76" s="52"/>
      <c r="AT76" s="52"/>
      <c r="AU76" s="52"/>
      <c r="AV76" s="52"/>
      <c r="AW76" s="52"/>
      <c r="AX76" s="52"/>
      <c r="AY76" s="52"/>
      <c r="AZ76" s="52"/>
      <c r="BA76" s="52"/>
      <c r="BB76" s="52"/>
      <c r="BC76" s="52"/>
      <c r="BD76" s="52"/>
      <c r="BE76" s="52"/>
      <c r="BF76" s="52"/>
      <c r="BG76" s="52"/>
      <c r="BH76" s="52"/>
      <c r="BI76" s="52"/>
      <c r="BJ76" s="52"/>
      <c r="BK76" s="52"/>
      <c r="BL76" s="52"/>
      <c r="BM76" s="52"/>
      <c r="BN76" s="52"/>
      <c r="BO76" s="52"/>
      <c r="BP76" s="52"/>
      <c r="BQ76" s="52"/>
      <c r="BR76" s="52"/>
      <c r="BS76" s="52"/>
      <c r="BT76" s="52"/>
      <c r="BU76" s="52"/>
      <c r="BV76" s="52"/>
      <c r="BW76" s="52"/>
      <c r="BX76" s="52"/>
      <c r="BY76" s="52"/>
      <c r="BZ76" s="52"/>
      <c r="CA76" s="52"/>
      <c r="CB76" s="52"/>
      <c r="CC76" s="52"/>
      <c r="CD76" s="52"/>
      <c r="CE76" s="52"/>
      <c r="CF76" s="52"/>
      <c r="CG76" s="52"/>
      <c r="CH76" s="52"/>
      <c r="CI76" s="52"/>
      <c r="CJ76" s="52"/>
      <c r="CK76" s="52"/>
      <c r="CL76" s="52"/>
      <c r="CM76" s="52"/>
      <c r="CN76" s="52"/>
      <c r="CO76" s="52"/>
      <c r="CP76" s="52"/>
      <c r="CR76" s="178" t="s">
        <v>171</v>
      </c>
      <c r="CS76" s="186"/>
      <c r="CT76" s="186"/>
      <c r="CU76" s="186"/>
      <c r="CV76" s="186"/>
      <c r="CW76" s="186"/>
      <c r="CX76" s="186"/>
      <c r="CY76" s="186"/>
      <c r="CZ76" s="186"/>
      <c r="DA76" s="186"/>
      <c r="DB76" s="186"/>
      <c r="DC76" s="186"/>
      <c r="DD76" s="186"/>
      <c r="DE76" s="186"/>
      <c r="DF76" s="186"/>
      <c r="DG76" s="186"/>
      <c r="DH76" s="186"/>
      <c r="DI76" s="186"/>
      <c r="DJ76" s="186"/>
      <c r="DK76" s="186"/>
      <c r="DL76" s="186"/>
      <c r="DM76" s="186"/>
      <c r="DN76" s="186"/>
      <c r="DO76" s="186"/>
      <c r="DP76" s="186"/>
      <c r="DQ76" s="186"/>
      <c r="DR76" s="186"/>
    </row>
    <row r="77" spans="1:122" ht="39.65" customHeight="1" x14ac:dyDescent="0.2">
      <c r="A77" s="92" t="s">
        <v>63</v>
      </c>
      <c r="B77" s="93" t="s">
        <v>55</v>
      </c>
      <c r="C77" s="93" t="s">
        <v>56</v>
      </c>
      <c r="D77" s="93" t="s">
        <v>57</v>
      </c>
      <c r="E77" s="93" t="s">
        <v>58</v>
      </c>
      <c r="F77" s="94" t="s">
        <v>59</v>
      </c>
      <c r="G77" s="94" t="s">
        <v>59</v>
      </c>
      <c r="H77" s="94" t="s">
        <v>59</v>
      </c>
      <c r="I77" s="94" t="s">
        <v>59</v>
      </c>
      <c r="J77" s="94" t="s">
        <v>59</v>
      </c>
      <c r="K77" s="94" t="s">
        <v>59</v>
      </c>
      <c r="L77" s="56" t="s">
        <v>2</v>
      </c>
      <c r="M77" s="56" t="s">
        <v>60</v>
      </c>
      <c r="N77" s="95" t="s">
        <v>61</v>
      </c>
      <c r="O77" s="58"/>
      <c r="P77" s="58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8"/>
      <c r="AG77" s="58"/>
      <c r="AH77" s="58"/>
      <c r="AI77" s="58"/>
      <c r="AJ77" s="58"/>
      <c r="AK77" s="58"/>
      <c r="AL77" s="58"/>
      <c r="AM77" s="58"/>
      <c r="AN77" s="58"/>
      <c r="AO77" s="58"/>
      <c r="AP77" s="58"/>
      <c r="AQ77" s="58"/>
      <c r="AR77" s="58"/>
      <c r="AS77" s="58"/>
      <c r="AT77" s="58"/>
      <c r="AU77" s="58"/>
      <c r="AV77" s="58"/>
      <c r="AW77" s="58"/>
      <c r="AX77" s="58"/>
      <c r="AY77" s="58"/>
      <c r="AZ77" s="58"/>
      <c r="BA77" s="58"/>
      <c r="BB77" s="58"/>
      <c r="BC77" s="58"/>
      <c r="BD77" s="58"/>
      <c r="BE77" s="58"/>
      <c r="BF77" s="58"/>
      <c r="BG77" s="58"/>
      <c r="BH77" s="58"/>
      <c r="BI77" s="58"/>
      <c r="BJ77" s="58"/>
      <c r="BK77" s="58"/>
      <c r="BL77" s="58"/>
      <c r="BM77" s="58"/>
      <c r="BN77" s="58"/>
      <c r="BO77" s="58"/>
      <c r="BP77" s="58"/>
      <c r="BQ77" s="58"/>
      <c r="BR77" s="58"/>
      <c r="BS77" s="58"/>
      <c r="BT77" s="58"/>
      <c r="BU77" s="58"/>
      <c r="BV77" s="58"/>
      <c r="BW77" s="58"/>
      <c r="BX77" s="58"/>
      <c r="BY77" s="58"/>
      <c r="BZ77" s="58"/>
      <c r="CA77" s="58"/>
      <c r="CB77" s="58"/>
      <c r="CC77" s="58"/>
      <c r="CD77" s="58"/>
      <c r="CE77" s="58"/>
      <c r="CF77" s="58"/>
      <c r="CG77" s="58"/>
      <c r="CH77" s="58"/>
      <c r="CI77" s="58"/>
      <c r="CJ77" s="58"/>
      <c r="CK77" s="58"/>
      <c r="CL77" s="58"/>
      <c r="CM77" s="58"/>
      <c r="CN77" s="58"/>
      <c r="CO77" s="58"/>
      <c r="CP77" s="58"/>
    </row>
    <row r="78" spans="1:122" x14ac:dyDescent="0.2">
      <c r="A78" s="59"/>
      <c r="B78" s="60"/>
      <c r="C78" s="60"/>
      <c r="D78" s="60"/>
      <c r="E78" s="61"/>
      <c r="F78" s="114"/>
      <c r="G78" s="114"/>
      <c r="H78" s="114"/>
      <c r="I78" s="114"/>
      <c r="J78" s="114"/>
      <c r="K78" s="114"/>
      <c r="L78" s="68"/>
      <c r="M78" s="63"/>
      <c r="N78" s="61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  <c r="CJ78" s="65"/>
      <c r="CK78" s="65"/>
      <c r="CL78" s="65"/>
      <c r="CM78" s="65"/>
      <c r="CN78" s="65"/>
      <c r="CO78" s="65"/>
      <c r="CP78" s="65"/>
      <c r="CR78" s="179" t="s">
        <v>172</v>
      </c>
    </row>
    <row r="79" spans="1:122" x14ac:dyDescent="0.2">
      <c r="A79" s="59"/>
      <c r="B79" s="66"/>
      <c r="C79" s="66"/>
      <c r="D79" s="66"/>
      <c r="E79" s="59"/>
      <c r="F79" s="59"/>
      <c r="G79" s="59"/>
      <c r="H79" s="59"/>
      <c r="I79" s="59"/>
      <c r="J79" s="59"/>
      <c r="K79" s="59"/>
      <c r="L79" s="68"/>
      <c r="M79" s="63"/>
      <c r="N79" s="59"/>
      <c r="O79" s="69"/>
      <c r="P79" s="70"/>
      <c r="Q79" s="70"/>
      <c r="R79" s="70"/>
      <c r="S79" s="70"/>
      <c r="T79" s="70"/>
      <c r="U79" s="70"/>
      <c r="V79" s="70"/>
      <c r="W79" s="70"/>
      <c r="X79" s="70"/>
      <c r="Y79" s="70"/>
      <c r="Z79" s="70"/>
      <c r="AA79" s="70"/>
      <c r="AB79" s="70"/>
      <c r="AC79" s="70"/>
      <c r="AD79" s="70"/>
      <c r="AE79" s="70"/>
      <c r="AF79" s="70"/>
      <c r="AG79" s="70"/>
      <c r="AH79" s="70"/>
      <c r="AI79" s="70"/>
      <c r="AJ79" s="70"/>
      <c r="AK79" s="70"/>
      <c r="AL79" s="70"/>
      <c r="AM79" s="70"/>
      <c r="AN79" s="70"/>
      <c r="AO79" s="70"/>
      <c r="AP79" s="70"/>
      <c r="AQ79" s="70"/>
      <c r="AR79" s="70"/>
      <c r="AS79" s="70"/>
      <c r="AT79" s="70"/>
      <c r="AU79" s="70"/>
      <c r="AV79" s="70"/>
      <c r="AW79" s="70"/>
      <c r="AX79" s="70"/>
      <c r="AY79" s="70"/>
      <c r="AZ79" s="70"/>
      <c r="BA79" s="70"/>
      <c r="BB79" s="70"/>
      <c r="BC79" s="70"/>
      <c r="BD79" s="70"/>
      <c r="BE79" s="70"/>
      <c r="BF79" s="70"/>
      <c r="BG79" s="70"/>
      <c r="BH79" s="70"/>
      <c r="BI79" s="70"/>
      <c r="BJ79" s="70"/>
      <c r="BK79" s="70"/>
      <c r="BL79" s="70"/>
      <c r="BM79" s="70"/>
      <c r="BN79" s="70"/>
      <c r="BO79" s="70"/>
      <c r="BP79" s="70"/>
      <c r="BQ79" s="70"/>
      <c r="BR79" s="70"/>
      <c r="BS79" s="70"/>
      <c r="BT79" s="70"/>
      <c r="BU79" s="70"/>
      <c r="BV79" s="70"/>
      <c r="BW79" s="70"/>
      <c r="BX79" s="70"/>
      <c r="BY79" s="70"/>
      <c r="BZ79" s="70"/>
      <c r="CA79" s="70"/>
      <c r="CB79" s="70"/>
      <c r="CC79" s="70"/>
      <c r="CD79" s="70"/>
      <c r="CE79" s="70"/>
      <c r="CF79" s="70"/>
      <c r="CG79" s="70"/>
      <c r="CH79" s="70"/>
      <c r="CI79" s="70"/>
      <c r="CJ79" s="70"/>
      <c r="CK79" s="70"/>
      <c r="CL79" s="70"/>
      <c r="CM79" s="70"/>
      <c r="CN79" s="70"/>
      <c r="CO79" s="70"/>
      <c r="CP79" s="70"/>
      <c r="CR79" s="180"/>
    </row>
    <row r="80" spans="1:122" x14ac:dyDescent="0.2">
      <c r="B80" s="66"/>
      <c r="C80" s="66"/>
      <c r="D80" s="66"/>
      <c r="E80" s="59"/>
      <c r="F80" s="59"/>
      <c r="G80" s="59"/>
      <c r="H80" s="59"/>
      <c r="I80" s="59"/>
      <c r="J80" s="59"/>
      <c r="K80" s="59"/>
      <c r="L80" s="68"/>
      <c r="M80" s="63"/>
      <c r="N80" s="59"/>
      <c r="O80" s="69"/>
      <c r="P80" s="70"/>
      <c r="Q80" s="70"/>
      <c r="R80" s="70"/>
      <c r="S80" s="70"/>
      <c r="T80" s="70"/>
      <c r="U80" s="70"/>
      <c r="V80" s="70"/>
      <c r="W80" s="70"/>
      <c r="X80" s="70"/>
      <c r="Y80" s="70"/>
      <c r="Z80" s="70"/>
      <c r="AA80" s="70"/>
      <c r="AB80" s="70"/>
      <c r="AC80" s="70"/>
      <c r="AD80" s="70"/>
      <c r="AE80" s="70"/>
      <c r="AF80" s="70"/>
      <c r="AG80" s="70"/>
      <c r="AH80" s="70"/>
      <c r="AI80" s="70"/>
      <c r="AJ80" s="70"/>
      <c r="AK80" s="70"/>
      <c r="AL80" s="70"/>
      <c r="AM80" s="70"/>
      <c r="AN80" s="70"/>
      <c r="AO80" s="70"/>
      <c r="AP80" s="70"/>
      <c r="AQ80" s="70"/>
      <c r="AR80" s="70"/>
      <c r="AS80" s="70"/>
      <c r="AT80" s="70"/>
      <c r="AU80" s="70"/>
      <c r="AV80" s="70"/>
      <c r="AW80" s="70"/>
      <c r="AX80" s="70"/>
      <c r="AY80" s="70"/>
      <c r="AZ80" s="70"/>
      <c r="BA80" s="70"/>
      <c r="BB80" s="70"/>
      <c r="BC80" s="70"/>
      <c r="BD80" s="70"/>
      <c r="BE80" s="70"/>
      <c r="BF80" s="70"/>
      <c r="BG80" s="70"/>
      <c r="BH80" s="70"/>
      <c r="BI80" s="70"/>
      <c r="BJ80" s="70"/>
      <c r="BK80" s="70"/>
      <c r="BL80" s="70"/>
      <c r="BM80" s="70"/>
      <c r="BN80" s="70"/>
      <c r="BO80" s="70"/>
      <c r="BP80" s="70"/>
      <c r="BQ80" s="70"/>
      <c r="BR80" s="70"/>
      <c r="BS80" s="70"/>
      <c r="BT80" s="70"/>
      <c r="BU80" s="70"/>
      <c r="BV80" s="70"/>
      <c r="BW80" s="70"/>
      <c r="BX80" s="70"/>
      <c r="BY80" s="70"/>
      <c r="BZ80" s="70"/>
      <c r="CA80" s="70"/>
      <c r="CB80" s="70"/>
      <c r="CC80" s="70"/>
      <c r="CD80" s="70"/>
      <c r="CE80" s="70"/>
      <c r="CF80" s="70"/>
      <c r="CG80" s="70"/>
      <c r="CH80" s="70"/>
      <c r="CI80" s="70"/>
      <c r="CJ80" s="70"/>
      <c r="CK80" s="70"/>
      <c r="CL80" s="70"/>
      <c r="CM80" s="70"/>
      <c r="CN80" s="70"/>
      <c r="CO80" s="70"/>
      <c r="CP80" s="70"/>
      <c r="CR80" s="180"/>
    </row>
    <row r="81" spans="1:96" x14ac:dyDescent="0.2">
      <c r="A81" s="59"/>
      <c r="B81" s="66"/>
      <c r="C81" s="66"/>
      <c r="D81" s="66"/>
      <c r="E81" s="59"/>
      <c r="F81" s="59"/>
      <c r="G81" s="59"/>
      <c r="H81" s="59"/>
      <c r="I81" s="59"/>
      <c r="J81" s="59"/>
      <c r="K81" s="59"/>
      <c r="L81" s="68"/>
      <c r="M81" s="63"/>
      <c r="N81" s="59"/>
      <c r="O81" s="69"/>
      <c r="P81" s="70"/>
      <c r="Q81" s="70"/>
      <c r="R81" s="70"/>
      <c r="S81" s="70"/>
      <c r="T81" s="70"/>
      <c r="U81" s="70"/>
      <c r="V81" s="70"/>
      <c r="W81" s="70"/>
      <c r="X81" s="70"/>
      <c r="Y81" s="70"/>
      <c r="Z81" s="70"/>
      <c r="AA81" s="70"/>
      <c r="AB81" s="70"/>
      <c r="AC81" s="70"/>
      <c r="AD81" s="70"/>
      <c r="AE81" s="70"/>
      <c r="AF81" s="70"/>
      <c r="AG81" s="70"/>
      <c r="AH81" s="70"/>
      <c r="AI81" s="70"/>
      <c r="AJ81" s="70"/>
      <c r="AK81" s="70"/>
      <c r="AL81" s="70"/>
      <c r="AM81" s="70"/>
      <c r="AN81" s="70"/>
      <c r="AO81" s="70"/>
      <c r="AP81" s="70"/>
      <c r="AQ81" s="70"/>
      <c r="AR81" s="70"/>
      <c r="AS81" s="70"/>
      <c r="AT81" s="70"/>
      <c r="AU81" s="70"/>
      <c r="AV81" s="70"/>
      <c r="AW81" s="70"/>
      <c r="AX81" s="70"/>
      <c r="AY81" s="70"/>
      <c r="AZ81" s="70"/>
      <c r="BA81" s="70"/>
      <c r="BB81" s="70"/>
      <c r="BC81" s="70"/>
      <c r="BD81" s="70"/>
      <c r="BE81" s="70"/>
      <c r="BF81" s="70"/>
      <c r="BG81" s="70"/>
      <c r="BH81" s="70"/>
      <c r="BI81" s="70"/>
      <c r="BJ81" s="70"/>
      <c r="BK81" s="70"/>
      <c r="BL81" s="70"/>
      <c r="BM81" s="70"/>
      <c r="BN81" s="70"/>
      <c r="BO81" s="70"/>
      <c r="BP81" s="70"/>
      <c r="BQ81" s="70"/>
      <c r="BR81" s="70"/>
      <c r="BS81" s="70"/>
      <c r="BT81" s="70"/>
      <c r="BU81" s="70"/>
      <c r="BV81" s="70"/>
      <c r="BW81" s="70"/>
      <c r="BX81" s="70"/>
      <c r="BY81" s="70"/>
      <c r="BZ81" s="70"/>
      <c r="CA81" s="70"/>
      <c r="CB81" s="70"/>
      <c r="CC81" s="70"/>
      <c r="CD81" s="70"/>
      <c r="CE81" s="70"/>
      <c r="CF81" s="70"/>
      <c r="CG81" s="70"/>
      <c r="CH81" s="70"/>
      <c r="CI81" s="70"/>
      <c r="CJ81" s="70"/>
      <c r="CK81" s="70"/>
      <c r="CL81" s="70"/>
      <c r="CM81" s="70"/>
      <c r="CN81" s="70"/>
      <c r="CO81" s="70"/>
      <c r="CP81" s="70"/>
      <c r="CR81" s="180"/>
    </row>
    <row r="82" spans="1:96" x14ac:dyDescent="0.2">
      <c r="B82" s="66"/>
      <c r="C82" s="66"/>
      <c r="D82" s="66"/>
      <c r="E82" s="59"/>
      <c r="F82" s="59"/>
      <c r="G82" s="59"/>
      <c r="H82" s="59"/>
      <c r="I82" s="59"/>
      <c r="J82" s="59"/>
      <c r="K82" s="59"/>
      <c r="L82" s="68"/>
      <c r="M82" s="63"/>
      <c r="N82" s="59"/>
      <c r="O82" s="69"/>
      <c r="P82" s="70"/>
      <c r="Q82" s="70"/>
      <c r="R82" s="70"/>
      <c r="S82" s="70"/>
      <c r="T82" s="70"/>
      <c r="U82" s="70"/>
      <c r="V82" s="70"/>
      <c r="W82" s="70"/>
      <c r="X82" s="70"/>
      <c r="Y82" s="70"/>
      <c r="Z82" s="70"/>
      <c r="AA82" s="70"/>
      <c r="AB82" s="70"/>
      <c r="AC82" s="70"/>
      <c r="AD82" s="70"/>
      <c r="AE82" s="70"/>
      <c r="AF82" s="70"/>
      <c r="AG82" s="70"/>
      <c r="AH82" s="70"/>
      <c r="AI82" s="70"/>
      <c r="AJ82" s="70"/>
      <c r="AK82" s="70"/>
      <c r="AL82" s="70"/>
      <c r="AM82" s="70"/>
      <c r="AN82" s="70"/>
      <c r="AO82" s="70"/>
      <c r="AP82" s="70"/>
      <c r="AQ82" s="70"/>
      <c r="AR82" s="70"/>
      <c r="AS82" s="70"/>
      <c r="AT82" s="70"/>
      <c r="AU82" s="70"/>
      <c r="AV82" s="70"/>
      <c r="AW82" s="70"/>
      <c r="AX82" s="70"/>
      <c r="AY82" s="70"/>
      <c r="AZ82" s="70"/>
      <c r="BA82" s="70"/>
      <c r="BB82" s="70"/>
      <c r="BC82" s="70"/>
      <c r="BD82" s="70"/>
      <c r="BE82" s="70"/>
      <c r="BF82" s="70"/>
      <c r="BG82" s="70"/>
      <c r="BH82" s="70"/>
      <c r="BI82" s="70"/>
      <c r="BJ82" s="70"/>
      <c r="BK82" s="70"/>
      <c r="BL82" s="70"/>
      <c r="BM82" s="70"/>
      <c r="BN82" s="70"/>
      <c r="BO82" s="70"/>
      <c r="BP82" s="70"/>
      <c r="BQ82" s="70"/>
      <c r="BR82" s="70"/>
      <c r="BS82" s="70"/>
      <c r="BT82" s="70"/>
      <c r="BU82" s="70"/>
      <c r="BV82" s="70"/>
      <c r="BW82" s="70"/>
      <c r="BX82" s="70"/>
      <c r="BY82" s="70"/>
      <c r="BZ82" s="70"/>
      <c r="CA82" s="70"/>
      <c r="CB82" s="70"/>
      <c r="CC82" s="70"/>
      <c r="CD82" s="70"/>
      <c r="CE82" s="70"/>
      <c r="CF82" s="70"/>
      <c r="CG82" s="70"/>
      <c r="CH82" s="70"/>
      <c r="CI82" s="70"/>
      <c r="CJ82" s="70"/>
      <c r="CK82" s="70"/>
      <c r="CL82" s="70"/>
      <c r="CM82" s="70"/>
      <c r="CN82" s="70"/>
      <c r="CO82" s="70"/>
      <c r="CP82" s="70"/>
      <c r="CR82" s="180"/>
    </row>
    <row r="83" spans="1:96" x14ac:dyDescent="0.2">
      <c r="A83" s="59"/>
      <c r="B83" s="66"/>
      <c r="C83" s="66"/>
      <c r="D83" s="66"/>
      <c r="E83" s="59"/>
      <c r="F83" s="59"/>
      <c r="G83" s="59"/>
      <c r="H83" s="59"/>
      <c r="I83" s="59"/>
      <c r="J83" s="59"/>
      <c r="K83" s="59"/>
      <c r="L83" s="68"/>
      <c r="M83" s="63"/>
      <c r="N83" s="59"/>
      <c r="O83" s="69"/>
      <c r="P83" s="70"/>
      <c r="Q83" s="70"/>
      <c r="R83" s="70"/>
      <c r="S83" s="70"/>
      <c r="T83" s="70"/>
      <c r="U83" s="70"/>
      <c r="V83" s="70"/>
      <c r="W83" s="70"/>
      <c r="X83" s="70"/>
      <c r="Y83" s="70"/>
      <c r="Z83" s="70"/>
      <c r="AA83" s="70"/>
      <c r="AB83" s="70"/>
      <c r="AC83" s="70"/>
      <c r="AD83" s="70"/>
      <c r="AE83" s="70"/>
      <c r="AF83" s="70"/>
      <c r="AG83" s="70"/>
      <c r="AH83" s="70"/>
      <c r="AI83" s="70"/>
      <c r="AJ83" s="70"/>
      <c r="AK83" s="70"/>
      <c r="AL83" s="70"/>
      <c r="AM83" s="70"/>
      <c r="AN83" s="70"/>
      <c r="AO83" s="70"/>
      <c r="AP83" s="70"/>
      <c r="AQ83" s="70"/>
      <c r="AR83" s="70"/>
      <c r="AS83" s="70"/>
      <c r="AT83" s="70"/>
      <c r="AU83" s="70"/>
      <c r="AV83" s="70"/>
      <c r="AW83" s="70"/>
      <c r="AX83" s="70"/>
      <c r="AY83" s="70"/>
      <c r="AZ83" s="70"/>
      <c r="BA83" s="70"/>
      <c r="BB83" s="70"/>
      <c r="BC83" s="70"/>
      <c r="BD83" s="70"/>
      <c r="BE83" s="70"/>
      <c r="BF83" s="70"/>
      <c r="BG83" s="70"/>
      <c r="BH83" s="70"/>
      <c r="BI83" s="70"/>
      <c r="BJ83" s="70"/>
      <c r="BK83" s="70"/>
      <c r="BL83" s="70"/>
      <c r="BM83" s="70"/>
      <c r="BN83" s="70"/>
      <c r="BO83" s="70"/>
      <c r="BP83" s="70"/>
      <c r="BQ83" s="70"/>
      <c r="BR83" s="70"/>
      <c r="BS83" s="70"/>
      <c r="BT83" s="70"/>
      <c r="BU83" s="70"/>
      <c r="BV83" s="70"/>
      <c r="BW83" s="70"/>
      <c r="BX83" s="70"/>
      <c r="BY83" s="70"/>
      <c r="BZ83" s="70"/>
      <c r="CA83" s="70"/>
      <c r="CB83" s="70"/>
      <c r="CC83" s="70"/>
      <c r="CD83" s="70"/>
      <c r="CE83" s="70"/>
      <c r="CF83" s="70"/>
      <c r="CG83" s="70"/>
      <c r="CH83" s="70"/>
      <c r="CI83" s="70"/>
      <c r="CJ83" s="70"/>
      <c r="CK83" s="70"/>
      <c r="CL83" s="70"/>
      <c r="CM83" s="70"/>
      <c r="CN83" s="70"/>
      <c r="CO83" s="70"/>
      <c r="CP83" s="70"/>
      <c r="CR83" s="180"/>
    </row>
    <row r="84" spans="1:96" x14ac:dyDescent="0.2">
      <c r="B84" s="66"/>
      <c r="C84" s="66"/>
      <c r="D84" s="66"/>
      <c r="E84" s="59"/>
      <c r="F84" s="59"/>
      <c r="G84" s="59"/>
      <c r="H84" s="59"/>
      <c r="I84" s="59"/>
      <c r="J84" s="59"/>
      <c r="K84" s="59"/>
      <c r="L84" s="68"/>
      <c r="M84" s="63"/>
      <c r="N84" s="59"/>
      <c r="O84" s="69"/>
      <c r="P84" s="70"/>
      <c r="Q84" s="70"/>
      <c r="R84" s="70"/>
      <c r="S84" s="70"/>
      <c r="T84" s="70"/>
      <c r="U84" s="70"/>
      <c r="V84" s="70"/>
      <c r="W84" s="70"/>
      <c r="X84" s="70"/>
      <c r="Y84" s="70"/>
      <c r="Z84" s="70"/>
      <c r="AA84" s="70"/>
      <c r="AB84" s="70"/>
      <c r="AC84" s="70"/>
      <c r="AD84" s="70"/>
      <c r="AE84" s="70"/>
      <c r="AF84" s="70"/>
      <c r="AG84" s="70"/>
      <c r="AH84" s="70"/>
      <c r="AI84" s="70"/>
      <c r="AJ84" s="70"/>
      <c r="AK84" s="70"/>
      <c r="AL84" s="70"/>
      <c r="AM84" s="70"/>
      <c r="AN84" s="70"/>
      <c r="AO84" s="70"/>
      <c r="AP84" s="70"/>
      <c r="AQ84" s="70"/>
      <c r="AR84" s="70"/>
      <c r="AS84" s="70"/>
      <c r="AT84" s="70"/>
      <c r="AU84" s="70"/>
      <c r="AV84" s="70"/>
      <c r="AW84" s="70"/>
      <c r="AX84" s="70"/>
      <c r="AY84" s="70"/>
      <c r="AZ84" s="70"/>
      <c r="BA84" s="70"/>
      <c r="BB84" s="70"/>
      <c r="BC84" s="70"/>
      <c r="BD84" s="70"/>
      <c r="BE84" s="70"/>
      <c r="BF84" s="70"/>
      <c r="BG84" s="70"/>
      <c r="BH84" s="70"/>
      <c r="BI84" s="70"/>
      <c r="BJ84" s="70"/>
      <c r="BK84" s="70"/>
      <c r="BL84" s="70"/>
      <c r="BM84" s="70"/>
      <c r="BN84" s="70"/>
      <c r="BO84" s="70"/>
      <c r="BP84" s="70"/>
      <c r="BQ84" s="70"/>
      <c r="BR84" s="70"/>
      <c r="BS84" s="70"/>
      <c r="BT84" s="70"/>
      <c r="BU84" s="70"/>
      <c r="BV84" s="70"/>
      <c r="BW84" s="70"/>
      <c r="BX84" s="70"/>
      <c r="BY84" s="70"/>
      <c r="BZ84" s="70"/>
      <c r="CA84" s="70"/>
      <c r="CB84" s="70"/>
      <c r="CC84" s="70"/>
      <c r="CD84" s="70"/>
      <c r="CE84" s="70"/>
      <c r="CF84" s="70"/>
      <c r="CG84" s="70"/>
      <c r="CH84" s="70"/>
      <c r="CI84" s="70"/>
      <c r="CJ84" s="70"/>
      <c r="CK84" s="70"/>
      <c r="CL84" s="70"/>
      <c r="CM84" s="70"/>
      <c r="CN84" s="70"/>
      <c r="CO84" s="70"/>
      <c r="CP84" s="70"/>
      <c r="CR84" s="180"/>
    </row>
    <row r="85" spans="1:96" x14ac:dyDescent="0.2">
      <c r="A85" s="59"/>
      <c r="B85" s="66"/>
      <c r="C85" s="66"/>
      <c r="D85" s="66"/>
      <c r="E85" s="59"/>
      <c r="F85" s="59"/>
      <c r="G85" s="59"/>
      <c r="H85" s="59"/>
      <c r="I85" s="59"/>
      <c r="J85" s="59"/>
      <c r="K85" s="59"/>
      <c r="L85" s="68"/>
      <c r="M85" s="63"/>
      <c r="N85" s="59"/>
      <c r="O85" s="69"/>
      <c r="P85" s="70"/>
      <c r="Q85" s="70"/>
      <c r="R85" s="70"/>
      <c r="S85" s="70"/>
      <c r="T85" s="70"/>
      <c r="U85" s="70"/>
      <c r="V85" s="70"/>
      <c r="W85" s="70"/>
      <c r="X85" s="70"/>
      <c r="Y85" s="70"/>
      <c r="Z85" s="70"/>
      <c r="AA85" s="70"/>
      <c r="AB85" s="70"/>
      <c r="AC85" s="70"/>
      <c r="AD85" s="70"/>
      <c r="AE85" s="70"/>
      <c r="AF85" s="70"/>
      <c r="AG85" s="70"/>
      <c r="AH85" s="70"/>
      <c r="AI85" s="70"/>
      <c r="AJ85" s="70"/>
      <c r="AK85" s="70"/>
      <c r="AL85" s="70"/>
      <c r="AM85" s="70"/>
      <c r="AN85" s="70"/>
      <c r="AO85" s="70"/>
      <c r="AP85" s="70"/>
      <c r="AQ85" s="70"/>
      <c r="AR85" s="70"/>
      <c r="AS85" s="70"/>
      <c r="AT85" s="70"/>
      <c r="AU85" s="70"/>
      <c r="AV85" s="70"/>
      <c r="AW85" s="70"/>
      <c r="AX85" s="70"/>
      <c r="AY85" s="70"/>
      <c r="AZ85" s="70"/>
      <c r="BA85" s="70"/>
      <c r="BB85" s="70"/>
      <c r="BC85" s="70"/>
      <c r="BD85" s="70"/>
      <c r="BE85" s="70"/>
      <c r="BF85" s="70"/>
      <c r="BG85" s="70"/>
      <c r="BH85" s="70"/>
      <c r="BI85" s="70"/>
      <c r="BJ85" s="70"/>
      <c r="BK85" s="70"/>
      <c r="BL85" s="70"/>
      <c r="BM85" s="70"/>
      <c r="BN85" s="70"/>
      <c r="BO85" s="70"/>
      <c r="BP85" s="70"/>
      <c r="BQ85" s="70"/>
      <c r="BR85" s="70"/>
      <c r="BS85" s="70"/>
      <c r="BT85" s="70"/>
      <c r="BU85" s="70"/>
      <c r="BV85" s="70"/>
      <c r="BW85" s="70"/>
      <c r="BX85" s="70"/>
      <c r="BY85" s="70"/>
      <c r="BZ85" s="70"/>
      <c r="CA85" s="70"/>
      <c r="CB85" s="70"/>
      <c r="CC85" s="70"/>
      <c r="CD85" s="70"/>
      <c r="CE85" s="70"/>
      <c r="CF85" s="70"/>
      <c r="CG85" s="70"/>
      <c r="CH85" s="70"/>
      <c r="CI85" s="70"/>
      <c r="CJ85" s="70"/>
      <c r="CK85" s="70"/>
      <c r="CL85" s="70"/>
      <c r="CM85" s="70"/>
      <c r="CN85" s="70"/>
      <c r="CO85" s="70"/>
      <c r="CP85" s="70"/>
      <c r="CR85" s="180"/>
    </row>
    <row r="86" spans="1:96" x14ac:dyDescent="0.2">
      <c r="B86" s="66"/>
      <c r="C86" s="66"/>
      <c r="D86" s="66"/>
      <c r="E86" s="59"/>
      <c r="F86" s="59"/>
      <c r="G86" s="59"/>
      <c r="H86" s="59"/>
      <c r="I86" s="59"/>
      <c r="J86" s="59"/>
      <c r="K86" s="59"/>
      <c r="L86" s="68"/>
      <c r="M86" s="63"/>
      <c r="N86" s="59"/>
      <c r="O86" s="69"/>
      <c r="P86" s="70"/>
      <c r="Q86" s="70"/>
      <c r="R86" s="70"/>
      <c r="S86" s="70"/>
      <c r="T86" s="70"/>
      <c r="U86" s="70"/>
      <c r="V86" s="70"/>
      <c r="W86" s="70"/>
      <c r="X86" s="70"/>
      <c r="Y86" s="70"/>
      <c r="Z86" s="70"/>
      <c r="AA86" s="70"/>
      <c r="AB86" s="70"/>
      <c r="AC86" s="70"/>
      <c r="AD86" s="70"/>
      <c r="AE86" s="70"/>
      <c r="AF86" s="70"/>
      <c r="AG86" s="70"/>
      <c r="AH86" s="70"/>
      <c r="AI86" s="70"/>
      <c r="AJ86" s="70"/>
      <c r="AK86" s="70"/>
      <c r="AL86" s="70"/>
      <c r="AM86" s="70"/>
      <c r="AN86" s="70"/>
      <c r="AO86" s="70"/>
      <c r="AP86" s="70"/>
      <c r="AQ86" s="70"/>
      <c r="AR86" s="70"/>
      <c r="AS86" s="70"/>
      <c r="AT86" s="70"/>
      <c r="AU86" s="70"/>
      <c r="AV86" s="70"/>
      <c r="AW86" s="70"/>
      <c r="AX86" s="70"/>
      <c r="AY86" s="70"/>
      <c r="AZ86" s="70"/>
      <c r="BA86" s="70"/>
      <c r="BB86" s="70"/>
      <c r="BC86" s="70"/>
      <c r="BD86" s="70"/>
      <c r="BE86" s="70"/>
      <c r="BF86" s="70"/>
      <c r="BG86" s="70"/>
      <c r="BH86" s="70"/>
      <c r="BI86" s="70"/>
      <c r="BJ86" s="70"/>
      <c r="BK86" s="70"/>
      <c r="BL86" s="70"/>
      <c r="BM86" s="70"/>
      <c r="BN86" s="70"/>
      <c r="BO86" s="70"/>
      <c r="BP86" s="70"/>
      <c r="BQ86" s="70"/>
      <c r="BR86" s="70"/>
      <c r="BS86" s="70"/>
      <c r="BT86" s="70"/>
      <c r="BU86" s="70"/>
      <c r="BV86" s="70"/>
      <c r="BW86" s="70"/>
      <c r="BX86" s="70"/>
      <c r="BY86" s="70"/>
      <c r="BZ86" s="70"/>
      <c r="CA86" s="70"/>
      <c r="CB86" s="70"/>
      <c r="CC86" s="70"/>
      <c r="CD86" s="70"/>
      <c r="CE86" s="70"/>
      <c r="CF86" s="70"/>
      <c r="CG86" s="70"/>
      <c r="CH86" s="70"/>
      <c r="CI86" s="70"/>
      <c r="CJ86" s="70"/>
      <c r="CK86" s="70"/>
      <c r="CL86" s="70"/>
      <c r="CM86" s="70"/>
      <c r="CN86" s="70"/>
      <c r="CO86" s="70"/>
      <c r="CP86" s="70"/>
      <c r="CR86" s="180"/>
    </row>
    <row r="87" spans="1:96" x14ac:dyDescent="0.2">
      <c r="A87" s="59"/>
      <c r="B87" s="66"/>
      <c r="C87" s="66"/>
      <c r="D87" s="66"/>
      <c r="E87" s="59"/>
      <c r="F87" s="59"/>
      <c r="G87" s="59"/>
      <c r="H87" s="59"/>
      <c r="I87" s="59"/>
      <c r="J87" s="59"/>
      <c r="K87" s="59"/>
      <c r="L87" s="68"/>
      <c r="M87" s="63"/>
      <c r="N87" s="59"/>
      <c r="O87" s="69"/>
      <c r="P87" s="70"/>
      <c r="Q87" s="70"/>
      <c r="R87" s="70"/>
      <c r="S87" s="70"/>
      <c r="T87" s="70"/>
      <c r="U87" s="70"/>
      <c r="V87" s="70"/>
      <c r="W87" s="70"/>
      <c r="X87" s="70"/>
      <c r="Y87" s="70"/>
      <c r="Z87" s="70"/>
      <c r="AA87" s="70"/>
      <c r="AB87" s="70"/>
      <c r="AC87" s="70"/>
      <c r="AD87" s="70"/>
      <c r="AE87" s="70"/>
      <c r="AF87" s="70"/>
      <c r="AG87" s="70"/>
      <c r="AH87" s="70"/>
      <c r="AI87" s="70"/>
      <c r="AJ87" s="70"/>
      <c r="AK87" s="70"/>
      <c r="AL87" s="70"/>
      <c r="AM87" s="70"/>
      <c r="AN87" s="70"/>
      <c r="AO87" s="70"/>
      <c r="AP87" s="70"/>
      <c r="AQ87" s="70"/>
      <c r="AR87" s="70"/>
      <c r="AS87" s="70"/>
      <c r="AT87" s="70"/>
      <c r="AU87" s="70"/>
      <c r="AV87" s="70"/>
      <c r="AW87" s="70"/>
      <c r="AX87" s="70"/>
      <c r="AY87" s="70"/>
      <c r="AZ87" s="70"/>
      <c r="BA87" s="70"/>
      <c r="BB87" s="70"/>
      <c r="BC87" s="70"/>
      <c r="BD87" s="70"/>
      <c r="BE87" s="70"/>
      <c r="BF87" s="70"/>
      <c r="BG87" s="70"/>
      <c r="BH87" s="70"/>
      <c r="BI87" s="70"/>
      <c r="BJ87" s="70"/>
      <c r="BK87" s="70"/>
      <c r="BL87" s="70"/>
      <c r="BM87" s="70"/>
      <c r="BN87" s="70"/>
      <c r="BO87" s="70"/>
      <c r="BP87" s="70"/>
      <c r="BQ87" s="70"/>
      <c r="BR87" s="70"/>
      <c r="BS87" s="70"/>
      <c r="BT87" s="70"/>
      <c r="BU87" s="70"/>
      <c r="BV87" s="70"/>
      <c r="BW87" s="70"/>
      <c r="BX87" s="70"/>
      <c r="BY87" s="70"/>
      <c r="BZ87" s="70"/>
      <c r="CA87" s="70"/>
      <c r="CB87" s="70"/>
      <c r="CC87" s="70"/>
      <c r="CD87" s="70"/>
      <c r="CE87" s="70"/>
      <c r="CF87" s="70"/>
      <c r="CG87" s="70"/>
      <c r="CH87" s="70"/>
      <c r="CI87" s="70"/>
      <c r="CJ87" s="70"/>
      <c r="CK87" s="70"/>
      <c r="CL87" s="70"/>
      <c r="CM87" s="70"/>
      <c r="CN87" s="70"/>
      <c r="CO87" s="70"/>
      <c r="CP87" s="70"/>
      <c r="CR87" s="180"/>
    </row>
    <row r="88" spans="1:96" x14ac:dyDescent="0.2">
      <c r="B88" s="66"/>
      <c r="C88" s="66"/>
      <c r="D88" s="66"/>
      <c r="E88" s="59"/>
      <c r="F88" s="59"/>
      <c r="G88" s="59"/>
      <c r="H88" s="59"/>
      <c r="I88" s="59"/>
      <c r="J88" s="59"/>
      <c r="K88" s="59"/>
      <c r="L88" s="68"/>
      <c r="M88" s="63"/>
      <c r="N88" s="59"/>
      <c r="O88" s="69"/>
      <c r="P88" s="70"/>
      <c r="Q88" s="70"/>
      <c r="R88" s="70"/>
      <c r="S88" s="70"/>
      <c r="T88" s="70"/>
      <c r="U88" s="70"/>
      <c r="V88" s="70"/>
      <c r="W88" s="70"/>
      <c r="X88" s="70"/>
      <c r="Y88" s="70"/>
      <c r="Z88" s="70"/>
      <c r="AA88" s="70"/>
      <c r="AB88" s="70"/>
      <c r="AC88" s="70"/>
      <c r="AD88" s="70"/>
      <c r="AE88" s="70"/>
      <c r="AF88" s="70"/>
      <c r="AG88" s="70"/>
      <c r="AH88" s="70"/>
      <c r="AI88" s="70"/>
      <c r="AJ88" s="70"/>
      <c r="AK88" s="70"/>
      <c r="AL88" s="70"/>
      <c r="AM88" s="70"/>
      <c r="AN88" s="70"/>
      <c r="AO88" s="70"/>
      <c r="AP88" s="70"/>
      <c r="AQ88" s="70"/>
      <c r="AR88" s="70"/>
      <c r="AS88" s="70"/>
      <c r="AT88" s="70"/>
      <c r="AU88" s="70"/>
      <c r="AV88" s="70"/>
      <c r="AW88" s="70"/>
      <c r="AX88" s="70"/>
      <c r="AY88" s="70"/>
      <c r="AZ88" s="70"/>
      <c r="BA88" s="70"/>
      <c r="BB88" s="70"/>
      <c r="BC88" s="70"/>
      <c r="BD88" s="70"/>
      <c r="BE88" s="70"/>
      <c r="BF88" s="70"/>
      <c r="BG88" s="70"/>
      <c r="BH88" s="70"/>
      <c r="BI88" s="70"/>
      <c r="BJ88" s="70"/>
      <c r="BK88" s="70"/>
      <c r="BL88" s="70"/>
      <c r="BM88" s="70"/>
      <c r="BN88" s="70"/>
      <c r="BO88" s="70"/>
      <c r="BP88" s="70"/>
      <c r="BQ88" s="70"/>
      <c r="BR88" s="70"/>
      <c r="BS88" s="70"/>
      <c r="BT88" s="70"/>
      <c r="BU88" s="70"/>
      <c r="BV88" s="70"/>
      <c r="BW88" s="70"/>
      <c r="BX88" s="70"/>
      <c r="BY88" s="70"/>
      <c r="BZ88" s="70"/>
      <c r="CA88" s="70"/>
      <c r="CB88" s="70"/>
      <c r="CC88" s="70"/>
      <c r="CD88" s="70"/>
      <c r="CE88" s="70"/>
      <c r="CF88" s="70"/>
      <c r="CG88" s="70"/>
      <c r="CH88" s="70"/>
      <c r="CI88" s="70"/>
      <c r="CJ88" s="70"/>
      <c r="CK88" s="70"/>
      <c r="CL88" s="70"/>
      <c r="CM88" s="70"/>
      <c r="CN88" s="70"/>
      <c r="CO88" s="70"/>
      <c r="CP88" s="70"/>
      <c r="CR88" s="180"/>
    </row>
    <row r="89" spans="1:96" x14ac:dyDescent="0.2">
      <c r="A89" s="59"/>
      <c r="B89" s="66"/>
      <c r="C89" s="66"/>
      <c r="D89" s="66"/>
      <c r="E89" s="59"/>
      <c r="F89" s="59"/>
      <c r="G89" s="59"/>
      <c r="H89" s="59"/>
      <c r="I89" s="59"/>
      <c r="J89" s="59"/>
      <c r="K89" s="59"/>
      <c r="L89" s="68"/>
      <c r="M89" s="63"/>
      <c r="N89" s="59"/>
      <c r="O89" s="69"/>
      <c r="P89" s="70"/>
      <c r="Q89" s="70"/>
      <c r="R89" s="70"/>
      <c r="S89" s="70"/>
      <c r="T89" s="70"/>
      <c r="U89" s="70"/>
      <c r="V89" s="70"/>
      <c r="W89" s="70"/>
      <c r="X89" s="70"/>
      <c r="Y89" s="70"/>
      <c r="Z89" s="70"/>
      <c r="AA89" s="70"/>
      <c r="AB89" s="70"/>
      <c r="AC89" s="70"/>
      <c r="AD89" s="70"/>
      <c r="AE89" s="70"/>
      <c r="AF89" s="70"/>
      <c r="AG89" s="70"/>
      <c r="AH89" s="70"/>
      <c r="AI89" s="70"/>
      <c r="AJ89" s="70"/>
      <c r="AK89" s="70"/>
      <c r="AL89" s="70"/>
      <c r="AM89" s="70"/>
      <c r="AN89" s="70"/>
      <c r="AO89" s="70"/>
      <c r="AP89" s="70"/>
      <c r="AQ89" s="70"/>
      <c r="AR89" s="70"/>
      <c r="AS89" s="70"/>
      <c r="AT89" s="70"/>
      <c r="AU89" s="70"/>
      <c r="AV89" s="70"/>
      <c r="AW89" s="70"/>
      <c r="AX89" s="70"/>
      <c r="AY89" s="70"/>
      <c r="AZ89" s="70"/>
      <c r="BA89" s="70"/>
      <c r="BB89" s="70"/>
      <c r="BC89" s="70"/>
      <c r="BD89" s="70"/>
      <c r="BE89" s="70"/>
      <c r="BF89" s="70"/>
      <c r="BG89" s="70"/>
      <c r="BH89" s="70"/>
      <c r="BI89" s="70"/>
      <c r="BJ89" s="70"/>
      <c r="BK89" s="70"/>
      <c r="BL89" s="70"/>
      <c r="BM89" s="70"/>
      <c r="BN89" s="70"/>
      <c r="BO89" s="70"/>
      <c r="BP89" s="70"/>
      <c r="BQ89" s="70"/>
      <c r="BR89" s="70"/>
      <c r="BS89" s="70"/>
      <c r="BT89" s="70"/>
      <c r="BU89" s="70"/>
      <c r="BV89" s="70"/>
      <c r="BW89" s="70"/>
      <c r="BX89" s="70"/>
      <c r="BY89" s="70"/>
      <c r="BZ89" s="70"/>
      <c r="CA89" s="70"/>
      <c r="CB89" s="70"/>
      <c r="CC89" s="70"/>
      <c r="CD89" s="70"/>
      <c r="CE89" s="70"/>
      <c r="CF89" s="70"/>
      <c r="CG89" s="70"/>
      <c r="CH89" s="70"/>
      <c r="CI89" s="70"/>
      <c r="CJ89" s="70"/>
      <c r="CK89" s="70"/>
      <c r="CL89" s="70"/>
      <c r="CM89" s="70"/>
      <c r="CN89" s="70"/>
      <c r="CO89" s="70"/>
      <c r="CP89" s="70"/>
      <c r="CR89" s="180"/>
    </row>
    <row r="90" spans="1:96" x14ac:dyDescent="0.2">
      <c r="B90" s="66"/>
      <c r="C90" s="66"/>
      <c r="D90" s="66"/>
      <c r="E90" s="59"/>
      <c r="F90" s="59"/>
      <c r="G90" s="59"/>
      <c r="H90" s="59"/>
      <c r="I90" s="59"/>
      <c r="J90" s="59"/>
      <c r="K90" s="59"/>
      <c r="L90" s="68"/>
      <c r="M90" s="63"/>
      <c r="N90" s="59"/>
      <c r="O90" s="69"/>
      <c r="P90" s="70"/>
      <c r="Q90" s="70"/>
      <c r="R90" s="70"/>
      <c r="S90" s="70"/>
      <c r="T90" s="70"/>
      <c r="U90" s="70"/>
      <c r="V90" s="70"/>
      <c r="W90" s="70"/>
      <c r="X90" s="70"/>
      <c r="Y90" s="70"/>
      <c r="Z90" s="70"/>
      <c r="AA90" s="70"/>
      <c r="AB90" s="70"/>
      <c r="AC90" s="70"/>
      <c r="AD90" s="70"/>
      <c r="AE90" s="70"/>
      <c r="AF90" s="70"/>
      <c r="AG90" s="70"/>
      <c r="AH90" s="70"/>
      <c r="AI90" s="70"/>
      <c r="AJ90" s="70"/>
      <c r="AK90" s="70"/>
      <c r="AL90" s="70"/>
      <c r="AM90" s="70"/>
      <c r="AN90" s="70"/>
      <c r="AO90" s="70"/>
      <c r="AP90" s="70"/>
      <c r="AQ90" s="70"/>
      <c r="AR90" s="70"/>
      <c r="AS90" s="70"/>
      <c r="AT90" s="70"/>
      <c r="AU90" s="70"/>
      <c r="AV90" s="70"/>
      <c r="AW90" s="70"/>
      <c r="AX90" s="70"/>
      <c r="AY90" s="70"/>
      <c r="AZ90" s="70"/>
      <c r="BA90" s="70"/>
      <c r="BB90" s="70"/>
      <c r="BC90" s="70"/>
      <c r="BD90" s="70"/>
      <c r="BE90" s="70"/>
      <c r="BF90" s="70"/>
      <c r="BG90" s="70"/>
      <c r="BH90" s="70"/>
      <c r="BI90" s="70"/>
      <c r="BJ90" s="70"/>
      <c r="BK90" s="70"/>
      <c r="BL90" s="70"/>
      <c r="BM90" s="70"/>
      <c r="BN90" s="70"/>
      <c r="BO90" s="70"/>
      <c r="BP90" s="70"/>
      <c r="BQ90" s="70"/>
      <c r="BR90" s="70"/>
      <c r="BS90" s="70"/>
      <c r="BT90" s="70"/>
      <c r="BU90" s="70"/>
      <c r="BV90" s="70"/>
      <c r="BW90" s="70"/>
      <c r="BX90" s="70"/>
      <c r="BY90" s="70"/>
      <c r="BZ90" s="70"/>
      <c r="CA90" s="70"/>
      <c r="CB90" s="70"/>
      <c r="CC90" s="70"/>
      <c r="CD90" s="70"/>
      <c r="CE90" s="70"/>
      <c r="CF90" s="70"/>
      <c r="CG90" s="70"/>
      <c r="CH90" s="70"/>
      <c r="CI90" s="70"/>
      <c r="CJ90" s="70"/>
      <c r="CK90" s="70"/>
      <c r="CL90" s="70"/>
      <c r="CM90" s="70"/>
      <c r="CN90" s="70"/>
      <c r="CO90" s="70"/>
      <c r="CP90" s="70"/>
      <c r="CR90" s="180"/>
    </row>
    <row r="91" spans="1:96" x14ac:dyDescent="0.2">
      <c r="A91" s="59"/>
      <c r="B91" s="66"/>
      <c r="C91" s="66"/>
      <c r="D91" s="66"/>
      <c r="E91" s="59"/>
      <c r="F91" s="59"/>
      <c r="G91" s="59"/>
      <c r="H91" s="59"/>
      <c r="I91" s="59"/>
      <c r="J91" s="59"/>
      <c r="K91" s="59"/>
      <c r="L91" s="68"/>
      <c r="M91" s="63"/>
      <c r="N91" s="59"/>
      <c r="O91" s="69"/>
      <c r="P91" s="70"/>
      <c r="Q91" s="70"/>
      <c r="R91" s="70"/>
      <c r="S91" s="70"/>
      <c r="T91" s="70"/>
      <c r="U91" s="70"/>
      <c r="V91" s="70"/>
      <c r="W91" s="70"/>
      <c r="X91" s="70"/>
      <c r="Y91" s="70"/>
      <c r="Z91" s="70"/>
      <c r="AA91" s="70"/>
      <c r="AB91" s="70"/>
      <c r="AC91" s="70"/>
      <c r="AD91" s="70"/>
      <c r="AE91" s="70"/>
      <c r="AF91" s="70"/>
      <c r="AG91" s="70"/>
      <c r="AH91" s="70"/>
      <c r="AI91" s="70"/>
      <c r="AJ91" s="70"/>
      <c r="AK91" s="70"/>
      <c r="AL91" s="70"/>
      <c r="AM91" s="70"/>
      <c r="AN91" s="70"/>
      <c r="AO91" s="70"/>
      <c r="AP91" s="70"/>
      <c r="AQ91" s="70"/>
      <c r="AR91" s="70"/>
      <c r="AS91" s="70"/>
      <c r="AT91" s="70"/>
      <c r="AU91" s="70"/>
      <c r="AV91" s="70"/>
      <c r="AW91" s="70"/>
      <c r="AX91" s="70"/>
      <c r="AY91" s="70"/>
      <c r="AZ91" s="70"/>
      <c r="BA91" s="70"/>
      <c r="BB91" s="70"/>
      <c r="BC91" s="70"/>
      <c r="BD91" s="70"/>
      <c r="BE91" s="70"/>
      <c r="BF91" s="70"/>
      <c r="BG91" s="70"/>
      <c r="BH91" s="70"/>
      <c r="BI91" s="70"/>
      <c r="BJ91" s="70"/>
      <c r="BK91" s="70"/>
      <c r="BL91" s="70"/>
      <c r="BM91" s="70"/>
      <c r="BN91" s="70"/>
      <c r="BO91" s="70"/>
      <c r="BP91" s="70"/>
      <c r="BQ91" s="70"/>
      <c r="BR91" s="70"/>
      <c r="BS91" s="70"/>
      <c r="BT91" s="70"/>
      <c r="BU91" s="70"/>
      <c r="BV91" s="70"/>
      <c r="BW91" s="70"/>
      <c r="BX91" s="70"/>
      <c r="BY91" s="70"/>
      <c r="BZ91" s="70"/>
      <c r="CA91" s="70"/>
      <c r="CB91" s="70"/>
      <c r="CC91" s="70"/>
      <c r="CD91" s="70"/>
      <c r="CE91" s="70"/>
      <c r="CF91" s="70"/>
      <c r="CG91" s="70"/>
      <c r="CH91" s="70"/>
      <c r="CI91" s="70"/>
      <c r="CJ91" s="70"/>
      <c r="CK91" s="70"/>
      <c r="CL91" s="70"/>
      <c r="CM91" s="70"/>
      <c r="CN91" s="70"/>
      <c r="CO91" s="70"/>
      <c r="CP91" s="70"/>
      <c r="CR91" s="180"/>
    </row>
    <row r="92" spans="1:96" x14ac:dyDescent="0.2">
      <c r="B92" s="66"/>
      <c r="C92" s="66"/>
      <c r="D92" s="66"/>
      <c r="E92" s="59"/>
      <c r="F92" s="59"/>
      <c r="G92" s="59"/>
      <c r="H92" s="59"/>
      <c r="I92" s="59"/>
      <c r="J92" s="59"/>
      <c r="K92" s="59"/>
      <c r="L92" s="68"/>
      <c r="M92" s="63"/>
      <c r="N92" s="59"/>
      <c r="O92" s="69"/>
      <c r="P92" s="70"/>
      <c r="Q92" s="70"/>
      <c r="R92" s="70"/>
      <c r="S92" s="70"/>
      <c r="T92" s="70"/>
      <c r="U92" s="70"/>
      <c r="V92" s="70"/>
      <c r="W92" s="70"/>
      <c r="X92" s="70"/>
      <c r="Y92" s="70"/>
      <c r="Z92" s="70"/>
      <c r="AA92" s="70"/>
      <c r="AB92" s="70"/>
      <c r="AC92" s="70"/>
      <c r="AD92" s="70"/>
      <c r="AE92" s="70"/>
      <c r="AF92" s="70"/>
      <c r="AG92" s="70"/>
      <c r="AH92" s="70"/>
      <c r="AI92" s="70"/>
      <c r="AJ92" s="70"/>
      <c r="AK92" s="70"/>
      <c r="AL92" s="70"/>
      <c r="AM92" s="70"/>
      <c r="AN92" s="70"/>
      <c r="AO92" s="70"/>
      <c r="AP92" s="70"/>
      <c r="AQ92" s="70"/>
      <c r="AR92" s="70"/>
      <c r="AS92" s="70"/>
      <c r="AT92" s="70"/>
      <c r="AU92" s="70"/>
      <c r="AV92" s="70"/>
      <c r="AW92" s="70"/>
      <c r="AX92" s="70"/>
      <c r="AY92" s="70"/>
      <c r="AZ92" s="70"/>
      <c r="BA92" s="70"/>
      <c r="BB92" s="70"/>
      <c r="BC92" s="70"/>
      <c r="BD92" s="70"/>
      <c r="BE92" s="70"/>
      <c r="BF92" s="70"/>
      <c r="BG92" s="70"/>
      <c r="BH92" s="70"/>
      <c r="BI92" s="70"/>
      <c r="BJ92" s="70"/>
      <c r="BK92" s="70"/>
      <c r="BL92" s="70"/>
      <c r="BM92" s="70"/>
      <c r="BN92" s="70"/>
      <c r="BO92" s="70"/>
      <c r="BP92" s="70"/>
      <c r="BQ92" s="70"/>
      <c r="BR92" s="70"/>
      <c r="BS92" s="70"/>
      <c r="BT92" s="70"/>
      <c r="BU92" s="70"/>
      <c r="BV92" s="70"/>
      <c r="BW92" s="70"/>
      <c r="BX92" s="70"/>
      <c r="BY92" s="70"/>
      <c r="BZ92" s="70"/>
      <c r="CA92" s="70"/>
      <c r="CB92" s="70"/>
      <c r="CC92" s="70"/>
      <c r="CD92" s="70"/>
      <c r="CE92" s="70"/>
      <c r="CF92" s="70"/>
      <c r="CG92" s="70"/>
      <c r="CH92" s="70"/>
      <c r="CI92" s="70"/>
      <c r="CJ92" s="70"/>
      <c r="CK92" s="70"/>
      <c r="CL92" s="70"/>
      <c r="CM92" s="70"/>
      <c r="CN92" s="70"/>
      <c r="CO92" s="70"/>
      <c r="CP92" s="70"/>
      <c r="CR92" s="180"/>
    </row>
    <row r="93" spans="1:96" x14ac:dyDescent="0.2">
      <c r="A93" s="59"/>
      <c r="B93" s="66"/>
      <c r="C93" s="66"/>
      <c r="D93" s="66"/>
      <c r="E93" s="59"/>
      <c r="F93" s="59"/>
      <c r="G93" s="59"/>
      <c r="H93" s="59"/>
      <c r="I93" s="59"/>
      <c r="J93" s="59"/>
      <c r="K93" s="59"/>
      <c r="L93" s="68"/>
      <c r="M93" s="63"/>
      <c r="N93" s="59"/>
      <c r="O93" s="69"/>
      <c r="P93" s="70"/>
      <c r="Q93" s="70"/>
      <c r="R93" s="70"/>
      <c r="S93" s="70"/>
      <c r="T93" s="70"/>
      <c r="U93" s="70"/>
      <c r="V93" s="70"/>
      <c r="W93" s="70"/>
      <c r="X93" s="70"/>
      <c r="Y93" s="70"/>
      <c r="Z93" s="70"/>
      <c r="AA93" s="70"/>
      <c r="AB93" s="70"/>
      <c r="AC93" s="70"/>
      <c r="AD93" s="70"/>
      <c r="AE93" s="70"/>
      <c r="AF93" s="70"/>
      <c r="AG93" s="70"/>
      <c r="AH93" s="70"/>
      <c r="AI93" s="70"/>
      <c r="AJ93" s="70"/>
      <c r="AK93" s="70"/>
      <c r="AL93" s="70"/>
      <c r="AM93" s="70"/>
      <c r="AN93" s="70"/>
      <c r="AO93" s="70"/>
      <c r="AP93" s="70"/>
      <c r="AQ93" s="70"/>
      <c r="AR93" s="70"/>
      <c r="AS93" s="70"/>
      <c r="AT93" s="70"/>
      <c r="AU93" s="70"/>
      <c r="AV93" s="70"/>
      <c r="AW93" s="70"/>
      <c r="AX93" s="70"/>
      <c r="AY93" s="70"/>
      <c r="AZ93" s="70"/>
      <c r="BA93" s="70"/>
      <c r="BB93" s="70"/>
      <c r="BC93" s="70"/>
      <c r="BD93" s="70"/>
      <c r="BE93" s="70"/>
      <c r="BF93" s="70"/>
      <c r="BG93" s="70"/>
      <c r="BH93" s="70"/>
      <c r="BI93" s="70"/>
      <c r="BJ93" s="70"/>
      <c r="BK93" s="70"/>
      <c r="BL93" s="70"/>
      <c r="BM93" s="70"/>
      <c r="BN93" s="70"/>
      <c r="BO93" s="70"/>
      <c r="BP93" s="70"/>
      <c r="BQ93" s="70"/>
      <c r="BR93" s="70"/>
      <c r="BS93" s="70"/>
      <c r="BT93" s="70"/>
      <c r="BU93" s="70"/>
      <c r="BV93" s="70"/>
      <c r="BW93" s="70"/>
      <c r="BX93" s="70"/>
      <c r="BY93" s="70"/>
      <c r="BZ93" s="70"/>
      <c r="CA93" s="70"/>
      <c r="CB93" s="70"/>
      <c r="CC93" s="70"/>
      <c r="CD93" s="70"/>
      <c r="CE93" s="70"/>
      <c r="CF93" s="70"/>
      <c r="CG93" s="70"/>
      <c r="CH93" s="70"/>
      <c r="CI93" s="70"/>
      <c r="CJ93" s="70"/>
      <c r="CK93" s="70"/>
      <c r="CL93" s="70"/>
      <c r="CM93" s="70"/>
      <c r="CN93" s="70"/>
      <c r="CO93" s="70"/>
      <c r="CP93" s="70"/>
      <c r="CR93" s="180"/>
    </row>
    <row r="94" spans="1:96" x14ac:dyDescent="0.2">
      <c r="B94" s="66"/>
      <c r="C94" s="66"/>
      <c r="D94" s="66"/>
      <c r="E94" s="59"/>
      <c r="F94" s="59"/>
      <c r="G94" s="59"/>
      <c r="H94" s="59"/>
      <c r="I94" s="59"/>
      <c r="J94" s="59"/>
      <c r="K94" s="59"/>
      <c r="L94" s="68"/>
      <c r="M94" s="63"/>
      <c r="N94" s="59"/>
      <c r="O94" s="69"/>
      <c r="P94" s="70"/>
      <c r="Q94" s="70"/>
      <c r="R94" s="70"/>
      <c r="S94" s="70"/>
      <c r="T94" s="70"/>
      <c r="U94" s="70"/>
      <c r="V94" s="70"/>
      <c r="W94" s="70"/>
      <c r="X94" s="70"/>
      <c r="Y94" s="70"/>
      <c r="Z94" s="70"/>
      <c r="AA94" s="70"/>
      <c r="AB94" s="70"/>
      <c r="AC94" s="70"/>
      <c r="AD94" s="70"/>
      <c r="AE94" s="70"/>
      <c r="AF94" s="70"/>
      <c r="AG94" s="70"/>
      <c r="AH94" s="70"/>
      <c r="AI94" s="70"/>
      <c r="AJ94" s="70"/>
      <c r="AK94" s="70"/>
      <c r="AL94" s="70"/>
      <c r="AM94" s="70"/>
      <c r="AN94" s="70"/>
      <c r="AO94" s="70"/>
      <c r="AP94" s="70"/>
      <c r="AQ94" s="70"/>
      <c r="AR94" s="70"/>
      <c r="AS94" s="70"/>
      <c r="AT94" s="70"/>
      <c r="AU94" s="70"/>
      <c r="AV94" s="70"/>
      <c r="AW94" s="70"/>
      <c r="AX94" s="70"/>
      <c r="AY94" s="70"/>
      <c r="AZ94" s="70"/>
      <c r="BA94" s="70"/>
      <c r="BB94" s="70"/>
      <c r="BC94" s="70"/>
      <c r="BD94" s="70"/>
      <c r="BE94" s="70"/>
      <c r="BF94" s="70"/>
      <c r="BG94" s="70"/>
      <c r="BH94" s="70"/>
      <c r="BI94" s="70"/>
      <c r="BJ94" s="70"/>
      <c r="BK94" s="70"/>
      <c r="BL94" s="70"/>
      <c r="BM94" s="70"/>
      <c r="BN94" s="70"/>
      <c r="BO94" s="70"/>
      <c r="BP94" s="70"/>
      <c r="BQ94" s="70"/>
      <c r="BR94" s="70"/>
      <c r="BS94" s="70"/>
      <c r="BT94" s="70"/>
      <c r="BU94" s="70"/>
      <c r="BV94" s="70"/>
      <c r="BW94" s="70"/>
      <c r="BX94" s="70"/>
      <c r="BY94" s="70"/>
      <c r="BZ94" s="70"/>
      <c r="CA94" s="70"/>
      <c r="CB94" s="70"/>
      <c r="CC94" s="70"/>
      <c r="CD94" s="70"/>
      <c r="CE94" s="70"/>
      <c r="CF94" s="70"/>
      <c r="CG94" s="70"/>
      <c r="CH94" s="70"/>
      <c r="CI94" s="70"/>
      <c r="CJ94" s="70"/>
      <c r="CK94" s="70"/>
      <c r="CL94" s="70"/>
      <c r="CM94" s="70"/>
      <c r="CN94" s="70"/>
      <c r="CO94" s="70"/>
      <c r="CP94" s="70"/>
      <c r="CR94" s="180"/>
    </row>
    <row r="95" spans="1:96" x14ac:dyDescent="0.2">
      <c r="A95" s="59"/>
      <c r="B95" s="66"/>
      <c r="C95" s="66"/>
      <c r="D95" s="66"/>
      <c r="E95" s="59"/>
      <c r="F95" s="59"/>
      <c r="G95" s="59"/>
      <c r="H95" s="59"/>
      <c r="I95" s="59"/>
      <c r="J95" s="59"/>
      <c r="K95" s="59"/>
      <c r="L95" s="68"/>
      <c r="M95" s="63"/>
      <c r="N95" s="59"/>
      <c r="O95" s="69"/>
      <c r="P95" s="70"/>
      <c r="Q95" s="70"/>
      <c r="R95" s="70"/>
      <c r="S95" s="70"/>
      <c r="T95" s="70"/>
      <c r="U95" s="70"/>
      <c r="V95" s="70"/>
      <c r="W95" s="70"/>
      <c r="X95" s="70"/>
      <c r="Y95" s="70"/>
      <c r="Z95" s="70"/>
      <c r="AA95" s="70"/>
      <c r="AB95" s="70"/>
      <c r="AC95" s="70"/>
      <c r="AD95" s="70"/>
      <c r="AE95" s="70"/>
      <c r="AF95" s="70"/>
      <c r="AG95" s="70"/>
      <c r="AH95" s="70"/>
      <c r="AI95" s="70"/>
      <c r="AJ95" s="70"/>
      <c r="AK95" s="70"/>
      <c r="AL95" s="70"/>
      <c r="AM95" s="70"/>
      <c r="AN95" s="70"/>
      <c r="AO95" s="70"/>
      <c r="AP95" s="70"/>
      <c r="AQ95" s="70"/>
      <c r="AR95" s="70"/>
      <c r="AS95" s="70"/>
      <c r="AT95" s="70"/>
      <c r="AU95" s="70"/>
      <c r="AV95" s="70"/>
      <c r="AW95" s="70"/>
      <c r="AX95" s="70"/>
      <c r="AY95" s="70"/>
      <c r="AZ95" s="70"/>
      <c r="BA95" s="70"/>
      <c r="BB95" s="70"/>
      <c r="BC95" s="70"/>
      <c r="BD95" s="70"/>
      <c r="BE95" s="70"/>
      <c r="BF95" s="70"/>
      <c r="BG95" s="70"/>
      <c r="BH95" s="70"/>
      <c r="BI95" s="70"/>
      <c r="BJ95" s="70"/>
      <c r="BK95" s="70"/>
      <c r="BL95" s="70"/>
      <c r="BM95" s="70"/>
      <c r="BN95" s="70"/>
      <c r="BO95" s="70"/>
      <c r="BP95" s="70"/>
      <c r="BQ95" s="70"/>
      <c r="BR95" s="70"/>
      <c r="BS95" s="70"/>
      <c r="BT95" s="70"/>
      <c r="BU95" s="70"/>
      <c r="BV95" s="70"/>
      <c r="BW95" s="70"/>
      <c r="BX95" s="70"/>
      <c r="BY95" s="70"/>
      <c r="BZ95" s="70"/>
      <c r="CA95" s="70"/>
      <c r="CB95" s="70"/>
      <c r="CC95" s="70"/>
      <c r="CD95" s="70"/>
      <c r="CE95" s="70"/>
      <c r="CF95" s="70"/>
      <c r="CG95" s="70"/>
      <c r="CH95" s="70"/>
      <c r="CI95" s="70"/>
      <c r="CJ95" s="70"/>
      <c r="CK95" s="70"/>
      <c r="CL95" s="70"/>
      <c r="CM95" s="70"/>
      <c r="CN95" s="70"/>
      <c r="CO95" s="70"/>
      <c r="CP95" s="70"/>
      <c r="CR95" s="180"/>
    </row>
    <row r="96" spans="1:96" x14ac:dyDescent="0.2">
      <c r="B96" s="66"/>
      <c r="C96" s="66"/>
      <c r="D96" s="66"/>
      <c r="E96" s="59"/>
      <c r="F96" s="59"/>
      <c r="G96" s="59"/>
      <c r="H96" s="59"/>
      <c r="I96" s="59"/>
      <c r="J96" s="59"/>
      <c r="K96" s="59"/>
      <c r="L96" s="68"/>
      <c r="M96" s="63"/>
      <c r="N96" s="59"/>
      <c r="O96" s="69"/>
      <c r="P96" s="70"/>
      <c r="Q96" s="70"/>
      <c r="R96" s="70"/>
      <c r="S96" s="70"/>
      <c r="T96" s="70"/>
      <c r="U96" s="70"/>
      <c r="V96" s="70"/>
      <c r="W96" s="70"/>
      <c r="X96" s="70"/>
      <c r="Y96" s="70"/>
      <c r="Z96" s="70"/>
      <c r="AA96" s="70"/>
      <c r="AB96" s="70"/>
      <c r="AC96" s="70"/>
      <c r="AD96" s="70"/>
      <c r="AE96" s="70"/>
      <c r="AF96" s="70"/>
      <c r="AG96" s="70"/>
      <c r="AH96" s="70"/>
      <c r="AI96" s="70"/>
      <c r="AJ96" s="70"/>
      <c r="AK96" s="70"/>
      <c r="AL96" s="70"/>
      <c r="AM96" s="70"/>
      <c r="AN96" s="70"/>
      <c r="AO96" s="70"/>
      <c r="AP96" s="70"/>
      <c r="AQ96" s="70"/>
      <c r="AR96" s="70"/>
      <c r="AS96" s="70"/>
      <c r="AT96" s="70"/>
      <c r="AU96" s="70"/>
      <c r="AV96" s="70"/>
      <c r="AW96" s="70"/>
      <c r="AX96" s="70"/>
      <c r="AY96" s="70"/>
      <c r="AZ96" s="70"/>
      <c r="BA96" s="70"/>
      <c r="BB96" s="70"/>
      <c r="BC96" s="70"/>
      <c r="BD96" s="70"/>
      <c r="BE96" s="70"/>
      <c r="BF96" s="70"/>
      <c r="BG96" s="70"/>
      <c r="BH96" s="70"/>
      <c r="BI96" s="70"/>
      <c r="BJ96" s="70"/>
      <c r="BK96" s="70"/>
      <c r="BL96" s="70"/>
      <c r="BM96" s="70"/>
      <c r="BN96" s="70"/>
      <c r="BO96" s="70"/>
      <c r="BP96" s="70"/>
      <c r="BQ96" s="70"/>
      <c r="BR96" s="70"/>
      <c r="BS96" s="70"/>
      <c r="BT96" s="70"/>
      <c r="BU96" s="70"/>
      <c r="BV96" s="70"/>
      <c r="BW96" s="70"/>
      <c r="BX96" s="70"/>
      <c r="BY96" s="70"/>
      <c r="BZ96" s="70"/>
      <c r="CA96" s="70"/>
      <c r="CB96" s="70"/>
      <c r="CC96" s="70"/>
      <c r="CD96" s="70"/>
      <c r="CE96" s="70"/>
      <c r="CF96" s="70"/>
      <c r="CG96" s="70"/>
      <c r="CH96" s="70"/>
      <c r="CI96" s="70"/>
      <c r="CJ96" s="70"/>
      <c r="CK96" s="70"/>
      <c r="CL96" s="70"/>
      <c r="CM96" s="70"/>
      <c r="CN96" s="70"/>
      <c r="CO96" s="70"/>
      <c r="CP96" s="70"/>
      <c r="CR96" s="180"/>
    </row>
    <row r="97" spans="1:96" x14ac:dyDescent="0.2">
      <c r="A97" s="59"/>
      <c r="B97" s="66"/>
      <c r="C97" s="66"/>
      <c r="D97" s="66"/>
      <c r="E97" s="59"/>
      <c r="F97" s="59"/>
      <c r="G97" s="59"/>
      <c r="H97" s="59"/>
      <c r="I97" s="59"/>
      <c r="J97" s="59"/>
      <c r="K97" s="59"/>
      <c r="L97" s="68"/>
      <c r="M97" s="63"/>
      <c r="N97" s="59"/>
      <c r="O97" s="69"/>
      <c r="P97" s="70"/>
      <c r="Q97" s="70"/>
      <c r="R97" s="70"/>
      <c r="S97" s="70"/>
      <c r="T97" s="70"/>
      <c r="U97" s="70"/>
      <c r="V97" s="70"/>
      <c r="W97" s="70"/>
      <c r="X97" s="70"/>
      <c r="Y97" s="70"/>
      <c r="Z97" s="70"/>
      <c r="AA97" s="70"/>
      <c r="AB97" s="70"/>
      <c r="AC97" s="70"/>
      <c r="AD97" s="70"/>
      <c r="AE97" s="70"/>
      <c r="AF97" s="70"/>
      <c r="AG97" s="70"/>
      <c r="AH97" s="70"/>
      <c r="AI97" s="70"/>
      <c r="AJ97" s="70"/>
      <c r="AK97" s="70"/>
      <c r="AL97" s="70"/>
      <c r="AM97" s="70"/>
      <c r="AN97" s="70"/>
      <c r="AO97" s="70"/>
      <c r="AP97" s="70"/>
      <c r="AQ97" s="70"/>
      <c r="AR97" s="70"/>
      <c r="AS97" s="70"/>
      <c r="AT97" s="70"/>
      <c r="AU97" s="70"/>
      <c r="AV97" s="70"/>
      <c r="AW97" s="70"/>
      <c r="AX97" s="70"/>
      <c r="AY97" s="70"/>
      <c r="AZ97" s="70"/>
      <c r="BA97" s="70"/>
      <c r="BB97" s="70"/>
      <c r="BC97" s="70"/>
      <c r="BD97" s="70"/>
      <c r="BE97" s="70"/>
      <c r="BF97" s="70"/>
      <c r="BG97" s="70"/>
      <c r="BH97" s="70"/>
      <c r="BI97" s="70"/>
      <c r="BJ97" s="70"/>
      <c r="BK97" s="70"/>
      <c r="BL97" s="70"/>
      <c r="BM97" s="70"/>
      <c r="BN97" s="70"/>
      <c r="BO97" s="70"/>
      <c r="BP97" s="70"/>
      <c r="BQ97" s="70"/>
      <c r="BR97" s="70"/>
      <c r="BS97" s="70"/>
      <c r="BT97" s="70"/>
      <c r="BU97" s="70"/>
      <c r="BV97" s="70"/>
      <c r="BW97" s="70"/>
      <c r="BX97" s="70"/>
      <c r="BY97" s="70"/>
      <c r="BZ97" s="70"/>
      <c r="CA97" s="70"/>
      <c r="CB97" s="70"/>
      <c r="CC97" s="70"/>
      <c r="CD97" s="70"/>
      <c r="CE97" s="70"/>
      <c r="CF97" s="70"/>
      <c r="CG97" s="70"/>
      <c r="CH97" s="70"/>
      <c r="CI97" s="70"/>
      <c r="CJ97" s="70"/>
      <c r="CK97" s="70"/>
      <c r="CL97" s="70"/>
      <c r="CM97" s="70"/>
      <c r="CN97" s="70"/>
      <c r="CO97" s="70"/>
      <c r="CP97" s="70"/>
      <c r="CR97" s="180"/>
    </row>
    <row r="98" spans="1:96" x14ac:dyDescent="0.2">
      <c r="B98" s="66"/>
      <c r="C98" s="66"/>
      <c r="D98" s="66"/>
      <c r="E98" s="59"/>
      <c r="F98" s="59"/>
      <c r="G98" s="59"/>
      <c r="H98" s="59"/>
      <c r="I98" s="59"/>
      <c r="J98" s="59"/>
      <c r="K98" s="59"/>
      <c r="L98" s="68"/>
      <c r="M98" s="63"/>
      <c r="N98" s="59"/>
      <c r="O98" s="69"/>
      <c r="P98" s="70"/>
      <c r="Q98" s="70"/>
      <c r="R98" s="70"/>
      <c r="S98" s="70"/>
      <c r="T98" s="70"/>
      <c r="U98" s="70"/>
      <c r="V98" s="70"/>
      <c r="W98" s="70"/>
      <c r="X98" s="70"/>
      <c r="Y98" s="70"/>
      <c r="Z98" s="70"/>
      <c r="AA98" s="70"/>
      <c r="AB98" s="70"/>
      <c r="AC98" s="70"/>
      <c r="AD98" s="70"/>
      <c r="AE98" s="70"/>
      <c r="AF98" s="70"/>
      <c r="AG98" s="70"/>
      <c r="AH98" s="70"/>
      <c r="AI98" s="70"/>
      <c r="AJ98" s="70"/>
      <c r="AK98" s="70"/>
      <c r="AL98" s="70"/>
      <c r="AM98" s="70"/>
      <c r="AN98" s="70"/>
      <c r="AO98" s="70"/>
      <c r="AP98" s="70"/>
      <c r="AQ98" s="70"/>
      <c r="AR98" s="70"/>
      <c r="AS98" s="70"/>
      <c r="AT98" s="70"/>
      <c r="AU98" s="70"/>
      <c r="AV98" s="70"/>
      <c r="AW98" s="70"/>
      <c r="AX98" s="70"/>
      <c r="AY98" s="70"/>
      <c r="AZ98" s="70"/>
      <c r="BA98" s="70"/>
      <c r="BB98" s="70"/>
      <c r="BC98" s="70"/>
      <c r="BD98" s="70"/>
      <c r="BE98" s="70"/>
      <c r="BF98" s="70"/>
      <c r="BG98" s="70"/>
      <c r="BH98" s="70"/>
      <c r="BI98" s="70"/>
      <c r="BJ98" s="70"/>
      <c r="BK98" s="70"/>
      <c r="BL98" s="70"/>
      <c r="BM98" s="70"/>
      <c r="BN98" s="70"/>
      <c r="BO98" s="70"/>
      <c r="BP98" s="70"/>
      <c r="BQ98" s="70"/>
      <c r="BR98" s="70"/>
      <c r="BS98" s="70"/>
      <c r="BT98" s="70"/>
      <c r="BU98" s="70"/>
      <c r="BV98" s="70"/>
      <c r="BW98" s="70"/>
      <c r="BX98" s="70"/>
      <c r="BY98" s="70"/>
      <c r="BZ98" s="70"/>
      <c r="CA98" s="70"/>
      <c r="CB98" s="70"/>
      <c r="CC98" s="70"/>
      <c r="CD98" s="70"/>
      <c r="CE98" s="70"/>
      <c r="CF98" s="70"/>
      <c r="CG98" s="70"/>
      <c r="CH98" s="70"/>
      <c r="CI98" s="70"/>
      <c r="CJ98" s="70"/>
      <c r="CK98" s="70"/>
      <c r="CL98" s="70"/>
      <c r="CM98" s="70"/>
      <c r="CN98" s="70"/>
      <c r="CO98" s="70"/>
      <c r="CP98" s="70"/>
      <c r="CR98" s="180"/>
    </row>
    <row r="99" spans="1:96" x14ac:dyDescent="0.2">
      <c r="A99" s="59"/>
      <c r="B99" s="66"/>
      <c r="C99" s="66"/>
      <c r="D99" s="66"/>
      <c r="E99" s="59"/>
      <c r="F99" s="59"/>
      <c r="G99" s="59"/>
      <c r="H99" s="59"/>
      <c r="I99" s="59"/>
      <c r="J99" s="59"/>
      <c r="K99" s="59"/>
      <c r="L99" s="68"/>
      <c r="M99" s="63"/>
      <c r="N99" s="59"/>
      <c r="O99" s="69"/>
      <c r="P99" s="70"/>
      <c r="Q99" s="70"/>
      <c r="R99" s="70"/>
      <c r="S99" s="70"/>
      <c r="T99" s="70"/>
      <c r="U99" s="70"/>
      <c r="V99" s="70"/>
      <c r="W99" s="70"/>
      <c r="X99" s="70"/>
      <c r="Y99" s="70"/>
      <c r="Z99" s="70"/>
      <c r="AA99" s="70"/>
      <c r="AB99" s="70"/>
      <c r="AC99" s="70"/>
      <c r="AD99" s="70"/>
      <c r="AE99" s="70"/>
      <c r="AF99" s="70"/>
      <c r="AG99" s="70"/>
      <c r="AH99" s="70"/>
      <c r="AI99" s="70"/>
      <c r="AJ99" s="70"/>
      <c r="AK99" s="70"/>
      <c r="AL99" s="70"/>
      <c r="AM99" s="70"/>
      <c r="AN99" s="70"/>
      <c r="AO99" s="70"/>
      <c r="AP99" s="70"/>
      <c r="AQ99" s="70"/>
      <c r="AR99" s="70"/>
      <c r="AS99" s="70"/>
      <c r="AT99" s="70"/>
      <c r="AU99" s="70"/>
      <c r="AV99" s="70"/>
      <c r="AW99" s="70"/>
      <c r="AX99" s="70"/>
      <c r="AY99" s="70"/>
      <c r="AZ99" s="70"/>
      <c r="BA99" s="70"/>
      <c r="BB99" s="70"/>
      <c r="BC99" s="70"/>
      <c r="BD99" s="70"/>
      <c r="BE99" s="70"/>
      <c r="BF99" s="70"/>
      <c r="BG99" s="70"/>
      <c r="BH99" s="70"/>
      <c r="BI99" s="70"/>
      <c r="BJ99" s="70"/>
      <c r="BK99" s="70"/>
      <c r="BL99" s="70"/>
      <c r="BM99" s="70"/>
      <c r="BN99" s="70"/>
      <c r="BO99" s="70"/>
      <c r="BP99" s="70"/>
      <c r="BQ99" s="70"/>
      <c r="BR99" s="70"/>
      <c r="BS99" s="70"/>
      <c r="BT99" s="70"/>
      <c r="BU99" s="70"/>
      <c r="BV99" s="70"/>
      <c r="BW99" s="70"/>
      <c r="BX99" s="70"/>
      <c r="BY99" s="70"/>
      <c r="BZ99" s="70"/>
      <c r="CA99" s="70"/>
      <c r="CB99" s="70"/>
      <c r="CC99" s="70"/>
      <c r="CD99" s="70"/>
      <c r="CE99" s="70"/>
      <c r="CF99" s="70"/>
      <c r="CG99" s="70"/>
      <c r="CH99" s="70"/>
      <c r="CI99" s="70"/>
      <c r="CJ99" s="70"/>
      <c r="CK99" s="70"/>
      <c r="CL99" s="70"/>
      <c r="CM99" s="70"/>
      <c r="CN99" s="70"/>
      <c r="CO99" s="70"/>
      <c r="CP99" s="70"/>
      <c r="CR99" s="180"/>
    </row>
    <row r="100" spans="1:96" x14ac:dyDescent="0.2">
      <c r="B100" s="66"/>
      <c r="C100" s="66"/>
      <c r="D100" s="66"/>
      <c r="E100" s="59"/>
      <c r="F100" s="59"/>
      <c r="G100" s="59"/>
      <c r="H100" s="59"/>
      <c r="I100" s="59"/>
      <c r="J100" s="59"/>
      <c r="K100" s="59"/>
      <c r="L100" s="68"/>
      <c r="M100" s="63"/>
      <c r="N100" s="59"/>
      <c r="O100" s="69"/>
      <c r="P100" s="70"/>
      <c r="Q100" s="70"/>
      <c r="R100" s="70"/>
      <c r="S100" s="70"/>
      <c r="T100" s="70"/>
      <c r="U100" s="70"/>
      <c r="V100" s="70"/>
      <c r="W100" s="70"/>
      <c r="X100" s="70"/>
      <c r="Y100" s="70"/>
      <c r="Z100" s="70"/>
      <c r="AA100" s="70"/>
      <c r="AB100" s="70"/>
      <c r="AC100" s="70"/>
      <c r="AD100" s="70"/>
      <c r="AE100" s="70"/>
      <c r="AF100" s="70"/>
      <c r="AG100" s="70"/>
      <c r="AH100" s="70"/>
      <c r="AI100" s="70"/>
      <c r="AJ100" s="70"/>
      <c r="AK100" s="70"/>
      <c r="AL100" s="70"/>
      <c r="AM100" s="70"/>
      <c r="AN100" s="70"/>
      <c r="AO100" s="70"/>
      <c r="AP100" s="70"/>
      <c r="AQ100" s="70"/>
      <c r="AR100" s="70"/>
      <c r="AS100" s="70"/>
      <c r="AT100" s="70"/>
      <c r="AU100" s="70"/>
      <c r="AV100" s="70"/>
      <c r="AW100" s="70"/>
      <c r="AX100" s="70"/>
      <c r="AY100" s="70"/>
      <c r="AZ100" s="70"/>
      <c r="BA100" s="70"/>
      <c r="BB100" s="70"/>
      <c r="BC100" s="70"/>
      <c r="BD100" s="70"/>
      <c r="BE100" s="70"/>
      <c r="BF100" s="70"/>
      <c r="BG100" s="70"/>
      <c r="BH100" s="70"/>
      <c r="BI100" s="70"/>
      <c r="BJ100" s="70"/>
      <c r="BK100" s="70"/>
      <c r="BL100" s="70"/>
      <c r="BM100" s="70"/>
      <c r="BN100" s="70"/>
      <c r="BO100" s="70"/>
      <c r="BP100" s="70"/>
      <c r="BQ100" s="70"/>
      <c r="BR100" s="70"/>
      <c r="BS100" s="70"/>
      <c r="BT100" s="70"/>
      <c r="BU100" s="70"/>
      <c r="BV100" s="70"/>
      <c r="BW100" s="70"/>
      <c r="BX100" s="70"/>
      <c r="BY100" s="70"/>
      <c r="BZ100" s="70"/>
      <c r="CA100" s="70"/>
      <c r="CB100" s="70"/>
      <c r="CC100" s="70"/>
      <c r="CD100" s="70"/>
      <c r="CE100" s="70"/>
      <c r="CF100" s="70"/>
      <c r="CG100" s="70"/>
      <c r="CH100" s="70"/>
      <c r="CI100" s="70"/>
      <c r="CJ100" s="70"/>
      <c r="CK100" s="70"/>
      <c r="CL100" s="70"/>
      <c r="CM100" s="70"/>
      <c r="CN100" s="70"/>
      <c r="CO100" s="70"/>
      <c r="CP100" s="70"/>
      <c r="CR100" s="180"/>
    </row>
    <row r="101" spans="1:96" x14ac:dyDescent="0.2">
      <c r="A101" s="59"/>
      <c r="B101" s="66"/>
      <c r="C101" s="66"/>
      <c r="D101" s="66"/>
      <c r="E101" s="59"/>
      <c r="F101" s="59"/>
      <c r="G101" s="59"/>
      <c r="H101" s="59"/>
      <c r="I101" s="59"/>
      <c r="J101" s="59"/>
      <c r="K101" s="59"/>
      <c r="L101" s="68"/>
      <c r="M101" s="63"/>
      <c r="N101" s="59"/>
      <c r="O101" s="69"/>
      <c r="P101" s="70"/>
      <c r="Q101" s="70"/>
      <c r="R101" s="70"/>
      <c r="S101" s="70"/>
      <c r="T101" s="70"/>
      <c r="U101" s="70"/>
      <c r="V101" s="70"/>
      <c r="W101" s="70"/>
      <c r="X101" s="70"/>
      <c r="Y101" s="70"/>
      <c r="Z101" s="70"/>
      <c r="AA101" s="70"/>
      <c r="AB101" s="70"/>
      <c r="AC101" s="70"/>
      <c r="AD101" s="70"/>
      <c r="AE101" s="70"/>
      <c r="AF101" s="70"/>
      <c r="AG101" s="70"/>
      <c r="AH101" s="70"/>
      <c r="AI101" s="70"/>
      <c r="AJ101" s="70"/>
      <c r="AK101" s="70"/>
      <c r="AL101" s="70"/>
      <c r="AM101" s="70"/>
      <c r="AN101" s="70"/>
      <c r="AO101" s="70"/>
      <c r="AP101" s="70"/>
      <c r="AQ101" s="70"/>
      <c r="AR101" s="70"/>
      <c r="AS101" s="70"/>
      <c r="AT101" s="70"/>
      <c r="AU101" s="70"/>
      <c r="AV101" s="70"/>
      <c r="AW101" s="70"/>
      <c r="AX101" s="70"/>
      <c r="AY101" s="70"/>
      <c r="AZ101" s="70"/>
      <c r="BA101" s="70"/>
      <c r="BB101" s="70"/>
      <c r="BC101" s="70"/>
      <c r="BD101" s="70"/>
      <c r="BE101" s="70"/>
      <c r="BF101" s="70"/>
      <c r="BG101" s="70"/>
      <c r="BH101" s="70"/>
      <c r="BI101" s="70"/>
      <c r="BJ101" s="70"/>
      <c r="BK101" s="70"/>
      <c r="BL101" s="70"/>
      <c r="BM101" s="70"/>
      <c r="BN101" s="70"/>
      <c r="BO101" s="70"/>
      <c r="BP101" s="70"/>
      <c r="BQ101" s="70"/>
      <c r="BR101" s="70"/>
      <c r="BS101" s="70"/>
      <c r="BT101" s="70"/>
      <c r="BU101" s="70"/>
      <c r="BV101" s="70"/>
      <c r="BW101" s="70"/>
      <c r="BX101" s="70"/>
      <c r="BY101" s="70"/>
      <c r="BZ101" s="70"/>
      <c r="CA101" s="70"/>
      <c r="CB101" s="70"/>
      <c r="CC101" s="70"/>
      <c r="CD101" s="70"/>
      <c r="CE101" s="70"/>
      <c r="CF101" s="70"/>
      <c r="CG101" s="70"/>
      <c r="CH101" s="70"/>
      <c r="CI101" s="70"/>
      <c r="CJ101" s="70"/>
      <c r="CK101" s="70"/>
      <c r="CL101" s="70"/>
      <c r="CM101" s="70"/>
      <c r="CN101" s="70"/>
      <c r="CO101" s="70"/>
      <c r="CP101" s="70"/>
      <c r="CR101" s="180"/>
    </row>
    <row r="102" spans="1:96" x14ac:dyDescent="0.2">
      <c r="B102" s="66"/>
      <c r="C102" s="66"/>
      <c r="D102" s="66"/>
      <c r="E102" s="59"/>
      <c r="F102" s="59"/>
      <c r="G102" s="59"/>
      <c r="H102" s="59"/>
      <c r="I102" s="59"/>
      <c r="J102" s="59"/>
      <c r="K102" s="59"/>
      <c r="L102" s="68"/>
      <c r="M102" s="63"/>
      <c r="N102" s="59"/>
      <c r="O102" s="69"/>
      <c r="P102" s="70"/>
      <c r="Q102" s="70"/>
      <c r="R102" s="70"/>
      <c r="S102" s="70"/>
      <c r="T102" s="70"/>
      <c r="U102" s="70"/>
      <c r="V102" s="70"/>
      <c r="W102" s="70"/>
      <c r="X102" s="70"/>
      <c r="Y102" s="70"/>
      <c r="Z102" s="70"/>
      <c r="AA102" s="70"/>
      <c r="AB102" s="70"/>
      <c r="AC102" s="70"/>
      <c r="AD102" s="70"/>
      <c r="AE102" s="70"/>
      <c r="AF102" s="70"/>
      <c r="AG102" s="70"/>
      <c r="AH102" s="70"/>
      <c r="AI102" s="70"/>
      <c r="AJ102" s="70"/>
      <c r="AK102" s="70"/>
      <c r="AL102" s="70"/>
      <c r="AM102" s="70"/>
      <c r="AN102" s="70"/>
      <c r="AO102" s="70"/>
      <c r="AP102" s="70"/>
      <c r="AQ102" s="70"/>
      <c r="AR102" s="70"/>
      <c r="AS102" s="70"/>
      <c r="AT102" s="70"/>
      <c r="AU102" s="70"/>
      <c r="AV102" s="70"/>
      <c r="AW102" s="70"/>
      <c r="AX102" s="70"/>
      <c r="AY102" s="70"/>
      <c r="AZ102" s="70"/>
      <c r="BA102" s="70"/>
      <c r="BB102" s="70"/>
      <c r="BC102" s="70"/>
      <c r="BD102" s="70"/>
      <c r="BE102" s="70"/>
      <c r="BF102" s="70"/>
      <c r="BG102" s="70"/>
      <c r="BH102" s="70"/>
      <c r="BI102" s="70"/>
      <c r="BJ102" s="70"/>
      <c r="BK102" s="70"/>
      <c r="BL102" s="70"/>
      <c r="BM102" s="70"/>
      <c r="BN102" s="70"/>
      <c r="BO102" s="70"/>
      <c r="BP102" s="70"/>
      <c r="BQ102" s="70"/>
      <c r="BR102" s="70"/>
      <c r="BS102" s="70"/>
      <c r="BT102" s="70"/>
      <c r="BU102" s="70"/>
      <c r="BV102" s="70"/>
      <c r="BW102" s="70"/>
      <c r="BX102" s="70"/>
      <c r="BY102" s="70"/>
      <c r="BZ102" s="70"/>
      <c r="CA102" s="70"/>
      <c r="CB102" s="70"/>
      <c r="CC102" s="70"/>
      <c r="CD102" s="70"/>
      <c r="CE102" s="70"/>
      <c r="CF102" s="70"/>
      <c r="CG102" s="70"/>
      <c r="CH102" s="70"/>
      <c r="CI102" s="70"/>
      <c r="CJ102" s="70"/>
      <c r="CK102" s="70"/>
      <c r="CL102" s="70"/>
      <c r="CM102" s="70"/>
      <c r="CN102" s="70"/>
      <c r="CO102" s="70"/>
      <c r="CP102" s="70"/>
      <c r="CR102" s="180"/>
    </row>
    <row r="103" spans="1:96" x14ac:dyDescent="0.2">
      <c r="A103" s="59"/>
      <c r="B103" s="66"/>
      <c r="C103" s="66"/>
      <c r="D103" s="66"/>
      <c r="E103" s="59"/>
      <c r="F103" s="59"/>
      <c r="G103" s="59"/>
      <c r="H103" s="59"/>
      <c r="I103" s="59"/>
      <c r="J103" s="59"/>
      <c r="K103" s="59"/>
      <c r="L103" s="68"/>
      <c r="M103" s="63"/>
      <c r="N103" s="59"/>
      <c r="O103" s="69"/>
      <c r="P103" s="70"/>
      <c r="Q103" s="70"/>
      <c r="R103" s="70"/>
      <c r="S103" s="70"/>
      <c r="T103" s="70"/>
      <c r="U103" s="70"/>
      <c r="V103" s="70"/>
      <c r="W103" s="70"/>
      <c r="X103" s="70"/>
      <c r="Y103" s="70"/>
      <c r="Z103" s="70"/>
      <c r="AA103" s="70"/>
      <c r="AB103" s="70"/>
      <c r="AC103" s="70"/>
      <c r="AD103" s="70"/>
      <c r="AE103" s="70"/>
      <c r="AF103" s="70"/>
      <c r="AG103" s="70"/>
      <c r="AH103" s="70"/>
      <c r="AI103" s="70"/>
      <c r="AJ103" s="70"/>
      <c r="AK103" s="70"/>
      <c r="AL103" s="70"/>
      <c r="AM103" s="70"/>
      <c r="AN103" s="70"/>
      <c r="AO103" s="70"/>
      <c r="AP103" s="70"/>
      <c r="AQ103" s="70"/>
      <c r="AR103" s="70"/>
      <c r="AS103" s="70"/>
      <c r="AT103" s="70"/>
      <c r="AU103" s="70"/>
      <c r="AV103" s="70"/>
      <c r="AW103" s="70"/>
      <c r="AX103" s="70"/>
      <c r="AY103" s="70"/>
      <c r="AZ103" s="70"/>
      <c r="BA103" s="70"/>
      <c r="BB103" s="70"/>
      <c r="BC103" s="70"/>
      <c r="BD103" s="70"/>
      <c r="BE103" s="70"/>
      <c r="BF103" s="70"/>
      <c r="BG103" s="70"/>
      <c r="BH103" s="70"/>
      <c r="BI103" s="70"/>
      <c r="BJ103" s="70"/>
      <c r="BK103" s="70"/>
      <c r="BL103" s="70"/>
      <c r="BM103" s="70"/>
      <c r="BN103" s="70"/>
      <c r="BO103" s="70"/>
      <c r="BP103" s="70"/>
      <c r="BQ103" s="70"/>
      <c r="BR103" s="70"/>
      <c r="BS103" s="70"/>
      <c r="BT103" s="70"/>
      <c r="BU103" s="70"/>
      <c r="BV103" s="70"/>
      <c r="BW103" s="70"/>
      <c r="BX103" s="70"/>
      <c r="BY103" s="70"/>
      <c r="BZ103" s="70"/>
      <c r="CA103" s="70"/>
      <c r="CB103" s="70"/>
      <c r="CC103" s="70"/>
      <c r="CD103" s="70"/>
      <c r="CE103" s="70"/>
      <c r="CF103" s="70"/>
      <c r="CG103" s="70"/>
      <c r="CH103" s="70"/>
      <c r="CI103" s="70"/>
      <c r="CJ103" s="70"/>
      <c r="CK103" s="70"/>
      <c r="CL103" s="70"/>
      <c r="CM103" s="70"/>
      <c r="CN103" s="70"/>
      <c r="CO103" s="70"/>
      <c r="CP103" s="70"/>
      <c r="CR103" s="180"/>
    </row>
    <row r="104" spans="1:96" x14ac:dyDescent="0.2">
      <c r="B104" s="66"/>
      <c r="C104" s="66"/>
      <c r="D104" s="66"/>
      <c r="E104" s="59"/>
      <c r="F104" s="59"/>
      <c r="G104" s="59"/>
      <c r="H104" s="59"/>
      <c r="I104" s="59"/>
      <c r="J104" s="59"/>
      <c r="K104" s="59"/>
      <c r="L104" s="68"/>
      <c r="M104" s="63"/>
      <c r="N104" s="59"/>
      <c r="O104" s="69"/>
      <c r="P104" s="70"/>
      <c r="Q104" s="70"/>
      <c r="R104" s="70"/>
      <c r="S104" s="70"/>
      <c r="T104" s="70"/>
      <c r="U104" s="70"/>
      <c r="V104" s="70"/>
      <c r="W104" s="70"/>
      <c r="X104" s="70"/>
      <c r="Y104" s="70"/>
      <c r="Z104" s="70"/>
      <c r="AA104" s="70"/>
      <c r="AB104" s="70"/>
      <c r="AC104" s="70"/>
      <c r="AD104" s="70"/>
      <c r="AE104" s="70"/>
      <c r="AF104" s="70"/>
      <c r="AG104" s="70"/>
      <c r="AH104" s="70"/>
      <c r="AI104" s="70"/>
      <c r="AJ104" s="70"/>
      <c r="AK104" s="70"/>
      <c r="AL104" s="70"/>
      <c r="AM104" s="70"/>
      <c r="AN104" s="70"/>
      <c r="AO104" s="70"/>
      <c r="AP104" s="70"/>
      <c r="AQ104" s="70"/>
      <c r="AR104" s="70"/>
      <c r="AS104" s="70"/>
      <c r="AT104" s="70"/>
      <c r="AU104" s="70"/>
      <c r="AV104" s="70"/>
      <c r="AW104" s="70"/>
      <c r="AX104" s="70"/>
      <c r="AY104" s="70"/>
      <c r="AZ104" s="70"/>
      <c r="BA104" s="70"/>
      <c r="BB104" s="70"/>
      <c r="BC104" s="70"/>
      <c r="BD104" s="70"/>
      <c r="BE104" s="70"/>
      <c r="BF104" s="70"/>
      <c r="BG104" s="70"/>
      <c r="BH104" s="70"/>
      <c r="BI104" s="70"/>
      <c r="BJ104" s="70"/>
      <c r="BK104" s="70"/>
      <c r="BL104" s="70"/>
      <c r="BM104" s="70"/>
      <c r="BN104" s="70"/>
      <c r="BO104" s="70"/>
      <c r="BP104" s="70"/>
      <c r="BQ104" s="70"/>
      <c r="BR104" s="70"/>
      <c r="BS104" s="70"/>
      <c r="BT104" s="70"/>
      <c r="BU104" s="70"/>
      <c r="BV104" s="70"/>
      <c r="BW104" s="70"/>
      <c r="BX104" s="70"/>
      <c r="BY104" s="70"/>
      <c r="BZ104" s="70"/>
      <c r="CA104" s="70"/>
      <c r="CB104" s="70"/>
      <c r="CC104" s="70"/>
      <c r="CD104" s="70"/>
      <c r="CE104" s="70"/>
      <c r="CF104" s="70"/>
      <c r="CG104" s="70"/>
      <c r="CH104" s="70"/>
      <c r="CI104" s="70"/>
      <c r="CJ104" s="70"/>
      <c r="CK104" s="70"/>
      <c r="CL104" s="70"/>
      <c r="CM104" s="70"/>
      <c r="CN104" s="70"/>
      <c r="CO104" s="70"/>
      <c r="CP104" s="70"/>
      <c r="CR104" s="180"/>
    </row>
    <row r="105" spans="1:96" x14ac:dyDescent="0.2">
      <c r="A105" s="59"/>
      <c r="B105" s="66"/>
      <c r="C105" s="66"/>
      <c r="D105" s="66"/>
      <c r="E105" s="59"/>
      <c r="F105" s="59"/>
      <c r="G105" s="59"/>
      <c r="H105" s="59"/>
      <c r="I105" s="59"/>
      <c r="J105" s="59"/>
      <c r="K105" s="59"/>
      <c r="L105" s="68"/>
      <c r="M105" s="63"/>
      <c r="N105" s="59"/>
      <c r="O105" s="69"/>
      <c r="P105" s="70"/>
      <c r="Q105" s="70"/>
      <c r="R105" s="70"/>
      <c r="S105" s="70"/>
      <c r="T105" s="70"/>
      <c r="U105" s="70"/>
      <c r="V105" s="70"/>
      <c r="W105" s="70"/>
      <c r="X105" s="70"/>
      <c r="Y105" s="70"/>
      <c r="Z105" s="70"/>
      <c r="AA105" s="70"/>
      <c r="AB105" s="70"/>
      <c r="AC105" s="70"/>
      <c r="AD105" s="70"/>
      <c r="AE105" s="70"/>
      <c r="AF105" s="70"/>
      <c r="AG105" s="70"/>
      <c r="AH105" s="70"/>
      <c r="AI105" s="70"/>
      <c r="AJ105" s="70"/>
      <c r="AK105" s="70"/>
      <c r="AL105" s="70"/>
      <c r="AM105" s="70"/>
      <c r="AN105" s="70"/>
      <c r="AO105" s="70"/>
      <c r="AP105" s="70"/>
      <c r="AQ105" s="70"/>
      <c r="AR105" s="70"/>
      <c r="AS105" s="70"/>
      <c r="AT105" s="70"/>
      <c r="AU105" s="70"/>
      <c r="AV105" s="70"/>
      <c r="AW105" s="70"/>
      <c r="AX105" s="70"/>
      <c r="AY105" s="70"/>
      <c r="AZ105" s="70"/>
      <c r="BA105" s="70"/>
      <c r="BB105" s="70"/>
      <c r="BC105" s="70"/>
      <c r="BD105" s="70"/>
      <c r="BE105" s="70"/>
      <c r="BF105" s="70"/>
      <c r="BG105" s="70"/>
      <c r="BH105" s="70"/>
      <c r="BI105" s="70"/>
      <c r="BJ105" s="70"/>
      <c r="BK105" s="70"/>
      <c r="BL105" s="70"/>
      <c r="BM105" s="70"/>
      <c r="BN105" s="70"/>
      <c r="BO105" s="70"/>
      <c r="BP105" s="70"/>
      <c r="BQ105" s="70"/>
      <c r="BR105" s="70"/>
      <c r="BS105" s="70"/>
      <c r="BT105" s="70"/>
      <c r="BU105" s="70"/>
      <c r="BV105" s="70"/>
      <c r="BW105" s="70"/>
      <c r="BX105" s="70"/>
      <c r="BY105" s="70"/>
      <c r="BZ105" s="70"/>
      <c r="CA105" s="70"/>
      <c r="CB105" s="70"/>
      <c r="CC105" s="70"/>
      <c r="CD105" s="70"/>
      <c r="CE105" s="70"/>
      <c r="CF105" s="70"/>
      <c r="CG105" s="70"/>
      <c r="CH105" s="70"/>
      <c r="CI105" s="70"/>
      <c r="CJ105" s="70"/>
      <c r="CK105" s="70"/>
      <c r="CL105" s="70"/>
      <c r="CM105" s="70"/>
      <c r="CN105" s="70"/>
      <c r="CO105" s="70"/>
      <c r="CP105" s="70"/>
      <c r="CR105" s="180"/>
    </row>
    <row r="106" spans="1:96" x14ac:dyDescent="0.2">
      <c r="B106" s="66"/>
      <c r="C106" s="66"/>
      <c r="D106" s="66"/>
      <c r="E106" s="59"/>
      <c r="F106" s="59"/>
      <c r="G106" s="59"/>
      <c r="H106" s="59"/>
      <c r="I106" s="59"/>
      <c r="J106" s="59"/>
      <c r="K106" s="59"/>
      <c r="L106" s="68"/>
      <c r="M106" s="63"/>
      <c r="N106" s="59"/>
      <c r="O106" s="69"/>
      <c r="P106" s="70"/>
      <c r="Q106" s="70"/>
      <c r="R106" s="70"/>
      <c r="S106" s="70"/>
      <c r="T106" s="70"/>
      <c r="U106" s="70"/>
      <c r="V106" s="70"/>
      <c r="W106" s="70"/>
      <c r="X106" s="70"/>
      <c r="Y106" s="70"/>
      <c r="Z106" s="70"/>
      <c r="AA106" s="70"/>
      <c r="AB106" s="70"/>
      <c r="AC106" s="70"/>
      <c r="AD106" s="70"/>
      <c r="AE106" s="70"/>
      <c r="AF106" s="70"/>
      <c r="AG106" s="70"/>
      <c r="AH106" s="70"/>
      <c r="AI106" s="70"/>
      <c r="AJ106" s="70"/>
      <c r="AK106" s="70"/>
      <c r="AL106" s="70"/>
      <c r="AM106" s="70"/>
      <c r="AN106" s="70"/>
      <c r="AO106" s="70"/>
      <c r="AP106" s="70"/>
      <c r="AQ106" s="70"/>
      <c r="AR106" s="70"/>
      <c r="AS106" s="70"/>
      <c r="AT106" s="70"/>
      <c r="AU106" s="70"/>
      <c r="AV106" s="70"/>
      <c r="AW106" s="70"/>
      <c r="AX106" s="70"/>
      <c r="AY106" s="70"/>
      <c r="AZ106" s="70"/>
      <c r="BA106" s="70"/>
      <c r="BB106" s="70"/>
      <c r="BC106" s="70"/>
      <c r="BD106" s="70"/>
      <c r="BE106" s="70"/>
      <c r="BF106" s="70"/>
      <c r="BG106" s="70"/>
      <c r="BH106" s="70"/>
      <c r="BI106" s="70"/>
      <c r="BJ106" s="70"/>
      <c r="BK106" s="70"/>
      <c r="BL106" s="70"/>
      <c r="BM106" s="70"/>
      <c r="BN106" s="70"/>
      <c r="BO106" s="70"/>
      <c r="BP106" s="70"/>
      <c r="BQ106" s="70"/>
      <c r="BR106" s="70"/>
      <c r="BS106" s="70"/>
      <c r="BT106" s="70"/>
      <c r="BU106" s="70"/>
      <c r="BV106" s="70"/>
      <c r="BW106" s="70"/>
      <c r="BX106" s="70"/>
      <c r="BY106" s="70"/>
      <c r="BZ106" s="70"/>
      <c r="CA106" s="70"/>
      <c r="CB106" s="70"/>
      <c r="CC106" s="70"/>
      <c r="CD106" s="70"/>
      <c r="CE106" s="70"/>
      <c r="CF106" s="70"/>
      <c r="CG106" s="70"/>
      <c r="CH106" s="70"/>
      <c r="CI106" s="70"/>
      <c r="CJ106" s="70"/>
      <c r="CK106" s="70"/>
      <c r="CL106" s="70"/>
      <c r="CM106" s="70"/>
      <c r="CN106" s="70"/>
      <c r="CO106" s="70"/>
      <c r="CP106" s="70"/>
      <c r="CR106" s="180"/>
    </row>
    <row r="107" spans="1:96" x14ac:dyDescent="0.2">
      <c r="A107" s="59"/>
      <c r="B107" s="66"/>
      <c r="C107" s="66"/>
      <c r="D107" s="66"/>
      <c r="E107" s="59"/>
      <c r="F107" s="59"/>
      <c r="G107" s="59"/>
      <c r="H107" s="59"/>
      <c r="I107" s="59"/>
      <c r="J107" s="59"/>
      <c r="K107" s="59"/>
      <c r="L107" s="68"/>
      <c r="M107" s="63"/>
      <c r="N107" s="59"/>
      <c r="O107" s="69"/>
      <c r="P107" s="70"/>
      <c r="Q107" s="70"/>
      <c r="R107" s="70"/>
      <c r="S107" s="70"/>
      <c r="T107" s="70"/>
      <c r="U107" s="70"/>
      <c r="V107" s="70"/>
      <c r="W107" s="70"/>
      <c r="X107" s="70"/>
      <c r="Y107" s="70"/>
      <c r="Z107" s="70"/>
      <c r="AA107" s="70"/>
      <c r="AB107" s="70"/>
      <c r="AC107" s="70"/>
      <c r="AD107" s="70"/>
      <c r="AE107" s="70"/>
      <c r="AF107" s="70"/>
      <c r="AG107" s="70"/>
      <c r="AH107" s="70"/>
      <c r="AI107" s="70"/>
      <c r="AJ107" s="70"/>
      <c r="AK107" s="70"/>
      <c r="AL107" s="70"/>
      <c r="AM107" s="70"/>
      <c r="AN107" s="70"/>
      <c r="AO107" s="70"/>
      <c r="AP107" s="70"/>
      <c r="AQ107" s="70"/>
      <c r="AR107" s="70"/>
      <c r="AS107" s="70"/>
      <c r="AT107" s="70"/>
      <c r="AU107" s="70"/>
      <c r="AV107" s="70"/>
      <c r="AW107" s="70"/>
      <c r="AX107" s="70"/>
      <c r="AY107" s="70"/>
      <c r="AZ107" s="70"/>
      <c r="BA107" s="70"/>
      <c r="BB107" s="70"/>
      <c r="BC107" s="70"/>
      <c r="BD107" s="70"/>
      <c r="BE107" s="70"/>
      <c r="BF107" s="70"/>
      <c r="BG107" s="70"/>
      <c r="BH107" s="70"/>
      <c r="BI107" s="70"/>
      <c r="BJ107" s="70"/>
      <c r="BK107" s="70"/>
      <c r="BL107" s="70"/>
      <c r="BM107" s="70"/>
      <c r="BN107" s="70"/>
      <c r="BO107" s="70"/>
      <c r="BP107" s="70"/>
      <c r="BQ107" s="70"/>
      <c r="BR107" s="70"/>
      <c r="BS107" s="70"/>
      <c r="BT107" s="70"/>
      <c r="BU107" s="70"/>
      <c r="BV107" s="70"/>
      <c r="BW107" s="70"/>
      <c r="BX107" s="70"/>
      <c r="BY107" s="70"/>
      <c r="BZ107" s="70"/>
      <c r="CA107" s="70"/>
      <c r="CB107" s="70"/>
      <c r="CC107" s="70"/>
      <c r="CD107" s="70"/>
      <c r="CE107" s="70"/>
      <c r="CF107" s="70"/>
      <c r="CG107" s="70"/>
      <c r="CH107" s="70"/>
      <c r="CI107" s="70"/>
      <c r="CJ107" s="70"/>
      <c r="CK107" s="70"/>
      <c r="CL107" s="70"/>
      <c r="CM107" s="70"/>
      <c r="CN107" s="70"/>
      <c r="CO107" s="70"/>
      <c r="CP107" s="70"/>
      <c r="CR107" s="180"/>
    </row>
    <row r="108" spans="1:96" x14ac:dyDescent="0.2">
      <c r="B108" s="66"/>
      <c r="C108" s="66"/>
      <c r="D108" s="66"/>
      <c r="E108" s="59"/>
      <c r="F108" s="59"/>
      <c r="G108" s="59"/>
      <c r="H108" s="59"/>
      <c r="I108" s="59"/>
      <c r="J108" s="59"/>
      <c r="K108" s="59"/>
      <c r="L108" s="68"/>
      <c r="M108" s="63"/>
      <c r="N108" s="59"/>
      <c r="O108" s="69"/>
      <c r="P108" s="70"/>
      <c r="Q108" s="70"/>
      <c r="R108" s="70"/>
      <c r="S108" s="70"/>
      <c r="T108" s="70"/>
      <c r="U108" s="70"/>
      <c r="V108" s="70"/>
      <c r="W108" s="70"/>
      <c r="X108" s="70"/>
      <c r="Y108" s="70"/>
      <c r="Z108" s="70"/>
      <c r="AA108" s="70"/>
      <c r="AB108" s="70"/>
      <c r="AC108" s="70"/>
      <c r="AD108" s="70"/>
      <c r="AE108" s="70"/>
      <c r="AF108" s="70"/>
      <c r="AG108" s="70"/>
      <c r="AH108" s="70"/>
      <c r="AI108" s="70"/>
      <c r="AJ108" s="70"/>
      <c r="AK108" s="70"/>
      <c r="AL108" s="70"/>
      <c r="AM108" s="70"/>
      <c r="AN108" s="70"/>
      <c r="AO108" s="70"/>
      <c r="AP108" s="70"/>
      <c r="AQ108" s="70"/>
      <c r="AR108" s="70"/>
      <c r="AS108" s="70"/>
      <c r="AT108" s="70"/>
      <c r="AU108" s="70"/>
      <c r="AV108" s="70"/>
      <c r="AW108" s="70"/>
      <c r="AX108" s="70"/>
      <c r="AY108" s="70"/>
      <c r="AZ108" s="70"/>
      <c r="BA108" s="70"/>
      <c r="BB108" s="70"/>
      <c r="BC108" s="70"/>
      <c r="BD108" s="70"/>
      <c r="BE108" s="70"/>
      <c r="BF108" s="70"/>
      <c r="BG108" s="70"/>
      <c r="BH108" s="70"/>
      <c r="BI108" s="70"/>
      <c r="BJ108" s="70"/>
      <c r="BK108" s="70"/>
      <c r="BL108" s="70"/>
      <c r="BM108" s="70"/>
      <c r="BN108" s="70"/>
      <c r="BO108" s="70"/>
      <c r="BP108" s="70"/>
      <c r="BQ108" s="70"/>
      <c r="BR108" s="70"/>
      <c r="BS108" s="70"/>
      <c r="BT108" s="70"/>
      <c r="BU108" s="70"/>
      <c r="BV108" s="70"/>
      <c r="BW108" s="70"/>
      <c r="BX108" s="70"/>
      <c r="BY108" s="70"/>
      <c r="BZ108" s="70"/>
      <c r="CA108" s="70"/>
      <c r="CB108" s="70"/>
      <c r="CC108" s="70"/>
      <c r="CD108" s="70"/>
      <c r="CE108" s="70"/>
      <c r="CF108" s="70"/>
      <c r="CG108" s="70"/>
      <c r="CH108" s="70"/>
      <c r="CI108" s="70"/>
      <c r="CJ108" s="70"/>
      <c r="CK108" s="70"/>
      <c r="CL108" s="70"/>
      <c r="CM108" s="70"/>
      <c r="CN108" s="70"/>
      <c r="CO108" s="70"/>
      <c r="CP108" s="70"/>
      <c r="CR108" s="180"/>
    </row>
    <row r="109" spans="1:96" x14ac:dyDescent="0.2">
      <c r="A109" s="59"/>
      <c r="B109" s="66"/>
      <c r="C109" s="66"/>
      <c r="D109" s="66"/>
      <c r="E109" s="59"/>
      <c r="F109" s="59"/>
      <c r="G109" s="59"/>
      <c r="H109" s="59"/>
      <c r="I109" s="59"/>
      <c r="J109" s="59"/>
      <c r="K109" s="59"/>
      <c r="L109" s="68"/>
      <c r="M109" s="63"/>
      <c r="N109" s="59"/>
      <c r="O109" s="69"/>
      <c r="P109" s="70"/>
      <c r="Q109" s="70"/>
      <c r="R109" s="70"/>
      <c r="S109" s="70"/>
      <c r="T109" s="70"/>
      <c r="U109" s="70"/>
      <c r="V109" s="70"/>
      <c r="W109" s="70"/>
      <c r="X109" s="70"/>
      <c r="Y109" s="70"/>
      <c r="Z109" s="70"/>
      <c r="AA109" s="70"/>
      <c r="AB109" s="70"/>
      <c r="AC109" s="70"/>
      <c r="AD109" s="70"/>
      <c r="AE109" s="70"/>
      <c r="AF109" s="70"/>
      <c r="AG109" s="70"/>
      <c r="AH109" s="70"/>
      <c r="AI109" s="70"/>
      <c r="AJ109" s="70"/>
      <c r="AK109" s="70"/>
      <c r="AL109" s="70"/>
      <c r="AM109" s="70"/>
      <c r="AN109" s="70"/>
      <c r="AO109" s="70"/>
      <c r="AP109" s="70"/>
      <c r="AQ109" s="70"/>
      <c r="AR109" s="70"/>
      <c r="AS109" s="70"/>
      <c r="AT109" s="70"/>
      <c r="AU109" s="70"/>
      <c r="AV109" s="70"/>
      <c r="AW109" s="70"/>
      <c r="AX109" s="70"/>
      <c r="AY109" s="70"/>
      <c r="AZ109" s="70"/>
      <c r="BA109" s="70"/>
      <c r="BB109" s="70"/>
      <c r="BC109" s="70"/>
      <c r="BD109" s="70"/>
      <c r="BE109" s="70"/>
      <c r="BF109" s="70"/>
      <c r="BG109" s="70"/>
      <c r="BH109" s="70"/>
      <c r="BI109" s="70"/>
      <c r="BJ109" s="70"/>
      <c r="BK109" s="70"/>
      <c r="BL109" s="70"/>
      <c r="BM109" s="70"/>
      <c r="BN109" s="70"/>
      <c r="BO109" s="70"/>
      <c r="BP109" s="70"/>
      <c r="BQ109" s="70"/>
      <c r="BR109" s="70"/>
      <c r="BS109" s="70"/>
      <c r="BT109" s="70"/>
      <c r="BU109" s="70"/>
      <c r="BV109" s="70"/>
      <c r="BW109" s="70"/>
      <c r="BX109" s="70"/>
      <c r="BY109" s="70"/>
      <c r="BZ109" s="70"/>
      <c r="CA109" s="70"/>
      <c r="CB109" s="70"/>
      <c r="CC109" s="70"/>
      <c r="CD109" s="70"/>
      <c r="CE109" s="70"/>
      <c r="CF109" s="70"/>
      <c r="CG109" s="70"/>
      <c r="CH109" s="70"/>
      <c r="CI109" s="70"/>
      <c r="CJ109" s="70"/>
      <c r="CK109" s="70"/>
      <c r="CL109" s="70"/>
      <c r="CM109" s="70"/>
      <c r="CN109" s="70"/>
      <c r="CO109" s="70"/>
      <c r="CP109" s="70"/>
      <c r="CR109" s="180"/>
    </row>
    <row r="110" spans="1:96" x14ac:dyDescent="0.2">
      <c r="B110" s="66"/>
      <c r="C110" s="66"/>
      <c r="D110" s="66"/>
      <c r="E110" s="59"/>
      <c r="F110" s="59"/>
      <c r="G110" s="59"/>
      <c r="H110" s="59"/>
      <c r="I110" s="59"/>
      <c r="J110" s="59"/>
      <c r="K110" s="59"/>
      <c r="L110" s="68"/>
      <c r="M110" s="63"/>
      <c r="N110" s="59"/>
      <c r="O110" s="69"/>
      <c r="P110" s="70"/>
      <c r="Q110" s="70"/>
      <c r="R110" s="70"/>
      <c r="S110" s="70"/>
      <c r="T110" s="70"/>
      <c r="U110" s="70"/>
      <c r="V110" s="70"/>
      <c r="W110" s="70"/>
      <c r="X110" s="70"/>
      <c r="Y110" s="70"/>
      <c r="Z110" s="70"/>
      <c r="AA110" s="70"/>
      <c r="AB110" s="70"/>
      <c r="AC110" s="70"/>
      <c r="AD110" s="70"/>
      <c r="AE110" s="70"/>
      <c r="AF110" s="70"/>
      <c r="AG110" s="70"/>
      <c r="AH110" s="70"/>
      <c r="AI110" s="70"/>
      <c r="AJ110" s="70"/>
      <c r="AK110" s="70"/>
      <c r="AL110" s="70"/>
      <c r="AM110" s="70"/>
      <c r="AN110" s="70"/>
      <c r="AO110" s="70"/>
      <c r="AP110" s="70"/>
      <c r="AQ110" s="70"/>
      <c r="AR110" s="70"/>
      <c r="AS110" s="70"/>
      <c r="AT110" s="70"/>
      <c r="AU110" s="70"/>
      <c r="AV110" s="70"/>
      <c r="AW110" s="70"/>
      <c r="AX110" s="70"/>
      <c r="AY110" s="70"/>
      <c r="AZ110" s="70"/>
      <c r="BA110" s="70"/>
      <c r="BB110" s="70"/>
      <c r="BC110" s="70"/>
      <c r="BD110" s="70"/>
      <c r="BE110" s="70"/>
      <c r="BF110" s="70"/>
      <c r="BG110" s="70"/>
      <c r="BH110" s="70"/>
      <c r="BI110" s="70"/>
      <c r="BJ110" s="70"/>
      <c r="BK110" s="70"/>
      <c r="BL110" s="70"/>
      <c r="BM110" s="70"/>
      <c r="BN110" s="70"/>
      <c r="BO110" s="70"/>
      <c r="BP110" s="70"/>
      <c r="BQ110" s="70"/>
      <c r="BR110" s="70"/>
      <c r="BS110" s="70"/>
      <c r="BT110" s="70"/>
      <c r="BU110" s="70"/>
      <c r="BV110" s="70"/>
      <c r="BW110" s="70"/>
      <c r="BX110" s="70"/>
      <c r="BY110" s="70"/>
      <c r="BZ110" s="70"/>
      <c r="CA110" s="70"/>
      <c r="CB110" s="70"/>
      <c r="CC110" s="70"/>
      <c r="CD110" s="70"/>
      <c r="CE110" s="70"/>
      <c r="CF110" s="70"/>
      <c r="CG110" s="70"/>
      <c r="CH110" s="70"/>
      <c r="CI110" s="70"/>
      <c r="CJ110" s="70"/>
      <c r="CK110" s="70"/>
      <c r="CL110" s="70"/>
      <c r="CM110" s="70"/>
      <c r="CN110" s="70"/>
      <c r="CO110" s="70"/>
      <c r="CP110" s="70"/>
      <c r="CR110" s="180"/>
    </row>
    <row r="111" spans="1:96" x14ac:dyDescent="0.2">
      <c r="A111" s="59"/>
      <c r="B111" s="66"/>
      <c r="C111" s="66"/>
      <c r="D111" s="66"/>
      <c r="E111" s="59"/>
      <c r="F111" s="59"/>
      <c r="G111" s="59"/>
      <c r="H111" s="59"/>
      <c r="I111" s="59"/>
      <c r="J111" s="59"/>
      <c r="K111" s="59"/>
      <c r="L111" s="68"/>
      <c r="M111" s="63"/>
      <c r="N111" s="59"/>
      <c r="O111" s="69"/>
      <c r="P111" s="70"/>
      <c r="Q111" s="70"/>
      <c r="R111" s="70"/>
      <c r="S111" s="70"/>
      <c r="T111" s="70"/>
      <c r="U111" s="70"/>
      <c r="V111" s="70"/>
      <c r="W111" s="70"/>
      <c r="X111" s="70"/>
      <c r="Y111" s="70"/>
      <c r="Z111" s="70"/>
      <c r="AA111" s="70"/>
      <c r="AB111" s="70"/>
      <c r="AC111" s="70"/>
      <c r="AD111" s="70"/>
      <c r="AE111" s="70"/>
      <c r="AF111" s="70"/>
      <c r="AG111" s="70"/>
      <c r="AH111" s="70"/>
      <c r="AI111" s="70"/>
      <c r="AJ111" s="70"/>
      <c r="AK111" s="70"/>
      <c r="AL111" s="70"/>
      <c r="AM111" s="70"/>
      <c r="AN111" s="70"/>
      <c r="AO111" s="70"/>
      <c r="AP111" s="70"/>
      <c r="AQ111" s="70"/>
      <c r="AR111" s="70"/>
      <c r="AS111" s="70"/>
      <c r="AT111" s="70"/>
      <c r="AU111" s="70"/>
      <c r="AV111" s="70"/>
      <c r="AW111" s="70"/>
      <c r="AX111" s="70"/>
      <c r="AY111" s="70"/>
      <c r="AZ111" s="70"/>
      <c r="BA111" s="70"/>
      <c r="BB111" s="70"/>
      <c r="BC111" s="70"/>
      <c r="BD111" s="70"/>
      <c r="BE111" s="70"/>
      <c r="BF111" s="70"/>
      <c r="BG111" s="70"/>
      <c r="BH111" s="70"/>
      <c r="BI111" s="70"/>
      <c r="BJ111" s="70"/>
      <c r="BK111" s="70"/>
      <c r="BL111" s="70"/>
      <c r="BM111" s="70"/>
      <c r="BN111" s="70"/>
      <c r="BO111" s="70"/>
      <c r="BP111" s="70"/>
      <c r="BQ111" s="70"/>
      <c r="BR111" s="70"/>
      <c r="BS111" s="70"/>
      <c r="BT111" s="70"/>
      <c r="BU111" s="70"/>
      <c r="BV111" s="70"/>
      <c r="BW111" s="70"/>
      <c r="BX111" s="70"/>
      <c r="BY111" s="70"/>
      <c r="BZ111" s="70"/>
      <c r="CA111" s="70"/>
      <c r="CB111" s="70"/>
      <c r="CC111" s="70"/>
      <c r="CD111" s="70"/>
      <c r="CE111" s="70"/>
      <c r="CF111" s="70"/>
      <c r="CG111" s="70"/>
      <c r="CH111" s="70"/>
      <c r="CI111" s="70"/>
      <c r="CJ111" s="70"/>
      <c r="CK111" s="70"/>
      <c r="CL111" s="70"/>
      <c r="CM111" s="70"/>
      <c r="CN111" s="70"/>
      <c r="CO111" s="70"/>
      <c r="CP111" s="70"/>
      <c r="CR111" s="180"/>
    </row>
    <row r="112" spans="1:96" x14ac:dyDescent="0.2">
      <c r="B112" s="66"/>
      <c r="C112" s="66"/>
      <c r="D112" s="66"/>
      <c r="E112" s="59"/>
      <c r="F112" s="59"/>
      <c r="G112" s="59"/>
      <c r="H112" s="59"/>
      <c r="I112" s="59"/>
      <c r="J112" s="59"/>
      <c r="K112" s="59"/>
      <c r="L112" s="68"/>
      <c r="M112" s="63"/>
      <c r="N112" s="59"/>
      <c r="O112" s="69"/>
      <c r="P112" s="70"/>
      <c r="Q112" s="70"/>
      <c r="R112" s="70"/>
      <c r="S112" s="70"/>
      <c r="T112" s="70"/>
      <c r="U112" s="70"/>
      <c r="V112" s="70"/>
      <c r="W112" s="70"/>
      <c r="X112" s="70"/>
      <c r="Y112" s="70"/>
      <c r="Z112" s="70"/>
      <c r="AA112" s="70"/>
      <c r="AB112" s="70"/>
      <c r="AC112" s="70"/>
      <c r="AD112" s="70"/>
      <c r="AE112" s="70"/>
      <c r="AF112" s="70"/>
      <c r="AG112" s="70"/>
      <c r="AH112" s="70"/>
      <c r="AI112" s="70"/>
      <c r="AJ112" s="70"/>
      <c r="AK112" s="70"/>
      <c r="AL112" s="70"/>
      <c r="AM112" s="70"/>
      <c r="AN112" s="70"/>
      <c r="AO112" s="70"/>
      <c r="AP112" s="70"/>
      <c r="AQ112" s="70"/>
      <c r="AR112" s="70"/>
      <c r="AS112" s="70"/>
      <c r="AT112" s="70"/>
      <c r="AU112" s="70"/>
      <c r="AV112" s="70"/>
      <c r="AW112" s="70"/>
      <c r="AX112" s="70"/>
      <c r="AY112" s="70"/>
      <c r="AZ112" s="70"/>
      <c r="BA112" s="70"/>
      <c r="BB112" s="70"/>
      <c r="BC112" s="70"/>
      <c r="BD112" s="70"/>
      <c r="BE112" s="70"/>
      <c r="BF112" s="70"/>
      <c r="BG112" s="70"/>
      <c r="BH112" s="70"/>
      <c r="BI112" s="70"/>
      <c r="BJ112" s="70"/>
      <c r="BK112" s="70"/>
      <c r="BL112" s="70"/>
      <c r="BM112" s="70"/>
      <c r="BN112" s="70"/>
      <c r="BO112" s="70"/>
      <c r="BP112" s="70"/>
      <c r="BQ112" s="70"/>
      <c r="BR112" s="70"/>
      <c r="BS112" s="70"/>
      <c r="BT112" s="70"/>
      <c r="BU112" s="70"/>
      <c r="BV112" s="70"/>
      <c r="BW112" s="70"/>
      <c r="BX112" s="70"/>
      <c r="BY112" s="70"/>
      <c r="BZ112" s="70"/>
      <c r="CA112" s="70"/>
      <c r="CB112" s="70"/>
      <c r="CC112" s="70"/>
      <c r="CD112" s="70"/>
      <c r="CE112" s="70"/>
      <c r="CF112" s="70"/>
      <c r="CG112" s="70"/>
      <c r="CH112" s="70"/>
      <c r="CI112" s="70"/>
      <c r="CJ112" s="70"/>
      <c r="CK112" s="70"/>
      <c r="CL112" s="70"/>
      <c r="CM112" s="70"/>
      <c r="CN112" s="70"/>
      <c r="CO112" s="70"/>
      <c r="CP112" s="70"/>
      <c r="CR112" s="180"/>
    </row>
    <row r="113" spans="1:96" x14ac:dyDescent="0.2">
      <c r="A113" s="59"/>
      <c r="B113" s="66"/>
      <c r="C113" s="66"/>
      <c r="D113" s="66"/>
      <c r="E113" s="59"/>
      <c r="F113" s="59"/>
      <c r="G113" s="59"/>
      <c r="H113" s="59"/>
      <c r="I113" s="59"/>
      <c r="J113" s="59"/>
      <c r="K113" s="59"/>
      <c r="L113" s="68"/>
      <c r="M113" s="63"/>
      <c r="N113" s="59"/>
      <c r="O113" s="69"/>
      <c r="P113" s="70"/>
      <c r="Q113" s="70"/>
      <c r="R113" s="70"/>
      <c r="S113" s="70"/>
      <c r="T113" s="70"/>
      <c r="U113" s="70"/>
      <c r="V113" s="70"/>
      <c r="W113" s="70"/>
      <c r="X113" s="70"/>
      <c r="Y113" s="70"/>
      <c r="Z113" s="70"/>
      <c r="AA113" s="70"/>
      <c r="AB113" s="70"/>
      <c r="AC113" s="70"/>
      <c r="AD113" s="70"/>
      <c r="AE113" s="70"/>
      <c r="AF113" s="70"/>
      <c r="AG113" s="70"/>
      <c r="AH113" s="70"/>
      <c r="AI113" s="70"/>
      <c r="AJ113" s="70"/>
      <c r="AK113" s="70"/>
      <c r="AL113" s="70"/>
      <c r="AM113" s="70"/>
      <c r="AN113" s="70"/>
      <c r="AO113" s="70"/>
      <c r="AP113" s="70"/>
      <c r="AQ113" s="70"/>
      <c r="AR113" s="70"/>
      <c r="AS113" s="70"/>
      <c r="AT113" s="70"/>
      <c r="AU113" s="70"/>
      <c r="AV113" s="70"/>
      <c r="AW113" s="70"/>
      <c r="AX113" s="70"/>
      <c r="AY113" s="70"/>
      <c r="AZ113" s="70"/>
      <c r="BA113" s="70"/>
      <c r="BB113" s="70"/>
      <c r="BC113" s="70"/>
      <c r="BD113" s="70"/>
      <c r="BE113" s="70"/>
      <c r="BF113" s="70"/>
      <c r="BG113" s="70"/>
      <c r="BH113" s="70"/>
      <c r="BI113" s="70"/>
      <c r="BJ113" s="70"/>
      <c r="BK113" s="70"/>
      <c r="BL113" s="70"/>
      <c r="BM113" s="70"/>
      <c r="BN113" s="70"/>
      <c r="BO113" s="70"/>
      <c r="BP113" s="70"/>
      <c r="BQ113" s="70"/>
      <c r="BR113" s="70"/>
      <c r="BS113" s="70"/>
      <c r="BT113" s="70"/>
      <c r="BU113" s="70"/>
      <c r="BV113" s="70"/>
      <c r="BW113" s="70"/>
      <c r="BX113" s="70"/>
      <c r="BY113" s="70"/>
      <c r="BZ113" s="70"/>
      <c r="CA113" s="70"/>
      <c r="CB113" s="70"/>
      <c r="CC113" s="70"/>
      <c r="CD113" s="70"/>
      <c r="CE113" s="70"/>
      <c r="CF113" s="70"/>
      <c r="CG113" s="70"/>
      <c r="CH113" s="70"/>
      <c r="CI113" s="70"/>
      <c r="CJ113" s="70"/>
      <c r="CK113" s="70"/>
      <c r="CL113" s="70"/>
      <c r="CM113" s="70"/>
      <c r="CN113" s="70"/>
      <c r="CO113" s="70"/>
      <c r="CP113" s="70"/>
      <c r="CR113" s="180"/>
    </row>
    <row r="114" spans="1:96" x14ac:dyDescent="0.2">
      <c r="B114" s="66"/>
      <c r="C114" s="66"/>
      <c r="D114" s="66"/>
      <c r="E114" s="59"/>
      <c r="F114" s="59"/>
      <c r="G114" s="59"/>
      <c r="H114" s="59"/>
      <c r="I114" s="59"/>
      <c r="J114" s="59"/>
      <c r="K114" s="59"/>
      <c r="L114" s="68"/>
      <c r="M114" s="63"/>
      <c r="N114" s="59"/>
      <c r="O114" s="69"/>
      <c r="P114" s="70"/>
      <c r="Q114" s="70"/>
      <c r="R114" s="70"/>
      <c r="S114" s="70"/>
      <c r="T114" s="70"/>
      <c r="U114" s="70"/>
      <c r="V114" s="70"/>
      <c r="W114" s="70"/>
      <c r="X114" s="70"/>
      <c r="Y114" s="70"/>
      <c r="Z114" s="70"/>
      <c r="AA114" s="70"/>
      <c r="AB114" s="70"/>
      <c r="AC114" s="70"/>
      <c r="AD114" s="70"/>
      <c r="AE114" s="70"/>
      <c r="AF114" s="70"/>
      <c r="AG114" s="70"/>
      <c r="AH114" s="70"/>
      <c r="AI114" s="70"/>
      <c r="AJ114" s="70"/>
      <c r="AK114" s="70"/>
      <c r="AL114" s="70"/>
      <c r="AM114" s="70"/>
      <c r="AN114" s="70"/>
      <c r="AO114" s="70"/>
      <c r="AP114" s="70"/>
      <c r="AQ114" s="70"/>
      <c r="AR114" s="70"/>
      <c r="AS114" s="70"/>
      <c r="AT114" s="70"/>
      <c r="AU114" s="70"/>
      <c r="AV114" s="70"/>
      <c r="AW114" s="70"/>
      <c r="AX114" s="70"/>
      <c r="AY114" s="70"/>
      <c r="AZ114" s="70"/>
      <c r="BA114" s="70"/>
      <c r="BB114" s="70"/>
      <c r="BC114" s="70"/>
      <c r="BD114" s="70"/>
      <c r="BE114" s="70"/>
      <c r="BF114" s="70"/>
      <c r="BG114" s="70"/>
      <c r="BH114" s="70"/>
      <c r="BI114" s="70"/>
      <c r="BJ114" s="70"/>
      <c r="BK114" s="70"/>
      <c r="BL114" s="70"/>
      <c r="BM114" s="70"/>
      <c r="BN114" s="70"/>
      <c r="BO114" s="70"/>
      <c r="BP114" s="70"/>
      <c r="BQ114" s="70"/>
      <c r="BR114" s="70"/>
      <c r="BS114" s="70"/>
      <c r="BT114" s="70"/>
      <c r="BU114" s="70"/>
      <c r="BV114" s="70"/>
      <c r="BW114" s="70"/>
      <c r="BX114" s="70"/>
      <c r="BY114" s="70"/>
      <c r="BZ114" s="70"/>
      <c r="CA114" s="70"/>
      <c r="CB114" s="70"/>
      <c r="CC114" s="70"/>
      <c r="CD114" s="70"/>
      <c r="CE114" s="70"/>
      <c r="CF114" s="70"/>
      <c r="CG114" s="70"/>
      <c r="CH114" s="70"/>
      <c r="CI114" s="70"/>
      <c r="CJ114" s="70"/>
      <c r="CK114" s="70"/>
      <c r="CL114" s="70"/>
      <c r="CM114" s="70"/>
      <c r="CN114" s="70"/>
      <c r="CO114" s="70"/>
      <c r="CP114" s="70"/>
      <c r="CR114" s="180"/>
    </row>
    <row r="115" spans="1:96" x14ac:dyDescent="0.2">
      <c r="A115" s="59"/>
      <c r="B115" s="66"/>
      <c r="C115" s="66"/>
      <c r="D115" s="66"/>
      <c r="E115" s="59"/>
      <c r="F115" s="59"/>
      <c r="G115" s="59"/>
      <c r="H115" s="59"/>
      <c r="I115" s="59"/>
      <c r="J115" s="59"/>
      <c r="K115" s="59"/>
      <c r="L115" s="68"/>
      <c r="M115" s="63"/>
      <c r="N115" s="59"/>
      <c r="O115" s="69"/>
      <c r="P115" s="70"/>
      <c r="Q115" s="70"/>
      <c r="R115" s="70"/>
      <c r="S115" s="70"/>
      <c r="T115" s="70"/>
      <c r="U115" s="70"/>
      <c r="V115" s="70"/>
      <c r="W115" s="70"/>
      <c r="X115" s="70"/>
      <c r="Y115" s="70"/>
      <c r="Z115" s="70"/>
      <c r="AA115" s="70"/>
      <c r="AB115" s="70"/>
      <c r="AC115" s="70"/>
      <c r="AD115" s="70"/>
      <c r="AE115" s="70"/>
      <c r="AF115" s="70"/>
      <c r="AG115" s="70"/>
      <c r="AH115" s="70"/>
      <c r="AI115" s="70"/>
      <c r="AJ115" s="70"/>
      <c r="AK115" s="70"/>
      <c r="AL115" s="70"/>
      <c r="AM115" s="70"/>
      <c r="AN115" s="70"/>
      <c r="AO115" s="70"/>
      <c r="AP115" s="70"/>
      <c r="AQ115" s="70"/>
      <c r="AR115" s="70"/>
      <c r="AS115" s="70"/>
      <c r="AT115" s="70"/>
      <c r="AU115" s="70"/>
      <c r="AV115" s="70"/>
      <c r="AW115" s="70"/>
      <c r="AX115" s="70"/>
      <c r="AY115" s="70"/>
      <c r="AZ115" s="70"/>
      <c r="BA115" s="70"/>
      <c r="BB115" s="70"/>
      <c r="BC115" s="70"/>
      <c r="BD115" s="70"/>
      <c r="BE115" s="70"/>
      <c r="BF115" s="70"/>
      <c r="BG115" s="70"/>
      <c r="BH115" s="70"/>
      <c r="BI115" s="70"/>
      <c r="BJ115" s="70"/>
      <c r="BK115" s="70"/>
      <c r="BL115" s="70"/>
      <c r="BM115" s="70"/>
      <c r="BN115" s="70"/>
      <c r="BO115" s="70"/>
      <c r="BP115" s="70"/>
      <c r="BQ115" s="70"/>
      <c r="BR115" s="70"/>
      <c r="BS115" s="70"/>
      <c r="BT115" s="70"/>
      <c r="BU115" s="70"/>
      <c r="BV115" s="70"/>
      <c r="BW115" s="70"/>
      <c r="BX115" s="70"/>
      <c r="BY115" s="70"/>
      <c r="BZ115" s="70"/>
      <c r="CA115" s="70"/>
      <c r="CB115" s="70"/>
      <c r="CC115" s="70"/>
      <c r="CD115" s="70"/>
      <c r="CE115" s="70"/>
      <c r="CF115" s="70"/>
      <c r="CG115" s="70"/>
      <c r="CH115" s="70"/>
      <c r="CI115" s="70"/>
      <c r="CJ115" s="70"/>
      <c r="CK115" s="70"/>
      <c r="CL115" s="70"/>
      <c r="CM115" s="70"/>
      <c r="CN115" s="70"/>
      <c r="CO115" s="70"/>
      <c r="CP115" s="70"/>
      <c r="CR115" s="180"/>
    </row>
    <row r="116" spans="1:96" x14ac:dyDescent="0.2">
      <c r="B116" s="66"/>
      <c r="C116" s="66"/>
      <c r="D116" s="66"/>
      <c r="E116" s="59"/>
      <c r="F116" s="59"/>
      <c r="G116" s="59"/>
      <c r="H116" s="59"/>
      <c r="I116" s="59"/>
      <c r="J116" s="59"/>
      <c r="K116" s="59"/>
      <c r="L116" s="68"/>
      <c r="M116" s="63"/>
      <c r="N116" s="59"/>
      <c r="O116" s="69"/>
      <c r="P116" s="70"/>
      <c r="Q116" s="70"/>
      <c r="R116" s="70"/>
      <c r="S116" s="70"/>
      <c r="T116" s="70"/>
      <c r="U116" s="70"/>
      <c r="V116" s="70"/>
      <c r="W116" s="70"/>
      <c r="X116" s="70"/>
      <c r="Y116" s="70"/>
      <c r="Z116" s="70"/>
      <c r="AA116" s="70"/>
      <c r="AB116" s="70"/>
      <c r="AC116" s="70"/>
      <c r="AD116" s="70"/>
      <c r="AE116" s="70"/>
      <c r="AF116" s="70"/>
      <c r="AG116" s="70"/>
      <c r="AH116" s="70"/>
      <c r="AI116" s="70"/>
      <c r="AJ116" s="70"/>
      <c r="AK116" s="70"/>
      <c r="AL116" s="70"/>
      <c r="AM116" s="70"/>
      <c r="AN116" s="70"/>
      <c r="AO116" s="70"/>
      <c r="AP116" s="70"/>
      <c r="AQ116" s="70"/>
      <c r="AR116" s="70"/>
      <c r="AS116" s="70"/>
      <c r="AT116" s="70"/>
      <c r="AU116" s="70"/>
      <c r="AV116" s="70"/>
      <c r="AW116" s="70"/>
      <c r="AX116" s="70"/>
      <c r="AY116" s="70"/>
      <c r="AZ116" s="70"/>
      <c r="BA116" s="70"/>
      <c r="BB116" s="70"/>
      <c r="BC116" s="70"/>
      <c r="BD116" s="70"/>
      <c r="BE116" s="70"/>
      <c r="BF116" s="70"/>
      <c r="BG116" s="70"/>
      <c r="BH116" s="70"/>
      <c r="BI116" s="70"/>
      <c r="BJ116" s="70"/>
      <c r="BK116" s="70"/>
      <c r="BL116" s="70"/>
      <c r="BM116" s="70"/>
      <c r="BN116" s="70"/>
      <c r="BO116" s="70"/>
      <c r="BP116" s="70"/>
      <c r="BQ116" s="70"/>
      <c r="BR116" s="70"/>
      <c r="BS116" s="70"/>
      <c r="BT116" s="70"/>
      <c r="BU116" s="70"/>
      <c r="BV116" s="70"/>
      <c r="BW116" s="70"/>
      <c r="BX116" s="70"/>
      <c r="BY116" s="70"/>
      <c r="BZ116" s="70"/>
      <c r="CA116" s="70"/>
      <c r="CB116" s="70"/>
      <c r="CC116" s="70"/>
      <c r="CD116" s="70"/>
      <c r="CE116" s="70"/>
      <c r="CF116" s="70"/>
      <c r="CG116" s="70"/>
      <c r="CH116" s="70"/>
      <c r="CI116" s="70"/>
      <c r="CJ116" s="70"/>
      <c r="CK116" s="70"/>
      <c r="CL116" s="70"/>
      <c r="CM116" s="70"/>
      <c r="CN116" s="70"/>
      <c r="CO116" s="70"/>
      <c r="CP116" s="70"/>
      <c r="CR116" s="180"/>
    </row>
    <row r="117" spans="1:96" x14ac:dyDescent="0.2">
      <c r="A117" s="59"/>
      <c r="B117" s="66"/>
      <c r="C117" s="66"/>
      <c r="D117" s="66"/>
      <c r="E117" s="59"/>
      <c r="F117" s="59"/>
      <c r="G117" s="59"/>
      <c r="H117" s="59"/>
      <c r="I117" s="59"/>
      <c r="J117" s="59"/>
      <c r="K117" s="59"/>
      <c r="L117" s="68"/>
      <c r="M117" s="63"/>
      <c r="N117" s="59"/>
      <c r="O117" s="69"/>
      <c r="P117" s="70"/>
      <c r="Q117" s="70"/>
      <c r="R117" s="70"/>
      <c r="S117" s="70"/>
      <c r="T117" s="70"/>
      <c r="U117" s="70"/>
      <c r="V117" s="70"/>
      <c r="W117" s="70"/>
      <c r="X117" s="70"/>
      <c r="Y117" s="70"/>
      <c r="Z117" s="70"/>
      <c r="AA117" s="70"/>
      <c r="AB117" s="70"/>
      <c r="AC117" s="70"/>
      <c r="AD117" s="70"/>
      <c r="AE117" s="70"/>
      <c r="AF117" s="70"/>
      <c r="AG117" s="70"/>
      <c r="AH117" s="70"/>
      <c r="AI117" s="70"/>
      <c r="AJ117" s="70"/>
      <c r="AK117" s="70"/>
      <c r="AL117" s="70"/>
      <c r="AM117" s="70"/>
      <c r="AN117" s="70"/>
      <c r="AO117" s="70"/>
      <c r="AP117" s="70"/>
      <c r="AQ117" s="70"/>
      <c r="AR117" s="70"/>
      <c r="AS117" s="70"/>
      <c r="AT117" s="70"/>
      <c r="AU117" s="70"/>
      <c r="AV117" s="70"/>
      <c r="AW117" s="70"/>
      <c r="AX117" s="70"/>
      <c r="AY117" s="70"/>
      <c r="AZ117" s="70"/>
      <c r="BA117" s="70"/>
      <c r="BB117" s="70"/>
      <c r="BC117" s="70"/>
      <c r="BD117" s="70"/>
      <c r="BE117" s="70"/>
      <c r="BF117" s="70"/>
      <c r="BG117" s="70"/>
      <c r="BH117" s="70"/>
      <c r="BI117" s="70"/>
      <c r="BJ117" s="70"/>
      <c r="BK117" s="70"/>
      <c r="BL117" s="70"/>
      <c r="BM117" s="70"/>
      <c r="BN117" s="70"/>
      <c r="BO117" s="70"/>
      <c r="BP117" s="70"/>
      <c r="BQ117" s="70"/>
      <c r="BR117" s="70"/>
      <c r="BS117" s="70"/>
      <c r="BT117" s="70"/>
      <c r="BU117" s="70"/>
      <c r="BV117" s="70"/>
      <c r="BW117" s="70"/>
      <c r="BX117" s="70"/>
      <c r="BY117" s="70"/>
      <c r="BZ117" s="70"/>
      <c r="CA117" s="70"/>
      <c r="CB117" s="70"/>
      <c r="CC117" s="70"/>
      <c r="CD117" s="70"/>
      <c r="CE117" s="70"/>
      <c r="CF117" s="70"/>
      <c r="CG117" s="70"/>
      <c r="CH117" s="70"/>
      <c r="CI117" s="70"/>
      <c r="CJ117" s="70"/>
      <c r="CK117" s="70"/>
      <c r="CL117" s="70"/>
      <c r="CM117" s="70"/>
      <c r="CN117" s="70"/>
      <c r="CO117" s="70"/>
      <c r="CP117" s="70"/>
      <c r="CR117" s="180"/>
    </row>
    <row r="118" spans="1:96" x14ac:dyDescent="0.2">
      <c r="B118" s="66"/>
      <c r="C118" s="66"/>
      <c r="D118" s="66"/>
      <c r="E118" s="59"/>
      <c r="F118" s="59"/>
      <c r="G118" s="59"/>
      <c r="H118" s="59"/>
      <c r="I118" s="59"/>
      <c r="J118" s="59"/>
      <c r="K118" s="59"/>
      <c r="L118" s="68"/>
      <c r="M118" s="63"/>
      <c r="N118" s="59"/>
      <c r="O118" s="69"/>
      <c r="P118" s="70"/>
      <c r="Q118" s="70"/>
      <c r="R118" s="70"/>
      <c r="S118" s="70"/>
      <c r="T118" s="70"/>
      <c r="U118" s="70"/>
      <c r="V118" s="70"/>
      <c r="W118" s="70"/>
      <c r="X118" s="70"/>
      <c r="Y118" s="70"/>
      <c r="Z118" s="70"/>
      <c r="AA118" s="70"/>
      <c r="AB118" s="70"/>
      <c r="AC118" s="70"/>
      <c r="AD118" s="70"/>
      <c r="AE118" s="70"/>
      <c r="AF118" s="70"/>
      <c r="AG118" s="70"/>
      <c r="AH118" s="70"/>
      <c r="AI118" s="70"/>
      <c r="AJ118" s="70"/>
      <c r="AK118" s="70"/>
      <c r="AL118" s="70"/>
      <c r="AM118" s="70"/>
      <c r="AN118" s="70"/>
      <c r="AO118" s="70"/>
      <c r="AP118" s="70"/>
      <c r="AQ118" s="70"/>
      <c r="AR118" s="70"/>
      <c r="AS118" s="70"/>
      <c r="AT118" s="70"/>
      <c r="AU118" s="70"/>
      <c r="AV118" s="70"/>
      <c r="AW118" s="70"/>
      <c r="AX118" s="70"/>
      <c r="AY118" s="70"/>
      <c r="AZ118" s="70"/>
      <c r="BA118" s="70"/>
      <c r="BB118" s="70"/>
      <c r="BC118" s="70"/>
      <c r="BD118" s="70"/>
      <c r="BE118" s="70"/>
      <c r="BF118" s="70"/>
      <c r="BG118" s="70"/>
      <c r="BH118" s="70"/>
      <c r="BI118" s="70"/>
      <c r="BJ118" s="70"/>
      <c r="BK118" s="70"/>
      <c r="BL118" s="70"/>
      <c r="BM118" s="70"/>
      <c r="BN118" s="70"/>
      <c r="BO118" s="70"/>
      <c r="BP118" s="70"/>
      <c r="BQ118" s="70"/>
      <c r="BR118" s="70"/>
      <c r="BS118" s="70"/>
      <c r="BT118" s="70"/>
      <c r="BU118" s="70"/>
      <c r="BV118" s="70"/>
      <c r="BW118" s="70"/>
      <c r="BX118" s="70"/>
      <c r="BY118" s="70"/>
      <c r="BZ118" s="70"/>
      <c r="CA118" s="70"/>
      <c r="CB118" s="70"/>
      <c r="CC118" s="70"/>
      <c r="CD118" s="70"/>
      <c r="CE118" s="70"/>
      <c r="CF118" s="70"/>
      <c r="CG118" s="70"/>
      <c r="CH118" s="70"/>
      <c r="CI118" s="70"/>
      <c r="CJ118" s="70"/>
      <c r="CK118" s="70"/>
      <c r="CL118" s="70"/>
      <c r="CM118" s="70"/>
      <c r="CN118" s="70"/>
      <c r="CO118" s="70"/>
      <c r="CP118" s="70"/>
      <c r="CR118" s="180"/>
    </row>
    <row r="119" spans="1:96" x14ac:dyDescent="0.2">
      <c r="A119" s="59"/>
      <c r="B119" s="66"/>
      <c r="C119" s="66"/>
      <c r="D119" s="66"/>
      <c r="E119" s="59"/>
      <c r="F119" s="59"/>
      <c r="G119" s="59"/>
      <c r="H119" s="59"/>
      <c r="I119" s="59"/>
      <c r="J119" s="59"/>
      <c r="K119" s="59"/>
      <c r="L119" s="68"/>
      <c r="M119" s="63"/>
      <c r="N119" s="59"/>
      <c r="O119" s="69"/>
      <c r="P119" s="70"/>
      <c r="Q119" s="70"/>
      <c r="R119" s="70"/>
      <c r="S119" s="70"/>
      <c r="T119" s="70"/>
      <c r="U119" s="70"/>
      <c r="V119" s="70"/>
      <c r="W119" s="70"/>
      <c r="X119" s="70"/>
      <c r="Y119" s="70"/>
      <c r="Z119" s="70"/>
      <c r="AA119" s="70"/>
      <c r="AB119" s="70"/>
      <c r="AC119" s="70"/>
      <c r="AD119" s="70"/>
      <c r="AE119" s="70"/>
      <c r="AF119" s="70"/>
      <c r="AG119" s="70"/>
      <c r="AH119" s="70"/>
      <c r="AI119" s="70"/>
      <c r="AJ119" s="70"/>
      <c r="AK119" s="70"/>
      <c r="AL119" s="70"/>
      <c r="AM119" s="70"/>
      <c r="AN119" s="70"/>
      <c r="AO119" s="70"/>
      <c r="AP119" s="70"/>
      <c r="AQ119" s="70"/>
      <c r="AR119" s="70"/>
      <c r="AS119" s="70"/>
      <c r="AT119" s="70"/>
      <c r="AU119" s="70"/>
      <c r="AV119" s="70"/>
      <c r="AW119" s="70"/>
      <c r="AX119" s="70"/>
      <c r="AY119" s="70"/>
      <c r="AZ119" s="70"/>
      <c r="BA119" s="70"/>
      <c r="BB119" s="70"/>
      <c r="BC119" s="70"/>
      <c r="BD119" s="70"/>
      <c r="BE119" s="70"/>
      <c r="BF119" s="70"/>
      <c r="BG119" s="70"/>
      <c r="BH119" s="70"/>
      <c r="BI119" s="70"/>
      <c r="BJ119" s="70"/>
      <c r="BK119" s="70"/>
      <c r="BL119" s="70"/>
      <c r="BM119" s="70"/>
      <c r="BN119" s="70"/>
      <c r="BO119" s="70"/>
      <c r="BP119" s="70"/>
      <c r="BQ119" s="70"/>
      <c r="BR119" s="70"/>
      <c r="BS119" s="70"/>
      <c r="BT119" s="70"/>
      <c r="BU119" s="70"/>
      <c r="BV119" s="70"/>
      <c r="BW119" s="70"/>
      <c r="BX119" s="70"/>
      <c r="BY119" s="70"/>
      <c r="BZ119" s="70"/>
      <c r="CA119" s="70"/>
      <c r="CB119" s="70"/>
      <c r="CC119" s="70"/>
      <c r="CD119" s="70"/>
      <c r="CE119" s="70"/>
      <c r="CF119" s="70"/>
      <c r="CG119" s="70"/>
      <c r="CH119" s="70"/>
      <c r="CI119" s="70"/>
      <c r="CJ119" s="70"/>
      <c r="CK119" s="70"/>
      <c r="CL119" s="70"/>
      <c r="CM119" s="70"/>
      <c r="CN119" s="70"/>
      <c r="CO119" s="70"/>
      <c r="CP119" s="70"/>
      <c r="CR119" s="180"/>
    </row>
    <row r="120" spans="1:96" x14ac:dyDescent="0.2">
      <c r="B120" s="66"/>
      <c r="C120" s="66"/>
      <c r="D120" s="66"/>
      <c r="E120" s="59"/>
      <c r="F120" s="59"/>
      <c r="G120" s="59"/>
      <c r="H120" s="59"/>
      <c r="I120" s="59"/>
      <c r="J120" s="59"/>
      <c r="K120" s="59"/>
      <c r="L120" s="68"/>
      <c r="M120" s="63"/>
      <c r="N120" s="59"/>
      <c r="O120" s="69"/>
      <c r="P120" s="70"/>
      <c r="Q120" s="70"/>
      <c r="R120" s="70"/>
      <c r="S120" s="70"/>
      <c r="T120" s="70"/>
      <c r="U120" s="70"/>
      <c r="V120" s="70"/>
      <c r="W120" s="70"/>
      <c r="X120" s="70"/>
      <c r="Y120" s="70"/>
      <c r="Z120" s="70"/>
      <c r="AA120" s="70"/>
      <c r="AB120" s="70"/>
      <c r="AC120" s="70"/>
      <c r="AD120" s="70"/>
      <c r="AE120" s="70"/>
      <c r="AF120" s="70"/>
      <c r="AG120" s="70"/>
      <c r="AH120" s="70"/>
      <c r="AI120" s="70"/>
      <c r="AJ120" s="70"/>
      <c r="AK120" s="70"/>
      <c r="AL120" s="70"/>
      <c r="AM120" s="70"/>
      <c r="AN120" s="70"/>
      <c r="AO120" s="70"/>
      <c r="AP120" s="70"/>
      <c r="AQ120" s="70"/>
      <c r="AR120" s="70"/>
      <c r="AS120" s="70"/>
      <c r="AT120" s="70"/>
      <c r="AU120" s="70"/>
      <c r="AV120" s="70"/>
      <c r="AW120" s="70"/>
      <c r="AX120" s="70"/>
      <c r="AY120" s="70"/>
      <c r="AZ120" s="70"/>
      <c r="BA120" s="70"/>
      <c r="BB120" s="70"/>
      <c r="BC120" s="70"/>
      <c r="BD120" s="70"/>
      <c r="BE120" s="70"/>
      <c r="BF120" s="70"/>
      <c r="BG120" s="70"/>
      <c r="BH120" s="70"/>
      <c r="BI120" s="70"/>
      <c r="BJ120" s="70"/>
      <c r="BK120" s="70"/>
      <c r="BL120" s="70"/>
      <c r="BM120" s="70"/>
      <c r="BN120" s="70"/>
      <c r="BO120" s="70"/>
      <c r="BP120" s="70"/>
      <c r="BQ120" s="70"/>
      <c r="BR120" s="70"/>
      <c r="BS120" s="70"/>
      <c r="BT120" s="70"/>
      <c r="BU120" s="70"/>
      <c r="BV120" s="70"/>
      <c r="BW120" s="70"/>
      <c r="BX120" s="70"/>
      <c r="BY120" s="70"/>
      <c r="BZ120" s="70"/>
      <c r="CA120" s="70"/>
      <c r="CB120" s="70"/>
      <c r="CC120" s="70"/>
      <c r="CD120" s="70"/>
      <c r="CE120" s="70"/>
      <c r="CF120" s="70"/>
      <c r="CG120" s="70"/>
      <c r="CH120" s="70"/>
      <c r="CI120" s="70"/>
      <c r="CJ120" s="70"/>
      <c r="CK120" s="70"/>
      <c r="CL120" s="70"/>
      <c r="CM120" s="70"/>
      <c r="CN120" s="70"/>
      <c r="CO120" s="70"/>
      <c r="CP120" s="70"/>
      <c r="CR120" s="180"/>
    </row>
    <row r="121" spans="1:96" x14ac:dyDescent="0.2">
      <c r="A121" s="59"/>
      <c r="B121" s="66"/>
      <c r="C121" s="66"/>
      <c r="D121" s="66"/>
      <c r="E121" s="59"/>
      <c r="F121" s="59"/>
      <c r="G121" s="59"/>
      <c r="H121" s="59"/>
      <c r="I121" s="59"/>
      <c r="J121" s="59"/>
      <c r="K121" s="59"/>
      <c r="L121" s="68"/>
      <c r="M121" s="63"/>
      <c r="N121" s="59"/>
      <c r="O121" s="69"/>
      <c r="P121" s="70"/>
      <c r="Q121" s="70"/>
      <c r="R121" s="70"/>
      <c r="S121" s="70"/>
      <c r="T121" s="70"/>
      <c r="U121" s="70"/>
      <c r="V121" s="70"/>
      <c r="W121" s="70"/>
      <c r="X121" s="70"/>
      <c r="Y121" s="70"/>
      <c r="Z121" s="70"/>
      <c r="AA121" s="70"/>
      <c r="AB121" s="70"/>
      <c r="AC121" s="70"/>
      <c r="AD121" s="70"/>
      <c r="AE121" s="70"/>
      <c r="AF121" s="70"/>
      <c r="AG121" s="70"/>
      <c r="AH121" s="70"/>
      <c r="AI121" s="70"/>
      <c r="AJ121" s="70"/>
      <c r="AK121" s="70"/>
      <c r="AL121" s="70"/>
      <c r="AM121" s="70"/>
      <c r="AN121" s="70"/>
      <c r="AO121" s="70"/>
      <c r="AP121" s="70"/>
      <c r="AQ121" s="70"/>
      <c r="AR121" s="70"/>
      <c r="AS121" s="70"/>
      <c r="AT121" s="70"/>
      <c r="AU121" s="70"/>
      <c r="AV121" s="70"/>
      <c r="AW121" s="70"/>
      <c r="AX121" s="70"/>
      <c r="AY121" s="70"/>
      <c r="AZ121" s="70"/>
      <c r="BA121" s="70"/>
      <c r="BB121" s="70"/>
      <c r="BC121" s="70"/>
      <c r="BD121" s="70"/>
      <c r="BE121" s="70"/>
      <c r="BF121" s="70"/>
      <c r="BG121" s="70"/>
      <c r="BH121" s="70"/>
      <c r="BI121" s="70"/>
      <c r="BJ121" s="70"/>
      <c r="BK121" s="70"/>
      <c r="BL121" s="70"/>
      <c r="BM121" s="70"/>
      <c r="BN121" s="70"/>
      <c r="BO121" s="70"/>
      <c r="BP121" s="70"/>
      <c r="BQ121" s="70"/>
      <c r="BR121" s="70"/>
      <c r="BS121" s="70"/>
      <c r="BT121" s="70"/>
      <c r="BU121" s="70"/>
      <c r="BV121" s="70"/>
      <c r="BW121" s="70"/>
      <c r="BX121" s="70"/>
      <c r="BY121" s="70"/>
      <c r="BZ121" s="70"/>
      <c r="CA121" s="70"/>
      <c r="CB121" s="70"/>
      <c r="CC121" s="70"/>
      <c r="CD121" s="70"/>
      <c r="CE121" s="70"/>
      <c r="CF121" s="70"/>
      <c r="CG121" s="70"/>
      <c r="CH121" s="70"/>
      <c r="CI121" s="70"/>
      <c r="CJ121" s="70"/>
      <c r="CK121" s="70"/>
      <c r="CL121" s="70"/>
      <c r="CM121" s="70"/>
      <c r="CN121" s="70"/>
      <c r="CO121" s="70"/>
      <c r="CP121" s="70"/>
      <c r="CR121" s="180"/>
    </row>
    <row r="122" spans="1:96" x14ac:dyDescent="0.2">
      <c r="B122" s="66"/>
      <c r="C122" s="66"/>
      <c r="D122" s="66"/>
      <c r="E122" s="59"/>
      <c r="F122" s="59"/>
      <c r="G122" s="59"/>
      <c r="H122" s="59"/>
      <c r="I122" s="59"/>
      <c r="J122" s="59"/>
      <c r="K122" s="59"/>
      <c r="L122" s="68"/>
      <c r="M122" s="63"/>
      <c r="N122" s="59"/>
      <c r="O122" s="69"/>
      <c r="P122" s="70"/>
      <c r="Q122" s="70"/>
      <c r="R122" s="70"/>
      <c r="S122" s="70"/>
      <c r="T122" s="70"/>
      <c r="U122" s="70"/>
      <c r="V122" s="70"/>
      <c r="W122" s="70"/>
      <c r="X122" s="70"/>
      <c r="Y122" s="70"/>
      <c r="Z122" s="70"/>
      <c r="AA122" s="70"/>
      <c r="AB122" s="70"/>
      <c r="AC122" s="70"/>
      <c r="AD122" s="70"/>
      <c r="AE122" s="70"/>
      <c r="AF122" s="70"/>
      <c r="AG122" s="70"/>
      <c r="AH122" s="70"/>
      <c r="AI122" s="70"/>
      <c r="AJ122" s="70"/>
      <c r="AK122" s="70"/>
      <c r="AL122" s="70"/>
      <c r="AM122" s="70"/>
      <c r="AN122" s="70"/>
      <c r="AO122" s="70"/>
      <c r="AP122" s="70"/>
      <c r="AQ122" s="70"/>
      <c r="AR122" s="70"/>
      <c r="AS122" s="70"/>
      <c r="AT122" s="70"/>
      <c r="AU122" s="70"/>
      <c r="AV122" s="70"/>
      <c r="AW122" s="70"/>
      <c r="AX122" s="70"/>
      <c r="AY122" s="70"/>
      <c r="AZ122" s="70"/>
      <c r="BA122" s="70"/>
      <c r="BB122" s="70"/>
      <c r="BC122" s="70"/>
      <c r="BD122" s="70"/>
      <c r="BE122" s="70"/>
      <c r="BF122" s="70"/>
      <c r="BG122" s="70"/>
      <c r="BH122" s="70"/>
      <c r="BI122" s="70"/>
      <c r="BJ122" s="70"/>
      <c r="BK122" s="70"/>
      <c r="BL122" s="70"/>
      <c r="BM122" s="70"/>
      <c r="BN122" s="70"/>
      <c r="BO122" s="70"/>
      <c r="BP122" s="70"/>
      <c r="BQ122" s="70"/>
      <c r="BR122" s="70"/>
      <c r="BS122" s="70"/>
      <c r="BT122" s="70"/>
      <c r="BU122" s="70"/>
      <c r="BV122" s="70"/>
      <c r="BW122" s="70"/>
      <c r="BX122" s="70"/>
      <c r="BY122" s="70"/>
      <c r="BZ122" s="70"/>
      <c r="CA122" s="70"/>
      <c r="CB122" s="70"/>
      <c r="CC122" s="70"/>
      <c r="CD122" s="70"/>
      <c r="CE122" s="70"/>
      <c r="CF122" s="70"/>
      <c r="CG122" s="70"/>
      <c r="CH122" s="70"/>
      <c r="CI122" s="70"/>
      <c r="CJ122" s="70"/>
      <c r="CK122" s="70"/>
      <c r="CL122" s="70"/>
      <c r="CM122" s="70"/>
      <c r="CN122" s="70"/>
      <c r="CO122" s="70"/>
      <c r="CP122" s="70"/>
      <c r="CR122" s="180"/>
    </row>
    <row r="123" spans="1:96" x14ac:dyDescent="0.2">
      <c r="A123" s="59"/>
      <c r="B123" s="66"/>
      <c r="C123" s="66"/>
      <c r="D123" s="66"/>
      <c r="E123" s="59"/>
      <c r="F123" s="59"/>
      <c r="G123" s="59"/>
      <c r="H123" s="59"/>
      <c r="I123" s="59"/>
      <c r="J123" s="59"/>
      <c r="K123" s="59"/>
      <c r="L123" s="68"/>
      <c r="M123" s="63"/>
      <c r="N123" s="59"/>
      <c r="O123" s="69"/>
      <c r="P123" s="70"/>
      <c r="Q123" s="70"/>
      <c r="R123" s="70"/>
      <c r="S123" s="70"/>
      <c r="T123" s="70"/>
      <c r="U123" s="70"/>
      <c r="V123" s="70"/>
      <c r="W123" s="70"/>
      <c r="X123" s="70"/>
      <c r="Y123" s="70"/>
      <c r="Z123" s="70"/>
      <c r="AA123" s="70"/>
      <c r="AB123" s="70"/>
      <c r="AC123" s="70"/>
      <c r="AD123" s="70"/>
      <c r="AE123" s="70"/>
      <c r="AF123" s="70"/>
      <c r="AG123" s="70"/>
      <c r="AH123" s="70"/>
      <c r="AI123" s="70"/>
      <c r="AJ123" s="70"/>
      <c r="AK123" s="70"/>
      <c r="AL123" s="70"/>
      <c r="AM123" s="70"/>
      <c r="AN123" s="70"/>
      <c r="AO123" s="70"/>
      <c r="AP123" s="70"/>
      <c r="AQ123" s="70"/>
      <c r="AR123" s="70"/>
      <c r="AS123" s="70"/>
      <c r="AT123" s="70"/>
      <c r="AU123" s="70"/>
      <c r="AV123" s="70"/>
      <c r="AW123" s="70"/>
      <c r="AX123" s="70"/>
      <c r="AY123" s="70"/>
      <c r="AZ123" s="70"/>
      <c r="BA123" s="70"/>
      <c r="BB123" s="70"/>
      <c r="BC123" s="70"/>
      <c r="BD123" s="70"/>
      <c r="BE123" s="70"/>
      <c r="BF123" s="70"/>
      <c r="BG123" s="70"/>
      <c r="BH123" s="70"/>
      <c r="BI123" s="70"/>
      <c r="BJ123" s="70"/>
      <c r="BK123" s="70"/>
      <c r="BL123" s="70"/>
      <c r="BM123" s="70"/>
      <c r="BN123" s="70"/>
      <c r="BO123" s="70"/>
      <c r="BP123" s="70"/>
      <c r="BQ123" s="70"/>
      <c r="BR123" s="70"/>
      <c r="BS123" s="70"/>
      <c r="BT123" s="70"/>
      <c r="BU123" s="70"/>
      <c r="BV123" s="70"/>
      <c r="BW123" s="70"/>
      <c r="BX123" s="70"/>
      <c r="BY123" s="70"/>
      <c r="BZ123" s="70"/>
      <c r="CA123" s="70"/>
      <c r="CB123" s="70"/>
      <c r="CC123" s="70"/>
      <c r="CD123" s="70"/>
      <c r="CE123" s="70"/>
      <c r="CF123" s="70"/>
      <c r="CG123" s="70"/>
      <c r="CH123" s="70"/>
      <c r="CI123" s="70"/>
      <c r="CJ123" s="70"/>
      <c r="CK123" s="70"/>
      <c r="CL123" s="70"/>
      <c r="CM123" s="70"/>
      <c r="CN123" s="70"/>
      <c r="CO123" s="70"/>
      <c r="CP123" s="70"/>
      <c r="CR123" s="180"/>
    </row>
    <row r="124" spans="1:96" x14ac:dyDescent="0.2">
      <c r="B124" s="66"/>
      <c r="C124" s="66"/>
      <c r="D124" s="66"/>
      <c r="E124" s="59"/>
      <c r="F124" s="59"/>
      <c r="G124" s="59"/>
      <c r="H124" s="59"/>
      <c r="I124" s="59"/>
      <c r="J124" s="59"/>
      <c r="K124" s="59"/>
      <c r="L124" s="68"/>
      <c r="M124" s="63"/>
      <c r="N124" s="59"/>
      <c r="O124" s="69"/>
      <c r="P124" s="70"/>
      <c r="Q124" s="70"/>
      <c r="R124" s="70"/>
      <c r="S124" s="70"/>
      <c r="T124" s="70"/>
      <c r="U124" s="70"/>
      <c r="V124" s="70"/>
      <c r="W124" s="70"/>
      <c r="X124" s="70"/>
      <c r="Y124" s="70"/>
      <c r="Z124" s="70"/>
      <c r="AA124" s="70"/>
      <c r="AB124" s="70"/>
      <c r="AC124" s="70"/>
      <c r="AD124" s="70"/>
      <c r="AE124" s="70"/>
      <c r="AF124" s="70"/>
      <c r="AG124" s="70"/>
      <c r="AH124" s="70"/>
      <c r="AI124" s="70"/>
      <c r="AJ124" s="70"/>
      <c r="AK124" s="70"/>
      <c r="AL124" s="70"/>
      <c r="AM124" s="70"/>
      <c r="AN124" s="70"/>
      <c r="AO124" s="70"/>
      <c r="AP124" s="70"/>
      <c r="AQ124" s="70"/>
      <c r="AR124" s="70"/>
      <c r="AS124" s="70"/>
      <c r="AT124" s="70"/>
      <c r="AU124" s="70"/>
      <c r="AV124" s="70"/>
      <c r="AW124" s="70"/>
      <c r="AX124" s="70"/>
      <c r="AY124" s="70"/>
      <c r="AZ124" s="70"/>
      <c r="BA124" s="70"/>
      <c r="BB124" s="70"/>
      <c r="BC124" s="70"/>
      <c r="BD124" s="70"/>
      <c r="BE124" s="70"/>
      <c r="BF124" s="70"/>
      <c r="BG124" s="70"/>
      <c r="BH124" s="70"/>
      <c r="BI124" s="70"/>
      <c r="BJ124" s="70"/>
      <c r="BK124" s="70"/>
      <c r="BL124" s="70"/>
      <c r="BM124" s="70"/>
      <c r="BN124" s="70"/>
      <c r="BO124" s="70"/>
      <c r="BP124" s="70"/>
      <c r="BQ124" s="70"/>
      <c r="BR124" s="70"/>
      <c r="BS124" s="70"/>
      <c r="BT124" s="70"/>
      <c r="BU124" s="70"/>
      <c r="BV124" s="70"/>
      <c r="BW124" s="70"/>
      <c r="BX124" s="70"/>
      <c r="BY124" s="70"/>
      <c r="BZ124" s="70"/>
      <c r="CA124" s="70"/>
      <c r="CB124" s="70"/>
      <c r="CC124" s="70"/>
      <c r="CD124" s="70"/>
      <c r="CE124" s="70"/>
      <c r="CF124" s="70"/>
      <c r="CG124" s="70"/>
      <c r="CH124" s="70"/>
      <c r="CI124" s="70"/>
      <c r="CJ124" s="70"/>
      <c r="CK124" s="70"/>
      <c r="CL124" s="70"/>
      <c r="CM124" s="70"/>
      <c r="CN124" s="70"/>
      <c r="CO124" s="70"/>
      <c r="CP124" s="70"/>
      <c r="CR124" s="180"/>
    </row>
    <row r="125" spans="1:96" x14ac:dyDescent="0.2">
      <c r="A125" s="59"/>
      <c r="B125" s="66"/>
      <c r="C125" s="66"/>
      <c r="D125" s="66"/>
      <c r="E125" s="59"/>
      <c r="F125" s="59"/>
      <c r="G125" s="59"/>
      <c r="H125" s="59"/>
      <c r="I125" s="59"/>
      <c r="J125" s="59"/>
      <c r="K125" s="59"/>
      <c r="L125" s="68"/>
      <c r="M125" s="63"/>
      <c r="N125" s="59"/>
      <c r="O125" s="69"/>
      <c r="P125" s="70"/>
      <c r="Q125" s="70"/>
      <c r="R125" s="70"/>
      <c r="S125" s="70"/>
      <c r="T125" s="70"/>
      <c r="U125" s="70"/>
      <c r="V125" s="70"/>
      <c r="W125" s="70"/>
      <c r="X125" s="70"/>
      <c r="Y125" s="70"/>
      <c r="Z125" s="70"/>
      <c r="AA125" s="70"/>
      <c r="AB125" s="70"/>
      <c r="AC125" s="70"/>
      <c r="AD125" s="70"/>
      <c r="AE125" s="70"/>
      <c r="AF125" s="70"/>
      <c r="AG125" s="70"/>
      <c r="AH125" s="70"/>
      <c r="AI125" s="70"/>
      <c r="AJ125" s="70"/>
      <c r="AK125" s="70"/>
      <c r="AL125" s="70"/>
      <c r="AM125" s="70"/>
      <c r="AN125" s="70"/>
      <c r="AO125" s="70"/>
      <c r="AP125" s="70"/>
      <c r="AQ125" s="70"/>
      <c r="AR125" s="70"/>
      <c r="AS125" s="70"/>
      <c r="AT125" s="70"/>
      <c r="AU125" s="70"/>
      <c r="AV125" s="70"/>
      <c r="AW125" s="70"/>
      <c r="AX125" s="70"/>
      <c r="AY125" s="70"/>
      <c r="AZ125" s="70"/>
      <c r="BA125" s="70"/>
      <c r="BB125" s="70"/>
      <c r="BC125" s="70"/>
      <c r="BD125" s="70"/>
      <c r="BE125" s="70"/>
      <c r="BF125" s="70"/>
      <c r="BG125" s="70"/>
      <c r="BH125" s="70"/>
      <c r="BI125" s="70"/>
      <c r="BJ125" s="70"/>
      <c r="BK125" s="70"/>
      <c r="BL125" s="70"/>
      <c r="BM125" s="70"/>
      <c r="BN125" s="70"/>
      <c r="BO125" s="70"/>
      <c r="BP125" s="70"/>
      <c r="BQ125" s="70"/>
      <c r="BR125" s="70"/>
      <c r="BS125" s="70"/>
      <c r="BT125" s="70"/>
      <c r="BU125" s="70"/>
      <c r="BV125" s="70"/>
      <c r="BW125" s="70"/>
      <c r="BX125" s="70"/>
      <c r="BY125" s="70"/>
      <c r="BZ125" s="70"/>
      <c r="CA125" s="70"/>
      <c r="CB125" s="70"/>
      <c r="CC125" s="70"/>
      <c r="CD125" s="70"/>
      <c r="CE125" s="70"/>
      <c r="CF125" s="70"/>
      <c r="CG125" s="70"/>
      <c r="CH125" s="70"/>
      <c r="CI125" s="70"/>
      <c r="CJ125" s="70"/>
      <c r="CK125" s="70"/>
      <c r="CL125" s="70"/>
      <c r="CM125" s="70"/>
      <c r="CN125" s="70"/>
      <c r="CO125" s="70"/>
      <c r="CP125" s="70"/>
      <c r="CR125" s="180"/>
    </row>
    <row r="126" spans="1:96" x14ac:dyDescent="0.2">
      <c r="B126" s="66"/>
      <c r="C126" s="66"/>
      <c r="D126" s="66"/>
      <c r="E126" s="59"/>
      <c r="F126" s="59"/>
      <c r="G126" s="59"/>
      <c r="H126" s="59"/>
      <c r="I126" s="59"/>
      <c r="J126" s="59"/>
      <c r="K126" s="59"/>
      <c r="L126" s="68"/>
      <c r="M126" s="63"/>
      <c r="N126" s="59"/>
      <c r="O126" s="69"/>
      <c r="P126" s="70"/>
      <c r="Q126" s="70"/>
      <c r="R126" s="70"/>
      <c r="S126" s="70"/>
      <c r="T126" s="70"/>
      <c r="U126" s="70"/>
      <c r="V126" s="70"/>
      <c r="W126" s="70"/>
      <c r="X126" s="70"/>
      <c r="Y126" s="70"/>
      <c r="Z126" s="70"/>
      <c r="AA126" s="70"/>
      <c r="AB126" s="70"/>
      <c r="AC126" s="70"/>
      <c r="AD126" s="70"/>
      <c r="AE126" s="70"/>
      <c r="AF126" s="70"/>
      <c r="AG126" s="70"/>
      <c r="AH126" s="70"/>
      <c r="AI126" s="70"/>
      <c r="AJ126" s="70"/>
      <c r="AK126" s="70"/>
      <c r="AL126" s="70"/>
      <c r="AM126" s="70"/>
      <c r="AN126" s="70"/>
      <c r="AO126" s="70"/>
      <c r="AP126" s="70"/>
      <c r="AQ126" s="70"/>
      <c r="AR126" s="70"/>
      <c r="AS126" s="70"/>
      <c r="AT126" s="70"/>
      <c r="AU126" s="70"/>
      <c r="AV126" s="70"/>
      <c r="AW126" s="70"/>
      <c r="AX126" s="70"/>
      <c r="AY126" s="70"/>
      <c r="AZ126" s="70"/>
      <c r="BA126" s="70"/>
      <c r="BB126" s="70"/>
      <c r="BC126" s="70"/>
      <c r="BD126" s="70"/>
      <c r="BE126" s="70"/>
      <c r="BF126" s="70"/>
      <c r="BG126" s="70"/>
      <c r="BH126" s="70"/>
      <c r="BI126" s="70"/>
      <c r="BJ126" s="70"/>
      <c r="BK126" s="70"/>
      <c r="BL126" s="70"/>
      <c r="BM126" s="70"/>
      <c r="BN126" s="70"/>
      <c r="BO126" s="70"/>
      <c r="BP126" s="70"/>
      <c r="BQ126" s="70"/>
      <c r="BR126" s="70"/>
      <c r="BS126" s="70"/>
      <c r="BT126" s="70"/>
      <c r="BU126" s="70"/>
      <c r="BV126" s="70"/>
      <c r="BW126" s="70"/>
      <c r="BX126" s="70"/>
      <c r="BY126" s="70"/>
      <c r="BZ126" s="70"/>
      <c r="CA126" s="70"/>
      <c r="CB126" s="70"/>
      <c r="CC126" s="70"/>
      <c r="CD126" s="70"/>
      <c r="CE126" s="70"/>
      <c r="CF126" s="70"/>
      <c r="CG126" s="70"/>
      <c r="CH126" s="70"/>
      <c r="CI126" s="70"/>
      <c r="CJ126" s="70"/>
      <c r="CK126" s="70"/>
      <c r="CL126" s="70"/>
      <c r="CM126" s="70"/>
      <c r="CN126" s="70"/>
      <c r="CO126" s="70"/>
      <c r="CP126" s="70"/>
      <c r="CR126" s="180"/>
    </row>
    <row r="127" spans="1:96" x14ac:dyDescent="0.2">
      <c r="A127" s="59"/>
      <c r="B127" s="66"/>
      <c r="C127" s="66"/>
      <c r="D127" s="66"/>
      <c r="E127" s="59"/>
      <c r="F127" s="59"/>
      <c r="G127" s="59"/>
      <c r="H127" s="59"/>
      <c r="I127" s="59"/>
      <c r="J127" s="59"/>
      <c r="K127" s="59"/>
      <c r="L127" s="68"/>
      <c r="M127" s="63"/>
      <c r="N127" s="59"/>
      <c r="O127" s="69"/>
      <c r="P127" s="70"/>
      <c r="Q127" s="70"/>
      <c r="R127" s="70"/>
      <c r="S127" s="70"/>
      <c r="T127" s="70"/>
      <c r="U127" s="70"/>
      <c r="V127" s="70"/>
      <c r="W127" s="70"/>
      <c r="X127" s="70"/>
      <c r="Y127" s="70"/>
      <c r="Z127" s="70"/>
      <c r="AA127" s="70"/>
      <c r="AB127" s="70"/>
      <c r="AC127" s="70"/>
      <c r="AD127" s="70"/>
      <c r="AE127" s="70"/>
      <c r="AF127" s="70"/>
      <c r="AG127" s="70"/>
      <c r="AH127" s="70"/>
      <c r="AI127" s="70"/>
      <c r="AJ127" s="70"/>
      <c r="AK127" s="70"/>
      <c r="AL127" s="70"/>
      <c r="AM127" s="70"/>
      <c r="AN127" s="70"/>
      <c r="AO127" s="70"/>
      <c r="AP127" s="70"/>
      <c r="AQ127" s="70"/>
      <c r="AR127" s="70"/>
      <c r="AS127" s="70"/>
      <c r="AT127" s="70"/>
      <c r="AU127" s="70"/>
      <c r="AV127" s="70"/>
      <c r="AW127" s="70"/>
      <c r="AX127" s="70"/>
      <c r="AY127" s="70"/>
      <c r="AZ127" s="70"/>
      <c r="BA127" s="70"/>
      <c r="BB127" s="70"/>
      <c r="BC127" s="70"/>
      <c r="BD127" s="70"/>
      <c r="BE127" s="70"/>
      <c r="BF127" s="70"/>
      <c r="BG127" s="70"/>
      <c r="BH127" s="70"/>
      <c r="BI127" s="70"/>
      <c r="BJ127" s="70"/>
      <c r="BK127" s="70"/>
      <c r="BL127" s="70"/>
      <c r="BM127" s="70"/>
      <c r="BN127" s="70"/>
      <c r="BO127" s="70"/>
      <c r="BP127" s="70"/>
      <c r="BQ127" s="70"/>
      <c r="BR127" s="70"/>
      <c r="BS127" s="70"/>
      <c r="BT127" s="70"/>
      <c r="BU127" s="70"/>
      <c r="BV127" s="70"/>
      <c r="BW127" s="70"/>
      <c r="BX127" s="70"/>
      <c r="BY127" s="70"/>
      <c r="BZ127" s="70"/>
      <c r="CA127" s="70"/>
      <c r="CB127" s="70"/>
      <c r="CC127" s="70"/>
      <c r="CD127" s="70"/>
      <c r="CE127" s="70"/>
      <c r="CF127" s="70"/>
      <c r="CG127" s="70"/>
      <c r="CH127" s="70"/>
      <c r="CI127" s="70"/>
      <c r="CJ127" s="70"/>
      <c r="CK127" s="70"/>
      <c r="CL127" s="70"/>
      <c r="CM127" s="70"/>
      <c r="CN127" s="70"/>
      <c r="CO127" s="70"/>
      <c r="CP127" s="70"/>
      <c r="CR127" s="180"/>
    </row>
    <row r="128" spans="1:96" x14ac:dyDescent="0.2">
      <c r="B128" s="66"/>
      <c r="C128" s="66"/>
      <c r="D128" s="66"/>
      <c r="E128" s="59"/>
      <c r="F128" s="59"/>
      <c r="G128" s="59"/>
      <c r="H128" s="59"/>
      <c r="I128" s="59"/>
      <c r="J128" s="59"/>
      <c r="K128" s="59"/>
      <c r="L128" s="68"/>
      <c r="M128" s="63"/>
      <c r="N128" s="59"/>
      <c r="O128" s="69"/>
      <c r="P128" s="70"/>
      <c r="Q128" s="70"/>
      <c r="R128" s="70"/>
      <c r="S128" s="70"/>
      <c r="T128" s="70"/>
      <c r="U128" s="70"/>
      <c r="V128" s="70"/>
      <c r="W128" s="70"/>
      <c r="X128" s="70"/>
      <c r="Y128" s="70"/>
      <c r="Z128" s="70"/>
      <c r="AA128" s="70"/>
      <c r="AB128" s="70"/>
      <c r="AC128" s="70"/>
      <c r="AD128" s="70"/>
      <c r="AE128" s="70"/>
      <c r="AF128" s="70"/>
      <c r="AG128" s="70"/>
      <c r="AH128" s="70"/>
      <c r="AI128" s="70"/>
      <c r="AJ128" s="70"/>
      <c r="AK128" s="70"/>
      <c r="AL128" s="70"/>
      <c r="AM128" s="70"/>
      <c r="AN128" s="70"/>
      <c r="AO128" s="70"/>
      <c r="AP128" s="70"/>
      <c r="AQ128" s="70"/>
      <c r="AR128" s="70"/>
      <c r="AS128" s="70"/>
      <c r="AT128" s="70"/>
      <c r="AU128" s="70"/>
      <c r="AV128" s="70"/>
      <c r="AW128" s="70"/>
      <c r="AX128" s="70"/>
      <c r="AY128" s="70"/>
      <c r="AZ128" s="70"/>
      <c r="BA128" s="70"/>
      <c r="BB128" s="70"/>
      <c r="BC128" s="70"/>
      <c r="BD128" s="70"/>
      <c r="BE128" s="70"/>
      <c r="BF128" s="70"/>
      <c r="BG128" s="70"/>
      <c r="BH128" s="70"/>
      <c r="BI128" s="70"/>
      <c r="BJ128" s="70"/>
      <c r="BK128" s="70"/>
      <c r="BL128" s="70"/>
      <c r="BM128" s="70"/>
      <c r="BN128" s="70"/>
      <c r="BO128" s="70"/>
      <c r="BP128" s="70"/>
      <c r="BQ128" s="70"/>
      <c r="BR128" s="70"/>
      <c r="BS128" s="70"/>
      <c r="BT128" s="70"/>
      <c r="BU128" s="70"/>
      <c r="BV128" s="70"/>
      <c r="BW128" s="70"/>
      <c r="BX128" s="70"/>
      <c r="BY128" s="70"/>
      <c r="BZ128" s="70"/>
      <c r="CA128" s="70"/>
      <c r="CB128" s="70"/>
      <c r="CC128" s="70"/>
      <c r="CD128" s="70"/>
      <c r="CE128" s="70"/>
      <c r="CF128" s="70"/>
      <c r="CG128" s="70"/>
      <c r="CH128" s="70"/>
      <c r="CI128" s="70"/>
      <c r="CJ128" s="70"/>
      <c r="CK128" s="70"/>
      <c r="CL128" s="70"/>
      <c r="CM128" s="70"/>
      <c r="CN128" s="70"/>
      <c r="CO128" s="70"/>
      <c r="CP128" s="70"/>
      <c r="CR128" s="180"/>
    </row>
    <row r="129" spans="1:96" x14ac:dyDescent="0.2">
      <c r="A129" s="59"/>
      <c r="B129" s="66"/>
      <c r="C129" s="66"/>
      <c r="D129" s="66"/>
      <c r="E129" s="59"/>
      <c r="F129" s="59"/>
      <c r="G129" s="59"/>
      <c r="H129" s="59"/>
      <c r="I129" s="59"/>
      <c r="J129" s="59"/>
      <c r="K129" s="59"/>
      <c r="L129" s="68"/>
      <c r="M129" s="63"/>
      <c r="N129" s="59"/>
      <c r="O129" s="69"/>
      <c r="P129" s="70"/>
      <c r="Q129" s="70"/>
      <c r="R129" s="70"/>
      <c r="S129" s="70"/>
      <c r="T129" s="70"/>
      <c r="U129" s="70"/>
      <c r="V129" s="70"/>
      <c r="W129" s="70"/>
      <c r="X129" s="70"/>
      <c r="Y129" s="70"/>
      <c r="Z129" s="70"/>
      <c r="AA129" s="70"/>
      <c r="AB129" s="70"/>
      <c r="AC129" s="70"/>
      <c r="AD129" s="70"/>
      <c r="AE129" s="70"/>
      <c r="AF129" s="70"/>
      <c r="AG129" s="70"/>
      <c r="AH129" s="70"/>
      <c r="AI129" s="70"/>
      <c r="AJ129" s="70"/>
      <c r="AK129" s="70"/>
      <c r="AL129" s="70"/>
      <c r="AM129" s="70"/>
      <c r="AN129" s="70"/>
      <c r="AO129" s="70"/>
      <c r="AP129" s="70"/>
      <c r="AQ129" s="70"/>
      <c r="AR129" s="70"/>
      <c r="AS129" s="70"/>
      <c r="AT129" s="70"/>
      <c r="AU129" s="70"/>
      <c r="AV129" s="70"/>
      <c r="AW129" s="70"/>
      <c r="AX129" s="70"/>
      <c r="AY129" s="70"/>
      <c r="AZ129" s="70"/>
      <c r="BA129" s="70"/>
      <c r="BB129" s="70"/>
      <c r="BC129" s="70"/>
      <c r="BD129" s="70"/>
      <c r="BE129" s="70"/>
      <c r="BF129" s="70"/>
      <c r="BG129" s="70"/>
      <c r="BH129" s="70"/>
      <c r="BI129" s="70"/>
      <c r="BJ129" s="70"/>
      <c r="BK129" s="70"/>
      <c r="BL129" s="70"/>
      <c r="BM129" s="70"/>
      <c r="BN129" s="70"/>
      <c r="BO129" s="70"/>
      <c r="BP129" s="70"/>
      <c r="BQ129" s="70"/>
      <c r="BR129" s="70"/>
      <c r="BS129" s="70"/>
      <c r="BT129" s="70"/>
      <c r="BU129" s="70"/>
      <c r="BV129" s="70"/>
      <c r="BW129" s="70"/>
      <c r="BX129" s="70"/>
      <c r="BY129" s="70"/>
      <c r="BZ129" s="70"/>
      <c r="CA129" s="70"/>
      <c r="CB129" s="70"/>
      <c r="CC129" s="70"/>
      <c r="CD129" s="70"/>
      <c r="CE129" s="70"/>
      <c r="CF129" s="70"/>
      <c r="CG129" s="70"/>
      <c r="CH129" s="70"/>
      <c r="CI129" s="70"/>
      <c r="CJ129" s="70"/>
      <c r="CK129" s="70"/>
      <c r="CL129" s="70"/>
      <c r="CM129" s="70"/>
      <c r="CN129" s="70"/>
      <c r="CO129" s="70"/>
      <c r="CP129" s="70"/>
      <c r="CR129" s="180"/>
    </row>
    <row r="130" spans="1:96" x14ac:dyDescent="0.2">
      <c r="B130" s="66"/>
      <c r="C130" s="66"/>
      <c r="D130" s="66"/>
      <c r="E130" s="59"/>
      <c r="F130" s="59"/>
      <c r="G130" s="59"/>
      <c r="H130" s="59"/>
      <c r="I130" s="59"/>
      <c r="J130" s="59"/>
      <c r="K130" s="59"/>
      <c r="L130" s="68"/>
      <c r="M130" s="63"/>
      <c r="N130" s="59"/>
      <c r="O130" s="69"/>
      <c r="P130" s="70"/>
      <c r="Q130" s="70"/>
      <c r="R130" s="70"/>
      <c r="S130" s="70"/>
      <c r="T130" s="70"/>
      <c r="U130" s="70"/>
      <c r="V130" s="70"/>
      <c r="W130" s="70"/>
      <c r="X130" s="70"/>
      <c r="Y130" s="70"/>
      <c r="Z130" s="70"/>
      <c r="AA130" s="70"/>
      <c r="AB130" s="70"/>
      <c r="AC130" s="70"/>
      <c r="AD130" s="70"/>
      <c r="AE130" s="70"/>
      <c r="AF130" s="70"/>
      <c r="AG130" s="70"/>
      <c r="AH130" s="70"/>
      <c r="AI130" s="70"/>
      <c r="AJ130" s="70"/>
      <c r="AK130" s="70"/>
      <c r="AL130" s="70"/>
      <c r="AM130" s="70"/>
      <c r="AN130" s="70"/>
      <c r="AO130" s="70"/>
      <c r="AP130" s="70"/>
      <c r="AQ130" s="70"/>
      <c r="AR130" s="70"/>
      <c r="AS130" s="70"/>
      <c r="AT130" s="70"/>
      <c r="AU130" s="70"/>
      <c r="AV130" s="70"/>
      <c r="AW130" s="70"/>
      <c r="AX130" s="70"/>
      <c r="AY130" s="70"/>
      <c r="AZ130" s="70"/>
      <c r="BA130" s="70"/>
      <c r="BB130" s="70"/>
      <c r="BC130" s="70"/>
      <c r="BD130" s="70"/>
      <c r="BE130" s="70"/>
      <c r="BF130" s="70"/>
      <c r="BG130" s="70"/>
      <c r="BH130" s="70"/>
      <c r="BI130" s="70"/>
      <c r="BJ130" s="70"/>
      <c r="BK130" s="70"/>
      <c r="BL130" s="70"/>
      <c r="BM130" s="70"/>
      <c r="BN130" s="70"/>
      <c r="BO130" s="70"/>
      <c r="BP130" s="70"/>
      <c r="BQ130" s="70"/>
      <c r="BR130" s="70"/>
      <c r="BS130" s="70"/>
      <c r="BT130" s="70"/>
      <c r="BU130" s="70"/>
      <c r="BV130" s="70"/>
      <c r="BW130" s="70"/>
      <c r="BX130" s="70"/>
      <c r="BY130" s="70"/>
      <c r="BZ130" s="70"/>
      <c r="CA130" s="70"/>
      <c r="CB130" s="70"/>
      <c r="CC130" s="70"/>
      <c r="CD130" s="70"/>
      <c r="CE130" s="70"/>
      <c r="CF130" s="70"/>
      <c r="CG130" s="70"/>
      <c r="CH130" s="70"/>
      <c r="CI130" s="70"/>
      <c r="CJ130" s="70"/>
      <c r="CK130" s="70"/>
      <c r="CL130" s="70"/>
      <c r="CM130" s="70"/>
      <c r="CN130" s="70"/>
      <c r="CO130" s="70"/>
      <c r="CP130" s="70"/>
      <c r="CR130" s="180"/>
    </row>
    <row r="131" spans="1:96" x14ac:dyDescent="0.2">
      <c r="A131" s="59"/>
      <c r="B131" s="66"/>
      <c r="C131" s="66"/>
      <c r="D131" s="66"/>
      <c r="E131" s="59"/>
      <c r="F131" s="59"/>
      <c r="G131" s="59"/>
      <c r="H131" s="59"/>
      <c r="I131" s="59"/>
      <c r="J131" s="59"/>
      <c r="K131" s="59"/>
      <c r="L131" s="68"/>
      <c r="M131" s="63"/>
      <c r="N131" s="59"/>
      <c r="O131" s="69"/>
      <c r="P131" s="70"/>
      <c r="Q131" s="70"/>
      <c r="R131" s="70"/>
      <c r="S131" s="70"/>
      <c r="T131" s="70"/>
      <c r="U131" s="70"/>
      <c r="V131" s="70"/>
      <c r="W131" s="70"/>
      <c r="X131" s="70"/>
      <c r="Y131" s="70"/>
      <c r="Z131" s="70"/>
      <c r="AA131" s="70"/>
      <c r="AB131" s="70"/>
      <c r="AC131" s="70"/>
      <c r="AD131" s="70"/>
      <c r="AE131" s="70"/>
      <c r="AF131" s="70"/>
      <c r="AG131" s="70"/>
      <c r="AH131" s="70"/>
      <c r="AI131" s="70"/>
      <c r="AJ131" s="70"/>
      <c r="AK131" s="70"/>
      <c r="AL131" s="70"/>
      <c r="AM131" s="70"/>
      <c r="AN131" s="70"/>
      <c r="AO131" s="70"/>
      <c r="AP131" s="70"/>
      <c r="AQ131" s="70"/>
      <c r="AR131" s="70"/>
      <c r="AS131" s="70"/>
      <c r="AT131" s="70"/>
      <c r="AU131" s="70"/>
      <c r="AV131" s="70"/>
      <c r="AW131" s="70"/>
      <c r="AX131" s="70"/>
      <c r="AY131" s="70"/>
      <c r="AZ131" s="70"/>
      <c r="BA131" s="70"/>
      <c r="BB131" s="70"/>
      <c r="BC131" s="70"/>
      <c r="BD131" s="70"/>
      <c r="BE131" s="70"/>
      <c r="BF131" s="70"/>
      <c r="BG131" s="70"/>
      <c r="BH131" s="70"/>
      <c r="BI131" s="70"/>
      <c r="BJ131" s="70"/>
      <c r="BK131" s="70"/>
      <c r="BL131" s="70"/>
      <c r="BM131" s="70"/>
      <c r="BN131" s="70"/>
      <c r="BO131" s="70"/>
      <c r="BP131" s="70"/>
      <c r="BQ131" s="70"/>
      <c r="BR131" s="70"/>
      <c r="BS131" s="70"/>
      <c r="BT131" s="70"/>
      <c r="BU131" s="70"/>
      <c r="BV131" s="70"/>
      <c r="BW131" s="70"/>
      <c r="BX131" s="70"/>
      <c r="BY131" s="70"/>
      <c r="BZ131" s="70"/>
      <c r="CA131" s="70"/>
      <c r="CB131" s="70"/>
      <c r="CC131" s="70"/>
      <c r="CD131" s="70"/>
      <c r="CE131" s="70"/>
      <c r="CF131" s="70"/>
      <c r="CG131" s="70"/>
      <c r="CH131" s="70"/>
      <c r="CI131" s="70"/>
      <c r="CJ131" s="70"/>
      <c r="CK131" s="70"/>
      <c r="CL131" s="70"/>
      <c r="CM131" s="70"/>
      <c r="CN131" s="70"/>
      <c r="CO131" s="70"/>
      <c r="CP131" s="70"/>
      <c r="CR131" s="180"/>
    </row>
    <row r="132" spans="1:96" x14ac:dyDescent="0.2">
      <c r="B132" s="66"/>
      <c r="C132" s="66"/>
      <c r="D132" s="66"/>
      <c r="E132" s="59"/>
      <c r="F132" s="59"/>
      <c r="G132" s="59"/>
      <c r="H132" s="59"/>
      <c r="I132" s="59"/>
      <c r="J132" s="59"/>
      <c r="K132" s="59"/>
      <c r="L132" s="68"/>
      <c r="M132" s="63"/>
      <c r="N132" s="59"/>
      <c r="O132" s="69"/>
      <c r="P132" s="70"/>
      <c r="Q132" s="70"/>
      <c r="R132" s="70"/>
      <c r="S132" s="70"/>
      <c r="T132" s="70"/>
      <c r="U132" s="70"/>
      <c r="V132" s="70"/>
      <c r="W132" s="70"/>
      <c r="X132" s="70"/>
      <c r="Y132" s="70"/>
      <c r="Z132" s="70"/>
      <c r="AA132" s="70"/>
      <c r="AB132" s="70"/>
      <c r="AC132" s="70"/>
      <c r="AD132" s="70"/>
      <c r="AE132" s="70"/>
      <c r="AF132" s="70"/>
      <c r="AG132" s="70"/>
      <c r="AH132" s="70"/>
      <c r="AI132" s="70"/>
      <c r="AJ132" s="70"/>
      <c r="AK132" s="70"/>
      <c r="AL132" s="70"/>
      <c r="AM132" s="70"/>
      <c r="AN132" s="70"/>
      <c r="AO132" s="70"/>
      <c r="AP132" s="70"/>
      <c r="AQ132" s="70"/>
      <c r="AR132" s="70"/>
      <c r="AS132" s="70"/>
      <c r="AT132" s="70"/>
      <c r="AU132" s="70"/>
      <c r="AV132" s="70"/>
      <c r="AW132" s="70"/>
      <c r="AX132" s="70"/>
      <c r="AY132" s="70"/>
      <c r="AZ132" s="70"/>
      <c r="BA132" s="70"/>
      <c r="BB132" s="70"/>
      <c r="BC132" s="70"/>
      <c r="BD132" s="70"/>
      <c r="BE132" s="70"/>
      <c r="BF132" s="70"/>
      <c r="BG132" s="70"/>
      <c r="BH132" s="70"/>
      <c r="BI132" s="70"/>
      <c r="BJ132" s="70"/>
      <c r="BK132" s="70"/>
      <c r="BL132" s="70"/>
      <c r="BM132" s="70"/>
      <c r="BN132" s="70"/>
      <c r="BO132" s="70"/>
      <c r="BP132" s="70"/>
      <c r="BQ132" s="70"/>
      <c r="BR132" s="70"/>
      <c r="BS132" s="70"/>
      <c r="BT132" s="70"/>
      <c r="BU132" s="70"/>
      <c r="BV132" s="70"/>
      <c r="BW132" s="70"/>
      <c r="BX132" s="70"/>
      <c r="BY132" s="70"/>
      <c r="BZ132" s="70"/>
      <c r="CA132" s="70"/>
      <c r="CB132" s="70"/>
      <c r="CC132" s="70"/>
      <c r="CD132" s="70"/>
      <c r="CE132" s="70"/>
      <c r="CF132" s="70"/>
      <c r="CG132" s="70"/>
      <c r="CH132" s="70"/>
      <c r="CI132" s="70"/>
      <c r="CJ132" s="70"/>
      <c r="CK132" s="70"/>
      <c r="CL132" s="70"/>
      <c r="CM132" s="70"/>
      <c r="CN132" s="70"/>
      <c r="CO132" s="70"/>
      <c r="CP132" s="70"/>
      <c r="CR132" s="180"/>
    </row>
    <row r="133" spans="1:96" x14ac:dyDescent="0.2">
      <c r="A133" s="59"/>
      <c r="B133" s="66"/>
      <c r="C133" s="66"/>
      <c r="D133" s="66"/>
      <c r="E133" s="59"/>
      <c r="F133" s="59"/>
      <c r="G133" s="59"/>
      <c r="H133" s="59"/>
      <c r="I133" s="59"/>
      <c r="J133" s="59"/>
      <c r="K133" s="59"/>
      <c r="L133" s="68"/>
      <c r="M133" s="63"/>
      <c r="N133" s="59"/>
      <c r="O133" s="69"/>
      <c r="P133" s="70"/>
      <c r="Q133" s="70"/>
      <c r="R133" s="70"/>
      <c r="S133" s="70"/>
      <c r="T133" s="70"/>
      <c r="U133" s="70"/>
      <c r="V133" s="70"/>
      <c r="W133" s="70"/>
      <c r="X133" s="70"/>
      <c r="Y133" s="70"/>
      <c r="Z133" s="70"/>
      <c r="AA133" s="70"/>
      <c r="AB133" s="70"/>
      <c r="AC133" s="70"/>
      <c r="AD133" s="70"/>
      <c r="AE133" s="70"/>
      <c r="AF133" s="70"/>
      <c r="AG133" s="70"/>
      <c r="AH133" s="70"/>
      <c r="AI133" s="70"/>
      <c r="AJ133" s="70"/>
      <c r="AK133" s="70"/>
      <c r="AL133" s="70"/>
      <c r="AM133" s="70"/>
      <c r="AN133" s="70"/>
      <c r="AO133" s="70"/>
      <c r="AP133" s="70"/>
      <c r="AQ133" s="70"/>
      <c r="AR133" s="70"/>
      <c r="AS133" s="70"/>
      <c r="AT133" s="70"/>
      <c r="AU133" s="70"/>
      <c r="AV133" s="70"/>
      <c r="AW133" s="70"/>
      <c r="AX133" s="70"/>
      <c r="AY133" s="70"/>
      <c r="AZ133" s="70"/>
      <c r="BA133" s="70"/>
      <c r="BB133" s="70"/>
      <c r="BC133" s="70"/>
      <c r="BD133" s="70"/>
      <c r="BE133" s="70"/>
      <c r="BF133" s="70"/>
      <c r="BG133" s="70"/>
      <c r="BH133" s="70"/>
      <c r="BI133" s="70"/>
      <c r="BJ133" s="70"/>
      <c r="BK133" s="70"/>
      <c r="BL133" s="70"/>
      <c r="BM133" s="70"/>
      <c r="BN133" s="70"/>
      <c r="BO133" s="70"/>
      <c r="BP133" s="70"/>
      <c r="BQ133" s="70"/>
      <c r="BR133" s="70"/>
      <c r="BS133" s="70"/>
      <c r="BT133" s="70"/>
      <c r="BU133" s="70"/>
      <c r="BV133" s="70"/>
      <c r="BW133" s="70"/>
      <c r="BX133" s="70"/>
      <c r="BY133" s="70"/>
      <c r="BZ133" s="70"/>
      <c r="CA133" s="70"/>
      <c r="CB133" s="70"/>
      <c r="CC133" s="70"/>
      <c r="CD133" s="70"/>
      <c r="CE133" s="70"/>
      <c r="CF133" s="70"/>
      <c r="CG133" s="70"/>
      <c r="CH133" s="70"/>
      <c r="CI133" s="70"/>
      <c r="CJ133" s="70"/>
      <c r="CK133" s="70"/>
      <c r="CL133" s="70"/>
      <c r="CM133" s="70"/>
      <c r="CN133" s="70"/>
      <c r="CO133" s="70"/>
      <c r="CP133" s="70"/>
      <c r="CR133" s="180"/>
    </row>
    <row r="134" spans="1:96" x14ac:dyDescent="0.2">
      <c r="B134" s="66"/>
      <c r="C134" s="66"/>
      <c r="D134" s="66"/>
      <c r="E134" s="59"/>
      <c r="F134" s="59"/>
      <c r="G134" s="59"/>
      <c r="H134" s="59"/>
      <c r="I134" s="59"/>
      <c r="J134" s="59"/>
      <c r="K134" s="59"/>
      <c r="L134" s="68"/>
      <c r="M134" s="63"/>
      <c r="N134" s="59"/>
      <c r="O134" s="69"/>
      <c r="P134" s="70"/>
      <c r="Q134" s="70"/>
      <c r="R134" s="70"/>
      <c r="S134" s="70"/>
      <c r="T134" s="70"/>
      <c r="U134" s="70"/>
      <c r="V134" s="70"/>
      <c r="W134" s="70"/>
      <c r="X134" s="70"/>
      <c r="Y134" s="70"/>
      <c r="Z134" s="70"/>
      <c r="AA134" s="70"/>
      <c r="AB134" s="70"/>
      <c r="AC134" s="70"/>
      <c r="AD134" s="70"/>
      <c r="AE134" s="70"/>
      <c r="AF134" s="70"/>
      <c r="AG134" s="70"/>
      <c r="AH134" s="70"/>
      <c r="AI134" s="70"/>
      <c r="AJ134" s="70"/>
      <c r="AK134" s="70"/>
      <c r="AL134" s="70"/>
      <c r="AM134" s="70"/>
      <c r="AN134" s="70"/>
      <c r="AO134" s="70"/>
      <c r="AP134" s="70"/>
      <c r="AQ134" s="70"/>
      <c r="AR134" s="70"/>
      <c r="AS134" s="70"/>
      <c r="AT134" s="70"/>
      <c r="AU134" s="70"/>
      <c r="AV134" s="70"/>
      <c r="AW134" s="70"/>
      <c r="AX134" s="70"/>
      <c r="AY134" s="70"/>
      <c r="AZ134" s="70"/>
      <c r="BA134" s="70"/>
      <c r="BB134" s="70"/>
      <c r="BC134" s="70"/>
      <c r="BD134" s="70"/>
      <c r="BE134" s="70"/>
      <c r="BF134" s="70"/>
      <c r="BG134" s="70"/>
      <c r="BH134" s="70"/>
      <c r="BI134" s="70"/>
      <c r="BJ134" s="70"/>
      <c r="BK134" s="70"/>
      <c r="BL134" s="70"/>
      <c r="BM134" s="70"/>
      <c r="BN134" s="70"/>
      <c r="BO134" s="70"/>
      <c r="BP134" s="70"/>
      <c r="BQ134" s="70"/>
      <c r="BR134" s="70"/>
      <c r="BS134" s="70"/>
      <c r="BT134" s="70"/>
      <c r="BU134" s="70"/>
      <c r="BV134" s="70"/>
      <c r="BW134" s="70"/>
      <c r="BX134" s="70"/>
      <c r="BY134" s="70"/>
      <c r="BZ134" s="70"/>
      <c r="CA134" s="70"/>
      <c r="CB134" s="70"/>
      <c r="CC134" s="70"/>
      <c r="CD134" s="70"/>
      <c r="CE134" s="70"/>
      <c r="CF134" s="70"/>
      <c r="CG134" s="70"/>
      <c r="CH134" s="70"/>
      <c r="CI134" s="70"/>
      <c r="CJ134" s="70"/>
      <c r="CK134" s="70"/>
      <c r="CL134" s="70"/>
      <c r="CM134" s="70"/>
      <c r="CN134" s="70"/>
      <c r="CO134" s="70"/>
      <c r="CP134" s="70"/>
      <c r="CR134" s="180"/>
    </row>
    <row r="135" spans="1:96" x14ac:dyDescent="0.2">
      <c r="A135" s="59"/>
      <c r="B135" s="66"/>
      <c r="C135" s="66"/>
      <c r="D135" s="66"/>
      <c r="E135" s="59"/>
      <c r="F135" s="59"/>
      <c r="G135" s="59"/>
      <c r="H135" s="59"/>
      <c r="I135" s="59"/>
      <c r="J135" s="59"/>
      <c r="K135" s="59"/>
      <c r="L135" s="68"/>
      <c r="M135" s="63"/>
      <c r="N135" s="59"/>
      <c r="O135" s="69"/>
      <c r="P135" s="70"/>
      <c r="Q135" s="70"/>
      <c r="R135" s="70"/>
      <c r="S135" s="70"/>
      <c r="T135" s="70"/>
      <c r="U135" s="70"/>
      <c r="V135" s="70"/>
      <c r="W135" s="70"/>
      <c r="X135" s="70"/>
      <c r="Y135" s="70"/>
      <c r="Z135" s="70"/>
      <c r="AA135" s="70"/>
      <c r="AB135" s="70"/>
      <c r="AC135" s="70"/>
      <c r="AD135" s="70"/>
      <c r="AE135" s="70"/>
      <c r="AF135" s="70"/>
      <c r="AG135" s="70"/>
      <c r="AH135" s="70"/>
      <c r="AI135" s="70"/>
      <c r="AJ135" s="70"/>
      <c r="AK135" s="70"/>
      <c r="AL135" s="70"/>
      <c r="AM135" s="70"/>
      <c r="AN135" s="70"/>
      <c r="AO135" s="70"/>
      <c r="AP135" s="70"/>
      <c r="AQ135" s="70"/>
      <c r="AR135" s="70"/>
      <c r="AS135" s="70"/>
      <c r="AT135" s="70"/>
      <c r="AU135" s="70"/>
      <c r="AV135" s="70"/>
      <c r="AW135" s="70"/>
      <c r="AX135" s="70"/>
      <c r="AY135" s="70"/>
      <c r="AZ135" s="70"/>
      <c r="BA135" s="70"/>
      <c r="BB135" s="70"/>
      <c r="BC135" s="70"/>
      <c r="BD135" s="70"/>
      <c r="BE135" s="70"/>
      <c r="BF135" s="70"/>
      <c r="BG135" s="70"/>
      <c r="BH135" s="70"/>
      <c r="BI135" s="70"/>
      <c r="BJ135" s="70"/>
      <c r="BK135" s="70"/>
      <c r="BL135" s="70"/>
      <c r="BM135" s="70"/>
      <c r="BN135" s="70"/>
      <c r="BO135" s="70"/>
      <c r="BP135" s="70"/>
      <c r="BQ135" s="70"/>
      <c r="BR135" s="70"/>
      <c r="BS135" s="70"/>
      <c r="BT135" s="70"/>
      <c r="BU135" s="70"/>
      <c r="BV135" s="70"/>
      <c r="BW135" s="70"/>
      <c r="BX135" s="70"/>
      <c r="BY135" s="70"/>
      <c r="BZ135" s="70"/>
      <c r="CA135" s="70"/>
      <c r="CB135" s="70"/>
      <c r="CC135" s="70"/>
      <c r="CD135" s="70"/>
      <c r="CE135" s="70"/>
      <c r="CF135" s="70"/>
      <c r="CG135" s="70"/>
      <c r="CH135" s="70"/>
      <c r="CI135" s="70"/>
      <c r="CJ135" s="70"/>
      <c r="CK135" s="70"/>
      <c r="CL135" s="70"/>
      <c r="CM135" s="70"/>
      <c r="CN135" s="70"/>
      <c r="CO135" s="70"/>
      <c r="CP135" s="70"/>
      <c r="CR135" s="180"/>
    </row>
    <row r="136" spans="1:96" x14ac:dyDescent="0.2">
      <c r="B136" s="66"/>
      <c r="C136" s="66"/>
      <c r="D136" s="66"/>
      <c r="E136" s="59"/>
      <c r="F136" s="59"/>
      <c r="G136" s="59"/>
      <c r="H136" s="59"/>
      <c r="I136" s="59"/>
      <c r="J136" s="59"/>
      <c r="K136" s="59"/>
      <c r="L136" s="68"/>
      <c r="M136" s="63"/>
      <c r="N136" s="59"/>
      <c r="O136" s="69"/>
      <c r="P136" s="70"/>
      <c r="Q136" s="70"/>
      <c r="R136" s="70"/>
      <c r="S136" s="70"/>
      <c r="T136" s="70"/>
      <c r="U136" s="70"/>
      <c r="V136" s="70"/>
      <c r="W136" s="70"/>
      <c r="X136" s="70"/>
      <c r="Y136" s="70"/>
      <c r="Z136" s="70"/>
      <c r="AA136" s="70"/>
      <c r="AB136" s="70"/>
      <c r="AC136" s="70"/>
      <c r="AD136" s="70"/>
      <c r="AE136" s="70"/>
      <c r="AF136" s="70"/>
      <c r="AG136" s="70"/>
      <c r="AH136" s="70"/>
      <c r="AI136" s="70"/>
      <c r="AJ136" s="70"/>
      <c r="AK136" s="70"/>
      <c r="AL136" s="70"/>
      <c r="AM136" s="70"/>
      <c r="AN136" s="70"/>
      <c r="AO136" s="70"/>
      <c r="AP136" s="70"/>
      <c r="AQ136" s="70"/>
      <c r="AR136" s="70"/>
      <c r="AS136" s="70"/>
      <c r="AT136" s="70"/>
      <c r="AU136" s="70"/>
      <c r="AV136" s="70"/>
      <c r="AW136" s="70"/>
      <c r="AX136" s="70"/>
      <c r="AY136" s="70"/>
      <c r="AZ136" s="70"/>
      <c r="BA136" s="70"/>
      <c r="BB136" s="70"/>
      <c r="BC136" s="70"/>
      <c r="BD136" s="70"/>
      <c r="BE136" s="70"/>
      <c r="BF136" s="70"/>
      <c r="BG136" s="70"/>
      <c r="BH136" s="70"/>
      <c r="BI136" s="70"/>
      <c r="BJ136" s="70"/>
      <c r="BK136" s="70"/>
      <c r="BL136" s="70"/>
      <c r="BM136" s="70"/>
      <c r="BN136" s="70"/>
      <c r="BO136" s="70"/>
      <c r="BP136" s="70"/>
      <c r="BQ136" s="70"/>
      <c r="BR136" s="70"/>
      <c r="BS136" s="70"/>
      <c r="BT136" s="70"/>
      <c r="BU136" s="70"/>
      <c r="BV136" s="70"/>
      <c r="BW136" s="70"/>
      <c r="BX136" s="70"/>
      <c r="BY136" s="70"/>
      <c r="BZ136" s="70"/>
      <c r="CA136" s="70"/>
      <c r="CB136" s="70"/>
      <c r="CC136" s="70"/>
      <c r="CD136" s="70"/>
      <c r="CE136" s="70"/>
      <c r="CF136" s="70"/>
      <c r="CG136" s="70"/>
      <c r="CH136" s="70"/>
      <c r="CI136" s="70"/>
      <c r="CJ136" s="70"/>
      <c r="CK136" s="70"/>
      <c r="CL136" s="70"/>
      <c r="CM136" s="70"/>
      <c r="CN136" s="70"/>
      <c r="CO136" s="70"/>
      <c r="CP136" s="70"/>
      <c r="CR136" s="180"/>
    </row>
    <row r="137" spans="1:96" x14ac:dyDescent="0.2">
      <c r="A137" s="72"/>
      <c r="B137" s="98"/>
      <c r="C137" s="98"/>
      <c r="D137" s="98"/>
      <c r="E137" s="72"/>
      <c r="F137" s="72"/>
      <c r="G137" s="72"/>
      <c r="H137" s="72"/>
      <c r="I137" s="72"/>
      <c r="J137" s="72"/>
      <c r="K137" s="72"/>
      <c r="L137" s="73"/>
      <c r="M137" s="74"/>
      <c r="N137" s="72"/>
      <c r="O137" s="99"/>
      <c r="P137" s="100"/>
      <c r="Q137" s="100"/>
      <c r="R137" s="100"/>
      <c r="S137" s="100"/>
      <c r="T137" s="100"/>
      <c r="U137" s="100"/>
      <c r="V137" s="100"/>
      <c r="W137" s="100"/>
      <c r="X137" s="100"/>
      <c r="Y137" s="100"/>
      <c r="Z137" s="100"/>
      <c r="AA137" s="100"/>
      <c r="AB137" s="100"/>
      <c r="AC137" s="100"/>
      <c r="AD137" s="100"/>
      <c r="AE137" s="100"/>
      <c r="AF137" s="100"/>
      <c r="AG137" s="100"/>
      <c r="AH137" s="100"/>
      <c r="AI137" s="100"/>
      <c r="AJ137" s="100"/>
      <c r="AK137" s="100"/>
      <c r="AL137" s="100"/>
      <c r="AM137" s="100"/>
      <c r="AN137" s="100"/>
      <c r="AO137" s="100"/>
      <c r="AP137" s="100"/>
      <c r="AQ137" s="100"/>
      <c r="AR137" s="100"/>
      <c r="AS137" s="100"/>
      <c r="AT137" s="100"/>
      <c r="AU137" s="100"/>
      <c r="AV137" s="100"/>
      <c r="AW137" s="100"/>
      <c r="AX137" s="100"/>
      <c r="AY137" s="100"/>
      <c r="AZ137" s="100"/>
      <c r="BA137" s="100"/>
      <c r="BB137" s="100"/>
      <c r="BC137" s="100"/>
      <c r="BD137" s="100"/>
      <c r="BE137" s="100"/>
      <c r="BF137" s="100"/>
      <c r="BG137" s="100"/>
      <c r="BH137" s="100"/>
      <c r="BI137" s="100"/>
      <c r="BJ137" s="100"/>
      <c r="BK137" s="100"/>
      <c r="BL137" s="100"/>
      <c r="BM137" s="100"/>
      <c r="BN137" s="100"/>
      <c r="BO137" s="100"/>
      <c r="BP137" s="100"/>
      <c r="BQ137" s="100"/>
      <c r="BR137" s="100"/>
      <c r="BS137" s="100"/>
      <c r="BT137" s="100"/>
      <c r="BU137" s="100"/>
      <c r="BV137" s="100"/>
      <c r="BW137" s="100"/>
      <c r="BX137" s="100"/>
      <c r="BY137" s="100"/>
      <c r="BZ137" s="100"/>
      <c r="CA137" s="100"/>
      <c r="CB137" s="100"/>
      <c r="CC137" s="100"/>
      <c r="CD137" s="100"/>
      <c r="CE137" s="100"/>
      <c r="CF137" s="100"/>
      <c r="CG137" s="100"/>
      <c r="CH137" s="100"/>
      <c r="CI137" s="100"/>
      <c r="CJ137" s="100"/>
      <c r="CK137" s="100"/>
      <c r="CL137" s="100"/>
      <c r="CM137" s="100"/>
      <c r="CN137" s="100"/>
      <c r="CO137" s="100"/>
      <c r="CP137" s="100"/>
      <c r="CR137" s="181"/>
    </row>
  </sheetData>
  <sheetProtection selectLockedCells="1" selectUnlockedCells="1"/>
  <mergeCells count="1">
    <mergeCell ref="S1:Y1"/>
  </mergeCells>
  <phoneticPr fontId="1"/>
  <conditionalFormatting sqref="N967:N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8:N137 N10:N6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4 N77:N966 N9:N72">
    <cfRule type="colorScale" priority="8">
      <colorScale>
        <cfvo type="min"/>
        <cfvo type="max"/>
        <color rgb="FFFF7128"/>
        <color rgb="FFFFEF9C"/>
      </colorScale>
    </cfRule>
  </conditionalFormatting>
  <conditionalFormatting sqref="N5:N8">
    <cfRule type="colorScale" priority="5">
      <colorScale>
        <cfvo type="min"/>
        <cfvo type="max"/>
        <color rgb="FFFF7128"/>
        <color rgb="FFFFEF9C"/>
      </colorScale>
    </cfRule>
  </conditionalFormatting>
  <conditionalFormatting sqref="N75:N76 N73">
    <cfRule type="colorScale" priority="4">
      <colorScale>
        <cfvo type="min"/>
        <cfvo type="max"/>
        <color rgb="FFFF7128"/>
        <color rgb="FFFFEF9C"/>
      </colorScale>
    </cfRule>
  </conditionalFormatting>
  <conditionalFormatting sqref="N74">
    <cfRule type="colorScale" priority="3">
      <colorScale>
        <cfvo type="min"/>
        <cfvo type="max"/>
        <color rgb="FFFF7128"/>
        <color rgb="FFFFEF9C"/>
      </colorScale>
    </cfRule>
  </conditionalFormatting>
  <conditionalFormatting sqref="CR8">
    <cfRule type="colorScale" priority="2">
      <colorScale>
        <cfvo type="min"/>
        <cfvo type="max"/>
        <color rgb="FFFF7128"/>
        <color rgb="FFFFEF9C"/>
      </colorScale>
    </cfRule>
  </conditionalFormatting>
  <conditionalFormatting sqref="CR76">
    <cfRule type="colorScale" priority="1">
      <colorScale>
        <cfvo type="min"/>
        <cfvo type="max"/>
        <color rgb="FFFF7128"/>
        <color rgb="FFFFEF9C"/>
      </colorScale>
    </cfRule>
  </conditionalFormatting>
  <dataValidations count="3">
    <dataValidation type="list" allowBlank="1" showInputMessage="1" showErrorMessage="1" sqref="B10:B69 B78:B137" xr:uid="{4D6BA1FD-F21D-4627-8385-16A52C764AB2}">
      <formula1>"着,発,主要"</formula1>
    </dataValidation>
    <dataValidation type="list" allowBlank="1" showInputMessage="1" showErrorMessage="1" sqref="C10:C69 C78:C137" xr:uid="{71FE4B72-6261-4446-9934-C08D5665FF91}">
      <formula1>"乗車不可,予約必要"</formula1>
    </dataValidation>
    <dataValidation type="list" allowBlank="1" showInputMessage="1" showErrorMessage="1" sqref="D10:D69 D78:D137" xr:uid="{0BA0C507-E926-4D49-B48E-3FCBDFBD5949}">
      <formula1>"降車不可,予約必要"</formula1>
    </dataValidation>
  </dataValidations>
  <hyperlinks>
    <hyperlink ref="O71" location="往路" display="往路へ" xr:uid="{AED0CBDB-15D5-456E-BE57-67704ED1C3E3}"/>
    <hyperlink ref="O3" location="復路" display="復路へ" xr:uid="{A3F039B4-2926-4198-AF88-037E971F8475}"/>
    <hyperlink ref="A1" location="メニュー!A1" display="メニューへ" xr:uid="{6523B814-CF6E-4FC8-B708-28708D3EB39F}"/>
    <hyperlink ref="A71" location="メニュー!A1" display="メニューへ" xr:uid="{E01E4736-72A3-44E9-93E2-B42C427131BB}"/>
  </hyperlinks>
  <pageMargins left="0.11811023622047245" right="0.11811023622047245" top="0.15748031496062992" bottom="0.15748031496062992" header="0.31496062992125984" footer="0.31496062992125984"/>
  <pageSetup paperSize="8" scale="69" fitToHeight="2" orientation="landscape" r:id="rId1"/>
  <rowBreaks count="1" manualBreakCount="1">
    <brk id="70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tn_ouro_newsheet">
              <controlPr defaultSize="0" print="0" autoFill="0" autoPict="0" macro="[0]!btn_newsheet_Click">
                <anchor moveWithCells="1" sizeWithCells="1">
                  <from>
                    <xdr:col>2</xdr:col>
                    <xdr:colOff>19050</xdr:colOff>
                    <xdr:row>0</xdr:row>
                    <xdr:rowOff>0</xdr:rowOff>
                  </from>
                  <to>
                    <xdr:col>6</xdr:col>
                    <xdr:colOff>57150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5" name="btn_ouro_chgtime">
              <controlPr defaultSize="0" print="0" autoFill="0" autoPict="0" macro="[0]!btn_chgtime_Click">
                <anchor moveWithCells="1" sizeWithCells="1">
                  <from>
                    <xdr:col>6</xdr:col>
                    <xdr:colOff>133350</xdr:colOff>
                    <xdr:row>0</xdr:row>
                    <xdr:rowOff>0</xdr:rowOff>
                  </from>
                  <to>
                    <xdr:col>11</xdr:col>
                    <xdr:colOff>133350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6" name="btn_ouro_keitoset">
              <controlPr defaultSize="0" print="0" autoFill="0" autoPict="0" macro="[0]!btn_KeitoSet_Click">
                <anchor moveWithCells="1" sizeWithCells="1">
                  <from>
                    <xdr:col>11</xdr:col>
                    <xdr:colOff>222250</xdr:colOff>
                    <xdr:row>0</xdr:row>
                    <xdr:rowOff>0</xdr:rowOff>
                  </from>
                  <to>
                    <xdr:col>13</xdr:col>
                    <xdr:colOff>184150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2" r:id="rId7" name="btn_ouro_jump_ikisaki">
              <controlPr defaultSize="0" print="0" autoFill="0" autoPict="0" macro="[0]!btn_ouro_jump_ikisaki_Click">
                <anchor moveWithCells="1" sizeWithCells="1">
                  <from>
                    <xdr:col>11</xdr:col>
                    <xdr:colOff>222250</xdr:colOff>
                    <xdr:row>0</xdr:row>
                    <xdr:rowOff>203200</xdr:rowOff>
                  </from>
                  <to>
                    <xdr:col>13</xdr:col>
                    <xdr:colOff>184150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3" r:id="rId8" name="btn_fuku_newsheet">
              <controlPr defaultSize="0" print="0" autoFill="0" autoPict="0" macro="[0]!btn_newsheet_Click">
                <anchor moveWithCells="1" sizeWithCells="1">
                  <from>
                    <xdr:col>2</xdr:col>
                    <xdr:colOff>38100</xdr:colOff>
                    <xdr:row>69</xdr:row>
                    <xdr:rowOff>88900</xdr:rowOff>
                  </from>
                  <to>
                    <xdr:col>6</xdr:col>
                    <xdr:colOff>76200</xdr:colOff>
                    <xdr:row>70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4" r:id="rId9" name="btn_fukuchgtime">
              <controlPr defaultSize="0" print="0" autoFill="0" autoPict="0" macro="[0]!btn_chgtime_Click">
                <anchor moveWithCells="1" sizeWithCells="1">
                  <from>
                    <xdr:col>6</xdr:col>
                    <xdr:colOff>152400</xdr:colOff>
                    <xdr:row>69</xdr:row>
                    <xdr:rowOff>88900</xdr:rowOff>
                  </from>
                  <to>
                    <xdr:col>11</xdr:col>
                    <xdr:colOff>152400</xdr:colOff>
                    <xdr:row>70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5" r:id="rId10" name="btn_fuku_chgtime">
              <controlPr defaultSize="0" print="0" autoFill="0" autoPict="0" macro="[0]!btn_KeitoSet_Click">
                <anchor moveWithCells="1" sizeWithCells="1">
                  <from>
                    <xdr:col>11</xdr:col>
                    <xdr:colOff>241300</xdr:colOff>
                    <xdr:row>69</xdr:row>
                    <xdr:rowOff>88900</xdr:rowOff>
                  </from>
                  <to>
                    <xdr:col>13</xdr:col>
                    <xdr:colOff>203200</xdr:colOff>
                    <xdr:row>70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6" r:id="rId11" name="btn_fuku_jump_ikisaki">
              <controlPr defaultSize="0" print="0" autoFill="0" autoPict="0" macro="[0]!btn_fuku_jump_ikisaki_Click">
                <anchor moveWithCells="1" sizeWithCells="1">
                  <from>
                    <xdr:col>11</xdr:col>
                    <xdr:colOff>241300</xdr:colOff>
                    <xdr:row>70</xdr:row>
                    <xdr:rowOff>114300</xdr:rowOff>
                  </from>
                  <to>
                    <xdr:col>13</xdr:col>
                    <xdr:colOff>203200</xdr:colOff>
                    <xdr:row>70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7" r:id="rId12" name="btn_ouro_jump_teiiryujo">
              <controlPr defaultSize="0" print="0" autoFill="0" autoPict="0" macro="[0]!btn_ouro_jump_teiryujo_Click">
                <anchor moveWithCells="1" sizeWithCells="1">
                  <from>
                    <xdr:col>94</xdr:col>
                    <xdr:colOff>660400</xdr:colOff>
                    <xdr:row>0</xdr:row>
                    <xdr:rowOff>190500</xdr:rowOff>
                  </from>
                  <to>
                    <xdr:col>96</xdr:col>
                    <xdr:colOff>152400</xdr:colOff>
                    <xdr:row>1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8" r:id="rId13" name="btn_fuku_jump_teiiryujo">
              <controlPr defaultSize="0" print="0" autoFill="0" autoPict="0" macro="[0]!btn_fuku_jump_teiryujo_Click">
                <anchor moveWithCells="1" sizeWithCells="1">
                  <from>
                    <xdr:col>94</xdr:col>
                    <xdr:colOff>666750</xdr:colOff>
                    <xdr:row>70</xdr:row>
                    <xdr:rowOff>57150</xdr:rowOff>
                  </from>
                  <to>
                    <xdr:col>96</xdr:col>
                    <xdr:colOff>165100</xdr:colOff>
                    <xdr:row>70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C7EBDD3-F07A-4CC3-A16C-B9CFD6B82DAE}">
          <x14:formula1>
            <xm:f>'05運行日'!$L$2:$L$38</xm:f>
          </x14:formula1>
          <xm:sqref>O9:CP9 O77:CP77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24</v>
      </c>
    </row>
    <row r="2" spans="1:67" x14ac:dyDescent="0.2">
      <c r="A2" s="11"/>
      <c r="B2" s="12"/>
      <c r="C2" s="12"/>
      <c r="D2" s="11"/>
      <c r="E2" s="11"/>
      <c r="F2" s="16"/>
      <c r="G2" s="14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/>
      <c r="C3" s="10" t="str">
        <f>IF(B3="","←停留所idを選択",VLOOKUP(B3,'06停留所'!$B$2:$C$10500,2,0))</f>
        <v>←停留所idを選択</v>
      </c>
      <c r="D3" s="5"/>
      <c r="E3" s="5"/>
      <c r="F3" s="16"/>
      <c r="G3" s="139"/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/>
      <c r="C4" s="10" t="str">
        <f>IF(B4="","←停留所idを選択",VLOOKUP(B4,'06停留所'!$B$2:$C$10500,2,0))</f>
        <v>←停留所idを選択</v>
      </c>
      <c r="D4" s="5"/>
      <c r="E4" s="5"/>
      <c r="F4" s="17"/>
      <c r="G4" s="139"/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/>
      <c r="C5" s="10" t="str">
        <f>IF(B5="","←停留所idを選択",VLOOKUP(B5,'06停留所'!$B$2:$C$10500,2,0))</f>
        <v>←停留所idを選択</v>
      </c>
      <c r="D5" s="5"/>
      <c r="E5" s="5"/>
      <c r="F5" s="17"/>
      <c r="G5" s="139"/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/>
      <c r="C6" s="10" t="str">
        <f>IF(B6="","←停留所idを選択",VLOOKUP(B6,'06停留所'!$B$2:$C$10500,2,0))</f>
        <v>←停留所idを選択</v>
      </c>
      <c r="D6" s="5"/>
      <c r="E6" s="5"/>
      <c r="F6" s="17"/>
      <c r="G6" s="139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/>
      <c r="C7" s="10" t="str">
        <f>IF(B7="","←停留所idを選択",VLOOKUP(B7,'06停留所'!$B$2:$C$10500,2,0))</f>
        <v>←停留所idを選択</v>
      </c>
      <c r="D7" s="5"/>
      <c r="E7" s="5"/>
      <c r="F7" s="17"/>
      <c r="G7" s="139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/>
      <c r="C8" s="10" t="str">
        <f>IF(B8="","←停留所idを選択",VLOOKUP(B8,'06停留所'!$B$2:$C$10500,2,0))</f>
        <v>←停留所idを選択</v>
      </c>
      <c r="D8" s="5"/>
      <c r="E8" s="5"/>
      <c r="F8" s="17"/>
      <c r="G8" s="139"/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/>
      <c r="C9" s="10" t="str">
        <f>IF(B9="","←停留所idを選択",VLOOKUP(B9,'06停留所'!$B$2:$C$10500,2,0))</f>
        <v>←停留所idを選択</v>
      </c>
      <c r="D9" s="5"/>
      <c r="E9" s="5"/>
      <c r="F9" s="17"/>
      <c r="G9" s="139"/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/>
      <c r="C10" s="10" t="str">
        <f>IF(B10="","←停留所idを選択",VLOOKUP(B10,'06停留所'!$B$2:$C$10500,2,0))</f>
        <v>←停留所idを選択</v>
      </c>
      <c r="D10" s="5"/>
      <c r="E10" s="5"/>
      <c r="F10" s="17"/>
      <c r="G10" s="139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/>
      <c r="C11" s="10" t="str">
        <f>IF(B11="","←停留所idを選択",VLOOKUP(B11,'06停留所'!$B$2:$C$10500,2,0))</f>
        <v>←停留所idを選択</v>
      </c>
      <c r="D11" s="5"/>
      <c r="E11" s="5"/>
      <c r="F11" s="17"/>
      <c r="G11" s="139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/>
      <c r="C12" s="10" t="str">
        <f>IF(B12="","←停留所idを選択",VLOOKUP(B12,'06停留所'!$B$2:$C$10500,2,0))</f>
        <v>←停留所idを選択</v>
      </c>
      <c r="D12" s="5"/>
      <c r="E12" s="5"/>
      <c r="F12" s="17"/>
      <c r="G12" s="139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/>
      <c r="C13" s="10" t="str">
        <f>IF(B13="","←停留所idを選択",VLOOKUP(B13,'06停留所'!$B$2:$C$10500,2,0))</f>
        <v>←停留所idを選択</v>
      </c>
      <c r="D13" s="5"/>
      <c r="E13" s="5"/>
      <c r="F13" s="17"/>
      <c r="G13" s="139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/>
      <c r="C14" s="10" t="str">
        <f>IF(B14="","←停留所idを選択",VLOOKUP(B14,'06停留所'!$B$2:$C$10500,2,0))</f>
        <v>←停留所idを選択</v>
      </c>
      <c r="D14" s="5"/>
      <c r="E14" s="5"/>
      <c r="F14" s="17"/>
      <c r="G14" s="139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/>
      <c r="C15" s="10" t="str">
        <f>IF(B15="","←停留所idを選択",VLOOKUP(B15,'06停留所'!$B$2:$C$10500,2,0))</f>
        <v>←停留所idを選択</v>
      </c>
      <c r="D15" s="5"/>
      <c r="E15" s="5"/>
      <c r="F15" s="17"/>
      <c r="G15" s="139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/>
      <c r="C16" s="10" t="str">
        <f>IF(B16="","←停留所idを選択",VLOOKUP(B16,'06停留所'!$B$2:$C$10500,2,0))</f>
        <v>←停留所idを選択</v>
      </c>
      <c r="D16" s="5"/>
      <c r="E16" s="5"/>
      <c r="F16" s="17"/>
      <c r="G16" s="139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/>
      <c r="C17" s="10" t="str">
        <f>IF(B17="","←停留所idを選択",VLOOKUP(B17,'06停留所'!$B$2:$C$10500,2,0))</f>
        <v>←停留所idを選択</v>
      </c>
      <c r="D17" s="5"/>
      <c r="E17" s="5"/>
      <c r="F17" s="17"/>
      <c r="G17" s="139"/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/>
      <c r="C18" s="10" t="str">
        <f>IF(B18="","←停留所idを選択",VLOOKUP(B18,'06停留所'!$B$2:$C$10500,2,0))</f>
        <v>←停留所idを選択</v>
      </c>
      <c r="D18" s="5"/>
      <c r="E18" s="5"/>
      <c r="F18" s="17"/>
      <c r="G18" s="139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/>
      <c r="C19" s="10" t="str">
        <f>IF(B19="","←停留所idを選択",VLOOKUP(B19,'06停留所'!$B$2:$C$10500,2,0))</f>
        <v>←停留所idを選択</v>
      </c>
      <c r="D19" s="5"/>
      <c r="E19" s="5"/>
      <c r="F19" s="17"/>
      <c r="G19" s="139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/>
      <c r="C20" s="10" t="str">
        <f>IF(B20="","←停留所idを選択",VLOOKUP(B20,'06停留所'!$B$2:$C$10500,2,0))</f>
        <v>←停留所idを選択</v>
      </c>
      <c r="D20" s="5"/>
      <c r="E20" s="5"/>
      <c r="F20" s="17"/>
      <c r="G20" s="139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/>
      <c r="C21" s="10" t="str">
        <f>IF(B21="","←停留所idを選択",VLOOKUP(B21,'06停留所'!$B$2:$C$10500,2,0))</f>
        <v>←停留所idを選択</v>
      </c>
      <c r="D21" s="5"/>
      <c r="E21" s="5"/>
      <c r="F21" s="17"/>
      <c r="G21" s="139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/>
      <c r="C22" s="10" t="str">
        <f>IF(B22="","←停留所idを選択",VLOOKUP(B22,'06停留所'!$B$2:$C$10500,2,0))</f>
        <v>←停留所idを選択</v>
      </c>
      <c r="D22" s="5"/>
      <c r="E22" s="5"/>
      <c r="F22" s="17"/>
      <c r="G22" s="139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/>
      <c r="C23" s="10" t="str">
        <f>IF(B23="","←停留所idを選択",VLOOKUP(B23,'06停留所'!$B$2:$C$10500,2,0))</f>
        <v>←停留所idを選択</v>
      </c>
      <c r="D23" s="5"/>
      <c r="E23" s="5"/>
      <c r="F23" s="17"/>
      <c r="G23" s="139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/>
      <c r="C24" s="10" t="str">
        <f>IF(B24="","←停留所idを選択",VLOOKUP(B24,'06停留所'!$B$2:$C$10500,2,0))</f>
        <v>←停留所idを選択</v>
      </c>
      <c r="D24" s="5"/>
      <c r="E24" s="5"/>
      <c r="F24" s="17"/>
      <c r="G24" s="139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/>
      <c r="C25" s="10" t="str">
        <f>IF(B25="","←停留所idを選択",VLOOKUP(B25,'06停留所'!$B$2:$C$10500,2,0))</f>
        <v>←停留所idを選択</v>
      </c>
      <c r="D25" s="5"/>
      <c r="E25" s="5"/>
      <c r="F25" s="17"/>
      <c r="G25" s="139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/>
      <c r="C26" s="10" t="str">
        <f>IF(B26="","←停留所idを選択",VLOOKUP(B26,'06停留所'!$B$2:$C$10500,2,0))</f>
        <v>←停留所idを選択</v>
      </c>
      <c r="D26" s="5"/>
      <c r="E26" s="5"/>
      <c r="F26" s="17"/>
      <c r="G26" s="139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/>
      <c r="C27" s="10" t="str">
        <f>IF(B27="","←停留所idを選択",VLOOKUP(B27,'06停留所'!$B$2:$C$10500,2,0))</f>
        <v>←停留所idを選択</v>
      </c>
      <c r="D27" s="5"/>
      <c r="E27" s="5"/>
      <c r="F27" s="17"/>
      <c r="G27" s="139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/>
      <c r="C28" s="10" t="str">
        <f>IF(B28="","←停留所idを選択",VLOOKUP(B28,'06停留所'!$B$2:$C$10500,2,0))</f>
        <v>←停留所idを選択</v>
      </c>
      <c r="D28" s="5"/>
      <c r="E28" s="5"/>
      <c r="F28" s="17"/>
      <c r="G28" s="139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/>
      <c r="C29" s="10" t="str">
        <f>IF(B29="","←停留所idを選択",VLOOKUP(B29,'06停留所'!$B$2:$C$10500,2,0))</f>
        <v>←停留所idを選択</v>
      </c>
      <c r="D29" s="5"/>
      <c r="E29" s="5"/>
      <c r="F29" s="17"/>
      <c r="G29" s="139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/>
      <c r="C30" s="10" t="str">
        <f>IF(B30="","←停留所idを選択",VLOOKUP(B30,'06停留所'!$B$2:$C$10500,2,0))</f>
        <v>←停留所idを選択</v>
      </c>
      <c r="D30" s="5"/>
      <c r="E30" s="5"/>
      <c r="F30" s="17"/>
      <c r="G30" s="139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/>
      <c r="C31" s="10" t="str">
        <f>IF(B31="","←停留所idを選択",VLOOKUP(B31,'06停留所'!$B$2:$C$10500,2,0))</f>
        <v>←停留所idを選択</v>
      </c>
      <c r="D31" s="5"/>
      <c r="E31" s="5"/>
      <c r="F31" s="17"/>
      <c r="G31" s="139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/>
      <c r="C32" s="10" t="str">
        <f>IF(B32="","←停留所idを選択",VLOOKUP(B32,'06停留所'!$B$2:$C$10500,2,0))</f>
        <v>←停留所idを選択</v>
      </c>
      <c r="D32" s="5"/>
      <c r="E32" s="5"/>
      <c r="F32" s="17"/>
      <c r="G32" s="139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/>
      <c r="C33" s="10" t="str">
        <f>IF(B33="","←停留所idを選択",VLOOKUP(B33,'06停留所'!$B$2:$C$10500,2,0))</f>
        <v>←停留所idを選択</v>
      </c>
      <c r="D33" s="5"/>
      <c r="E33" s="5"/>
      <c r="F33" s="17"/>
      <c r="G33" s="139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/>
      <c r="C34" s="10" t="str">
        <f>IF(B34="","←停留所idを選択",VLOOKUP(B34,'06停留所'!$B$2:$C$10500,2,0))</f>
        <v>←停留所idを選択</v>
      </c>
      <c r="D34" s="5"/>
      <c r="E34" s="5"/>
      <c r="F34" s="17"/>
      <c r="G34" s="139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/>
      <c r="C35" s="10" t="str">
        <f>IF(B35="","←停留所idを選択",VLOOKUP(B35,'06停留所'!$B$2:$C$10500,2,0))</f>
        <v>←停留所idを選択</v>
      </c>
      <c r="D35" s="5"/>
      <c r="E35" s="5"/>
      <c r="F35" s="17"/>
      <c r="G35" s="139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/>
      <c r="C36" s="10" t="str">
        <f>IF(B36="","←停留所idを選択",VLOOKUP(B36,'06停留所'!$B$2:$C$10500,2,0))</f>
        <v>←停留所idを選択</v>
      </c>
      <c r="D36" s="5"/>
      <c r="E36" s="5"/>
      <c r="F36" s="17"/>
      <c r="G36" s="139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/>
      <c r="C37" s="10" t="str">
        <f>IF(B37="","←停留所idを選択",VLOOKUP(B37,'06停留所'!$B$2:$C$10500,2,0))</f>
        <v>←停留所idを選択</v>
      </c>
      <c r="D37" s="5"/>
      <c r="E37" s="5"/>
      <c r="F37" s="17"/>
      <c r="G37" s="139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/>
      <c r="C38" s="10" t="str">
        <f>IF(B38="","←停留所idを選択",VLOOKUP(B38,'06停留所'!$B$2:$C$10500,2,0))</f>
        <v>←停留所idを選択</v>
      </c>
      <c r="D38" s="5"/>
      <c r="E38" s="5"/>
      <c r="F38" s="17"/>
      <c r="G38" s="139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/>
      <c r="C39" s="10" t="str">
        <f>IF(B39="","←停留所idを選択",VLOOKUP(B39,'06停留所'!$B$2:$C$10500,2,0))</f>
        <v>←停留所idを選択</v>
      </c>
      <c r="D39" s="5"/>
      <c r="E39" s="5"/>
      <c r="F39" s="17"/>
      <c r="G39" s="139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/>
      <c r="C40" s="10" t="str">
        <f>IF(B40="","←停留所idを選択",VLOOKUP(B40,'06停留所'!$B$2:$C$10500,2,0))</f>
        <v>←停留所idを選択</v>
      </c>
      <c r="D40" s="5"/>
      <c r="E40" s="5"/>
      <c r="F40" s="17"/>
      <c r="G40" s="139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/>
      <c r="C41" s="10" t="str">
        <f>IF(B41="","←停留所idを選択",VLOOKUP(B41,'06停留所'!$B$2:$C$10500,2,0))</f>
        <v>←停留所idを選択</v>
      </c>
      <c r="D41" s="5"/>
      <c r="E41" s="5"/>
      <c r="F41" s="17"/>
      <c r="G41" s="139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/>
      <c r="C42" s="10" t="str">
        <f>IF(B42="","←停留所idを選択",VLOOKUP(B42,'06停留所'!$B$2:$C$10500,2,0))</f>
        <v>←停留所idを選択</v>
      </c>
      <c r="D42" s="5"/>
      <c r="E42" s="5"/>
      <c r="F42" s="17"/>
      <c r="G42" s="139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/>
      <c r="C43" s="10" t="str">
        <f>IF(B43="","←停留所idを選択",VLOOKUP(B43,'06停留所'!$B$2:$C$10500,2,0))</f>
        <v>←停留所idを選択</v>
      </c>
      <c r="D43" s="5"/>
      <c r="E43" s="5"/>
      <c r="F43" s="17"/>
      <c r="G43" s="139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imeMode="off" allowBlank="1" showInputMessage="1" showErrorMessage="1" sqref="F4:F101 G3:BN101" xr:uid="{14A6D1A4-0B45-4337-99F9-DB38BEA9CB41}"/>
    <dataValidation allowBlank="1" showInputMessage="1" showErrorMessage="1" promptTitle="自動入力" prompt="計算式が設定されています" sqref="C3:C101" xr:uid="{17FE4608-1F36-467B-AB38-2B864D2C34A1}"/>
    <dataValidation imeMode="off" allowBlank="1" showInputMessage="1" showErrorMessage="1" promptTitle="入力不可" prompt="このセルには何も入力しないで下さい" sqref="A2:F2 F3" xr:uid="{83C7E04B-6E9C-42E9-B44F-218AE87DB326}"/>
    <dataValidation imeMode="hiragana" allowBlank="1" showInputMessage="1" showErrorMessage="1" sqref="BO2:BO101" xr:uid="{82345A5D-F374-4AB1-9E4F-C26087966590}"/>
    <dataValidation type="list" imeMode="hiragana" allowBlank="1" showInputMessage="1" showErrorMessage="1" sqref="E3:E101" xr:uid="{D8891C57-FB61-4A0D-8C3F-CE3D79B1D15D}">
      <formula1>"始発,終点,着,発,乗車専用,降車専用,要予約,始発要予約,終点要予約,発要予約,着要予約"</formula1>
    </dataValidation>
  </dataValidations>
  <pageMargins left="0.7" right="0.7" top="0.75" bottom="0.75" header="0.3" footer="0.3"/>
  <pageSetup paperSize="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E1DA3BA-02B2-4B60-8152-C212B1861825}">
          <x14:formula1>
            <xm:f>'06停留所'!#REF!</xm:f>
          </x14:formula1>
          <xm:sqref>C3:C101</xm:sqref>
        </x14:dataValidation>
        <x14:dataValidation type="list" allowBlank="1" showInputMessage="1" showErrorMessage="1" xr:uid="{008E4244-8394-491B-A105-8890596F48F5}">
          <x14:formula1>
            <xm:f>'05運行日'!$B$2:$B$21</xm:f>
          </x14:formula1>
          <xm:sqref>G2:BN2</xm:sqref>
        </x14:dataValidation>
        <x14:dataValidation type="list" allowBlank="1" showInputMessage="1" showErrorMessage="1" xr:uid="{8F124F7A-A2FD-433D-BA87-B16E083BDB35}">
          <x14:formula1>
            <xm:f>'04系統'!$B$2:$B$152</xm:f>
          </x14:formula1>
          <xm:sqref>D3:D101</xm:sqref>
        </x14:dataValidation>
        <x14:dataValidation type="list" allowBlank="1" showInputMessage="1" showErrorMessage="1" xr:uid="{5EC23DAD-A719-4535-AB5B-399483CD15AD}">
          <x14:formula1>
            <xm:f>'06停留所'!$B$2:$B1001</xm:f>
          </x14:formula1>
          <xm:sqref>B3</xm:sqref>
        </x14:dataValidation>
        <x14:dataValidation type="list" allowBlank="1" showInputMessage="1" showErrorMessage="1" xr:uid="{605B8E87-C656-4E43-B5C5-1E7B274AA5C4}">
          <x14:formula1>
            <xm:f>'06停留所'!$B$2:$B1001</xm:f>
          </x14:formula1>
          <xm:sqref>B4</xm:sqref>
        </x14:dataValidation>
        <x14:dataValidation type="list" allowBlank="1" showInputMessage="1" showErrorMessage="1" xr:uid="{CB680ACB-7157-4639-8CDB-1143AD0C9453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ECF04D3A-0D6A-4E0B-B508-563FCD96FD3E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4A846DA9-2028-49DF-A680-05CB2C7A0276}">
          <x14:formula1>
            <xm:f>'04系統'!B1:B151</xm:f>
          </x14:formula1>
          <xm:sqref>D2:D45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16</vt:i4>
      </vt:variant>
      <vt:variant>
        <vt:lpstr>名前付き一覧</vt:lpstr>
      </vt:variant>
      <vt:variant>
        <vt:i4>54</vt:i4>
      </vt:variant>
    </vt:vector>
  </HeadingPairs>
  <TitlesOfParts>
    <vt:vector size="70" baseType="lpstr">
      <vt:lpstr>wk</vt:lpstr>
      <vt:lpstr>メニュー</vt:lpstr>
      <vt:lpstr>00チェック</vt:lpstr>
      <vt:lpstr>01更新履歴</vt:lpstr>
      <vt:lpstr>02基本情報</vt:lpstr>
      <vt:lpstr>03営業所</vt:lpstr>
      <vt:lpstr>04系統</vt:lpstr>
      <vt:lpstr>05運行日</vt:lpstr>
      <vt:lpstr>05祝日</vt:lpstr>
      <vt:lpstr>06停留所</vt:lpstr>
      <vt:lpstr>07路線別停留所</vt:lpstr>
      <vt:lpstr>08乗換</vt:lpstr>
      <vt:lpstr>路線(原本)</vt:lpstr>
      <vt:lpstr>路線(1.青森線(往路))</vt:lpstr>
      <vt:lpstr>路線(1.青森線(復路))</vt:lpstr>
      <vt:lpstr>時刻(原本)</vt:lpstr>
      <vt:lpstr>GTFSJP作成日時</vt:lpstr>
      <vt:lpstr>メニュー!Shapes</vt:lpstr>
      <vt:lpstr>'路線(1.青森線(往路))'!往路</vt:lpstr>
      <vt:lpstr>'路線(1.青森線(復路))'!往路</vt:lpstr>
      <vt:lpstr>'路線(原本)'!往路</vt:lpstr>
      <vt:lpstr>'路線(1.青森線(往路))'!往路運行日</vt:lpstr>
      <vt:lpstr>'路線(1.青森線(復路))'!往路運行日</vt:lpstr>
      <vt:lpstr>'路線(原本)'!往路運行日</vt:lpstr>
      <vt:lpstr>'路線(1.青森線(往路))'!往路記号</vt:lpstr>
      <vt:lpstr>'路線(1.青森線(復路))'!往路記号</vt:lpstr>
      <vt:lpstr>'路線(原本)'!往路記号</vt:lpstr>
      <vt:lpstr>'路線(1.青森線(往路))'!往路系統</vt:lpstr>
      <vt:lpstr>'路線(1.青森線(復路))'!往路系統</vt:lpstr>
      <vt:lpstr>'路線(原本)'!往路系統</vt:lpstr>
      <vt:lpstr>'路線(1.青森線(往路))'!往路行き先部系統</vt:lpstr>
      <vt:lpstr>'路線(1.青森線(復路))'!往路行き先部系統</vt:lpstr>
      <vt:lpstr>'路線(原本)'!往路行き先部系統</vt:lpstr>
      <vt:lpstr>'路線(1.青森線(往路))'!往路行き先部種別</vt:lpstr>
      <vt:lpstr>'路線(1.青森線(復路))'!往路行き先部種別</vt:lpstr>
      <vt:lpstr>'路線(原本)'!往路行き先部種別</vt:lpstr>
      <vt:lpstr>'路線(1.青森線(往路))'!往路連続</vt:lpstr>
      <vt:lpstr>'路線(1.青森線(復路))'!往路連続</vt:lpstr>
      <vt:lpstr>'路線(原本)'!往路連続</vt:lpstr>
      <vt:lpstr>系統別時刻作成日時</vt:lpstr>
      <vt:lpstr>メニュー!提供終了日</vt:lpstr>
      <vt:lpstr>'路線(1.青森線(往路))'!復路</vt:lpstr>
      <vt:lpstr>'路線(1.青森線(復路))'!復路</vt:lpstr>
      <vt:lpstr>'路線(原本)'!復路</vt:lpstr>
      <vt:lpstr>'路線(1.青森線(往路))'!復路運行日</vt:lpstr>
      <vt:lpstr>'路線(1.青森線(復路))'!復路運行日</vt:lpstr>
      <vt:lpstr>'路線(原本)'!復路運行日</vt:lpstr>
      <vt:lpstr>'路線(1.青森線(往路))'!復路記号</vt:lpstr>
      <vt:lpstr>'路線(1.青森線(復路))'!復路記号</vt:lpstr>
      <vt:lpstr>'路線(原本)'!復路記号</vt:lpstr>
      <vt:lpstr>'路線(1.青森線(往路))'!復路系統</vt:lpstr>
      <vt:lpstr>'路線(1.青森線(復路))'!復路系統</vt:lpstr>
      <vt:lpstr>'路線(原本)'!復路系統</vt:lpstr>
      <vt:lpstr>'路線(1.青森線(往路))'!復路行き先部系統</vt:lpstr>
      <vt:lpstr>'路線(1.青森線(復路))'!復路行き先部系統</vt:lpstr>
      <vt:lpstr>'路線(原本)'!復路行き先部系統</vt:lpstr>
      <vt:lpstr>'路線(1.青森線(往路))'!復路行き先部種別</vt:lpstr>
      <vt:lpstr>'路線(1.青森線(復路))'!復路行き先部種別</vt:lpstr>
      <vt:lpstr>'路線(原本)'!復路行き先部種別</vt:lpstr>
      <vt:lpstr>'路線(1.青森線(往路))'!復路連続</vt:lpstr>
      <vt:lpstr>'路線(1.青森線(復路))'!復路連続</vt:lpstr>
      <vt:lpstr>'路線(原本)'!復路連続</vt:lpstr>
      <vt:lpstr>メニュー!用途A</vt:lpstr>
      <vt:lpstr>メニュー!用途B</vt:lpstr>
      <vt:lpstr>'路線(1.青森線(往路))'!路線番号</vt:lpstr>
      <vt:lpstr>'路線(1.青森線(復路))'!路線番号</vt:lpstr>
      <vt:lpstr>路線番号</vt:lpstr>
      <vt:lpstr>'路線(1.青森線(往路))'!路線名</vt:lpstr>
      <vt:lpstr>'路線(1.青森線(復路))'!路線名</vt:lpstr>
      <vt:lpstr>路線名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伊藤浩之</dc:creator>
  <cp:lastModifiedBy>Akasaki Mayumi</cp:lastModifiedBy>
  <cp:lastPrinted>2018-11-19T04:35:18Z</cp:lastPrinted>
  <dcterms:created xsi:type="dcterms:W3CDTF">2015-08-28T02:33:57Z</dcterms:created>
  <dcterms:modified xsi:type="dcterms:W3CDTF">2022-01-06T02:04:54Z</dcterms:modified>
</cp:coreProperties>
</file>